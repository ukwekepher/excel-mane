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7620"/>
  </bookViews>
  <sheets>
    <sheet name="SSS1 ATTENDANCE " sheetId="13" r:id="rId1"/>
    <sheet name="SSS2 ATTENDANCE" sheetId="14" r:id="rId2"/>
    <sheet name="SSS3 ATTENDANCE" sheetId="15" r:id="rId3"/>
    <sheet name="REPORT CARD" sheetId="17" r:id="rId4"/>
    <sheet name="Sheet1" sheetId="16" r:id="rId5"/>
    <sheet name="Sheet1 (2)" sheetId="18" r:id="rId6"/>
  </sheets>
  <calcPr calcId="144525"/>
</workbook>
</file>

<file path=xl/calcChain.xml><?xml version="1.0" encoding="utf-8"?>
<calcChain xmlns="http://schemas.openxmlformats.org/spreadsheetml/2006/main">
  <c r="O19" i="17" l="1"/>
  <c r="AF9" i="17"/>
  <c r="AG9" i="17"/>
  <c r="AO9" i="17" s="1"/>
  <c r="AH9" i="17"/>
  <c r="BZ9" i="17"/>
  <c r="CD9" i="17" s="1"/>
  <c r="CH9" i="17" s="1"/>
  <c r="CL9" i="17" s="1"/>
  <c r="CS9" i="17" s="1"/>
  <c r="CW9" i="17" s="1"/>
  <c r="DA9" i="17" s="1"/>
  <c r="DE9" i="17" s="1"/>
  <c r="DI9" i="17" s="1"/>
  <c r="DM9" i="17" s="1"/>
  <c r="DQ9" i="17" s="1"/>
  <c r="DU9" i="17" s="1"/>
  <c r="DY9" i="17" s="1"/>
  <c r="EC9" i="17" s="1"/>
  <c r="CE9" i="17"/>
  <c r="ED9" i="17"/>
  <c r="EE9" i="17"/>
  <c r="EF9" i="17" s="1"/>
  <c r="EG9" i="17" s="1"/>
  <c r="EI9" i="17"/>
  <c r="EJ9" i="17"/>
  <c r="AF10" i="17"/>
  <c r="AG10" i="17"/>
  <c r="AH10" i="17"/>
  <c r="AO10" i="17"/>
  <c r="BQ10" i="17"/>
  <c r="BR10" i="17"/>
  <c r="BU10" i="17"/>
  <c r="BV10" i="17"/>
  <c r="BY10" i="17"/>
  <c r="BZ10" i="17"/>
  <c r="CC10" i="17"/>
  <c r="CD10" i="17"/>
  <c r="CG10" i="17"/>
  <c r="CH10" i="17"/>
  <c r="CK10" i="17"/>
  <c r="CL10" i="17"/>
  <c r="CP10" i="17"/>
  <c r="CR10" i="17"/>
  <c r="CS10" i="17" s="1"/>
  <c r="CV10" i="17"/>
  <c r="CW10" i="17" s="1"/>
  <c r="CZ10" i="17"/>
  <c r="DA10" i="17" s="1"/>
  <c r="DD10" i="17"/>
  <c r="DE10" i="17" s="1"/>
  <c r="DF10" i="17"/>
  <c r="DH10" i="17" s="1"/>
  <c r="DL10" i="17"/>
  <c r="DM10" i="17"/>
  <c r="DP10" i="17"/>
  <c r="DQ10" i="17"/>
  <c r="DT10" i="17"/>
  <c r="DU10" i="17"/>
  <c r="DX10" i="17"/>
  <c r="DY10" i="17"/>
  <c r="DZ10" i="17"/>
  <c r="EB10" i="17"/>
  <c r="EC10" i="17" s="1"/>
  <c r="AF11" i="17"/>
  <c r="AG11" i="17"/>
  <c r="AO11" i="17" s="1"/>
  <c r="AH11" i="17"/>
  <c r="BQ11" i="17"/>
  <c r="BR11" i="17" s="1"/>
  <c r="BU11" i="17"/>
  <c r="BV11" i="17" s="1"/>
  <c r="BY11" i="17"/>
  <c r="BZ11" i="17" s="1"/>
  <c r="CC11" i="17"/>
  <c r="CD11" i="17" s="1"/>
  <c r="CG11" i="17"/>
  <c r="CH11" i="17" s="1"/>
  <c r="CK11" i="17"/>
  <c r="CL11" i="17" s="1"/>
  <c r="CP11" i="17"/>
  <c r="CR11" i="17" s="1"/>
  <c r="CV11" i="17"/>
  <c r="CW11" i="17"/>
  <c r="CZ11" i="17"/>
  <c r="DA11" i="17"/>
  <c r="DB11" i="17"/>
  <c r="DD11" i="17"/>
  <c r="DE11" i="17" s="1"/>
  <c r="DF11" i="17"/>
  <c r="DH11" i="17" s="1"/>
  <c r="DI11" i="17" s="1"/>
  <c r="AF12" i="17"/>
  <c r="AG12" i="17"/>
  <c r="AH12" i="17"/>
  <c r="AO12" i="17"/>
  <c r="BQ12" i="17"/>
  <c r="BR12" i="17" s="1"/>
  <c r="BU12" i="17"/>
  <c r="BV12" i="17" s="1"/>
  <c r="BY12" i="17"/>
  <c r="BZ12" i="17" s="1"/>
  <c r="CC12" i="17"/>
  <c r="CD12" i="17" s="1"/>
  <c r="CG12" i="17"/>
  <c r="CH12" i="17" s="1"/>
  <c r="CK12" i="17"/>
  <c r="CL12" i="17" s="1"/>
  <c r="CR12" i="17"/>
  <c r="CS12" i="17" s="1"/>
  <c r="CV12" i="17"/>
  <c r="CW12" i="17" s="1"/>
  <c r="CX12" i="17"/>
  <c r="AF13" i="17"/>
  <c r="AG13" i="17"/>
  <c r="AO13" i="17" s="1"/>
  <c r="AH13" i="17"/>
  <c r="BQ13" i="17"/>
  <c r="BR13" i="17" s="1"/>
  <c r="BU13" i="17"/>
  <c r="BV13" i="17" s="1"/>
  <c r="BY13" i="17"/>
  <c r="BZ13" i="17" s="1"/>
  <c r="CC13" i="17"/>
  <c r="CD13" i="17" s="1"/>
  <c r="CG13" i="17"/>
  <c r="CH13" i="17" s="1"/>
  <c r="CK13" i="17"/>
  <c r="CL13" i="17" s="1"/>
  <c r="CP13" i="17"/>
  <c r="CR13" i="17" s="1"/>
  <c r="CS13" i="17" s="1"/>
  <c r="CV13" i="17"/>
  <c r="CW13" i="17"/>
  <c r="CZ13" i="17"/>
  <c r="DA13" i="17"/>
  <c r="DB13" i="17"/>
  <c r="DD13" i="17"/>
  <c r="DE13" i="17" s="1"/>
  <c r="DF13" i="17"/>
  <c r="AF14" i="17"/>
  <c r="AG14" i="17"/>
  <c r="AH14" i="17"/>
  <c r="AO14" i="17"/>
  <c r="BQ14" i="17"/>
  <c r="BR14" i="17" s="1"/>
  <c r="BU14" i="17"/>
  <c r="BV14" i="17" s="1"/>
  <c r="BY14" i="17"/>
  <c r="BZ14" i="17" s="1"/>
  <c r="CC14" i="17"/>
  <c r="CD14" i="17" s="1"/>
  <c r="CG14" i="17"/>
  <c r="CH14" i="17" s="1"/>
  <c r="CK14" i="17"/>
  <c r="CL14" i="17" s="1"/>
  <c r="CR14" i="17"/>
  <c r="CS14" i="17" s="1"/>
  <c r="CV14" i="17"/>
  <c r="CW14" i="17" s="1"/>
  <c r="CX14" i="17"/>
  <c r="AF15" i="17"/>
  <c r="AG15" i="17"/>
  <c r="AO15" i="17" s="1"/>
  <c r="AH15" i="17"/>
  <c r="BQ15" i="17"/>
  <c r="BR15" i="17" s="1"/>
  <c r="BU15" i="17"/>
  <c r="BV15" i="17" s="1"/>
  <c r="BY15" i="17"/>
  <c r="BZ15" i="17" s="1"/>
  <c r="CC15" i="17"/>
  <c r="CD15" i="17" s="1"/>
  <c r="CG15" i="17"/>
  <c r="CH15" i="17" s="1"/>
  <c r="CK15" i="17"/>
  <c r="CL15" i="17" s="1"/>
  <c r="CP15" i="17"/>
  <c r="CR15" i="17" s="1"/>
  <c r="CS15" i="17" s="1"/>
  <c r="CV15" i="17"/>
  <c r="CW15" i="17"/>
  <c r="CZ15" i="17"/>
  <c r="DA15" i="17"/>
  <c r="DB15" i="17"/>
  <c r="DD15" i="17"/>
  <c r="DE15" i="17" s="1"/>
  <c r="DF15" i="17"/>
  <c r="AF16" i="17"/>
  <c r="AG16" i="17"/>
  <c r="AH16" i="17"/>
  <c r="AO16" i="17"/>
  <c r="BZ16" i="17"/>
  <c r="CD16" i="17" s="1"/>
  <c r="CH16" i="17" s="1"/>
  <c r="CL16" i="17" s="1"/>
  <c r="CS16" i="17" s="1"/>
  <c r="CW16" i="17" s="1"/>
  <c r="DA16" i="17" s="1"/>
  <c r="DE16" i="17" s="1"/>
  <c r="DI16" i="17" s="1"/>
  <c r="DM16" i="17" s="1"/>
  <c r="DQ16" i="17" s="1"/>
  <c r="DU16" i="17" s="1"/>
  <c r="DY16" i="17" s="1"/>
  <c r="EC16" i="17" s="1"/>
  <c r="CE16" i="17"/>
  <c r="ED16" i="17"/>
  <c r="EE16" i="17"/>
  <c r="EF16" i="17" s="1"/>
  <c r="EG16" i="17"/>
  <c r="EI16" i="17"/>
  <c r="EJ16" i="17"/>
  <c r="AF17" i="17"/>
  <c r="AG17" i="17"/>
  <c r="AH17" i="17"/>
  <c r="AO17" i="17"/>
  <c r="BQ17" i="17"/>
  <c r="BR17" i="17"/>
  <c r="BU17" i="17"/>
  <c r="BV17" i="17"/>
  <c r="BY17" i="17"/>
  <c r="BZ17" i="17"/>
  <c r="CC17" i="17"/>
  <c r="CD17" i="17"/>
  <c r="CG17" i="17"/>
  <c r="CH17" i="17"/>
  <c r="CK17" i="17"/>
  <c r="CL17" i="17"/>
  <c r="CP17" i="17"/>
  <c r="CR17" i="17"/>
  <c r="CS17" i="17" s="1"/>
  <c r="CV17" i="17"/>
  <c r="CW17" i="17" s="1"/>
  <c r="CZ17" i="17"/>
  <c r="DA17" i="17"/>
  <c r="DD17" i="17"/>
  <c r="DE17" i="17" s="1"/>
  <c r="DF17" i="17"/>
  <c r="DH17" i="17" s="1"/>
  <c r="DL17" i="17"/>
  <c r="DM17" i="17"/>
  <c r="DP17" i="17"/>
  <c r="DQ17" i="17"/>
  <c r="DT17" i="17"/>
  <c r="DU17" i="17"/>
  <c r="DX17" i="17"/>
  <c r="DY17" i="17"/>
  <c r="DZ17" i="17"/>
  <c r="EB17" i="17"/>
  <c r="EC17" i="17" s="1"/>
  <c r="AF18" i="17"/>
  <c r="AG18" i="17"/>
  <c r="AO18" i="17" s="1"/>
  <c r="AH18" i="17"/>
  <c r="BQ18" i="17"/>
  <c r="BR18" i="17"/>
  <c r="BU18" i="17"/>
  <c r="BV18" i="17" s="1"/>
  <c r="BY18" i="17"/>
  <c r="BZ18" i="17" s="1"/>
  <c r="CC18" i="17"/>
  <c r="CD18" i="17" s="1"/>
  <c r="CG18" i="17"/>
  <c r="CH18" i="17"/>
  <c r="CK18" i="17"/>
  <c r="CL18" i="17" s="1"/>
  <c r="CP18" i="17"/>
  <c r="CR18" i="17" s="1"/>
  <c r="CS18" i="17" s="1"/>
  <c r="CV18" i="17"/>
  <c r="CW18" i="17"/>
  <c r="CZ18" i="17"/>
  <c r="DA18" i="17"/>
  <c r="DB18" i="17"/>
  <c r="DD18" i="17"/>
  <c r="DE18" i="17" s="1"/>
  <c r="DF18" i="17"/>
  <c r="DH18" i="17" s="1"/>
  <c r="DI18" i="17" s="1"/>
  <c r="DJ18" i="17"/>
  <c r="DL18" i="17" s="1"/>
  <c r="DM18" i="17" s="1"/>
  <c r="DN18" i="17"/>
  <c r="DR18" i="17" s="1"/>
  <c r="DT18" i="17" s="1"/>
  <c r="DU18" i="17" s="1"/>
  <c r="AF19" i="17"/>
  <c r="AG19" i="17"/>
  <c r="AH19" i="17"/>
  <c r="AO19" i="17"/>
  <c r="BQ19" i="17"/>
  <c r="BU19" i="17"/>
  <c r="BV19" i="17"/>
  <c r="BY19" i="17"/>
  <c r="BZ19" i="17" s="1"/>
  <c r="CC19" i="17"/>
  <c r="CD19" i="17" s="1"/>
  <c r="CG19" i="17"/>
  <c r="CH19" i="17" s="1"/>
  <c r="CK19" i="17"/>
  <c r="CL19" i="17"/>
  <c r="CR19" i="17"/>
  <c r="CS19" i="17"/>
  <c r="CV19" i="17"/>
  <c r="CW19" i="17"/>
  <c r="CX19" i="17"/>
  <c r="CZ19" i="17"/>
  <c r="DA19" i="17" s="1"/>
  <c r="DB19" i="17"/>
  <c r="AF20" i="17"/>
  <c r="AG20" i="17"/>
  <c r="AO20" i="17" s="1"/>
  <c r="AH20" i="17"/>
  <c r="BQ20" i="17"/>
  <c r="BR20" i="17"/>
  <c r="BU20" i="17"/>
  <c r="BV20" i="17"/>
  <c r="BY20" i="17"/>
  <c r="BZ20" i="17"/>
  <c r="CC20" i="17"/>
  <c r="CD20" i="17"/>
  <c r="CG20" i="17"/>
  <c r="CH20" i="17"/>
  <c r="CK20" i="17"/>
  <c r="CL20" i="17"/>
  <c r="CP20" i="17"/>
  <c r="CR20" i="17"/>
  <c r="CS20" i="17" s="1"/>
  <c r="CV20" i="17"/>
  <c r="CW20" i="17" s="1"/>
  <c r="CZ20" i="17"/>
  <c r="DA20" i="17" s="1"/>
  <c r="DB20" i="17"/>
  <c r="AF21" i="17"/>
  <c r="AG21" i="17"/>
  <c r="AH21" i="17"/>
  <c r="AO21" i="17"/>
  <c r="BQ21" i="17"/>
  <c r="BR21" i="17"/>
  <c r="BU21" i="17"/>
  <c r="BV21" i="17"/>
  <c r="BY21" i="17"/>
  <c r="BZ21" i="17"/>
  <c r="CC21" i="17"/>
  <c r="CD21" i="17"/>
  <c r="CG21" i="17"/>
  <c r="CH21" i="17"/>
  <c r="CK21" i="17"/>
  <c r="CL21" i="17"/>
  <c r="CR21" i="17"/>
  <c r="CS21" i="17"/>
  <c r="CV21" i="17"/>
  <c r="CW21" i="17"/>
  <c r="CX21" i="17"/>
  <c r="CZ21" i="17"/>
  <c r="DB21" i="17"/>
  <c r="AF22" i="17"/>
  <c r="AG22" i="17"/>
  <c r="AH22" i="17"/>
  <c r="AO22" i="17"/>
  <c r="BQ22" i="17"/>
  <c r="BR22" i="17"/>
  <c r="BU22" i="17"/>
  <c r="BV22" i="17"/>
  <c r="BY22" i="17"/>
  <c r="BZ22" i="17"/>
  <c r="CC22" i="17"/>
  <c r="CD22" i="17"/>
  <c r="CG22" i="17"/>
  <c r="CH22" i="17"/>
  <c r="CK22" i="17"/>
  <c r="CL22" i="17"/>
  <c r="CP22" i="17"/>
  <c r="CR22" i="17"/>
  <c r="CV22" i="17"/>
  <c r="CW22" i="17" s="1"/>
  <c r="CZ22" i="17"/>
  <c r="DA22" i="17" s="1"/>
  <c r="DB22" i="17"/>
  <c r="AF23" i="17"/>
  <c r="AG23" i="17"/>
  <c r="AO23" i="17" s="1"/>
  <c r="AH23" i="17"/>
  <c r="BZ23" i="17"/>
  <c r="CD23" i="17"/>
  <c r="CH23" i="17" s="1"/>
  <c r="CL23" i="17" s="1"/>
  <c r="CS23" i="17" s="1"/>
  <c r="CW23" i="17" s="1"/>
  <c r="DA23" i="17" s="1"/>
  <c r="DE23" i="17" s="1"/>
  <c r="DI23" i="17" s="1"/>
  <c r="DM23" i="17" s="1"/>
  <c r="DQ23" i="17" s="1"/>
  <c r="DU23" i="17" s="1"/>
  <c r="DY23" i="17" s="1"/>
  <c r="EC23" i="17" s="1"/>
  <c r="CE23" i="17"/>
  <c r="ED23" i="17"/>
  <c r="EE23" i="17" s="1"/>
  <c r="EJ23" i="17" s="1"/>
  <c r="AF24" i="17"/>
  <c r="AG24" i="17"/>
  <c r="AH24" i="17"/>
  <c r="AO24" i="17"/>
  <c r="BQ24" i="17"/>
  <c r="BU24" i="17"/>
  <c r="BV24" i="17" s="1"/>
  <c r="BY24" i="17"/>
  <c r="BZ24" i="17" s="1"/>
  <c r="CC24" i="17"/>
  <c r="CD24" i="17" s="1"/>
  <c r="CG24" i="17"/>
  <c r="CH24" i="17" s="1"/>
  <c r="CK24" i="17"/>
  <c r="CL24" i="17" s="1"/>
  <c r="CP24" i="17"/>
  <c r="CR24" i="17" s="1"/>
  <c r="CS24" i="17"/>
  <c r="CV24" i="17"/>
  <c r="CW24" i="17"/>
  <c r="CZ24" i="17"/>
  <c r="DA24" i="17"/>
  <c r="DD24" i="17"/>
  <c r="DE24" i="17"/>
  <c r="DF24" i="17"/>
  <c r="DH24" i="17"/>
  <c r="DI24" i="17" s="1"/>
  <c r="DL24" i="17"/>
  <c r="DM24" i="17" s="1"/>
  <c r="DP24" i="17"/>
  <c r="DQ24" i="17" s="1"/>
  <c r="DT24" i="17"/>
  <c r="DU24" i="17" s="1"/>
  <c r="DX24" i="17"/>
  <c r="DY24" i="17" s="1"/>
  <c r="DZ24" i="17"/>
  <c r="EB24" i="17" s="1"/>
  <c r="EC24" i="17"/>
  <c r="AF25" i="17"/>
  <c r="AG25" i="17"/>
  <c r="AH25" i="17"/>
  <c r="AO25" i="17"/>
  <c r="BQ25" i="17"/>
  <c r="BR25" i="17"/>
  <c r="BU25" i="17"/>
  <c r="BV25" i="17"/>
  <c r="BY25" i="17"/>
  <c r="BZ25" i="17"/>
  <c r="CC25" i="17"/>
  <c r="CD25" i="17"/>
  <c r="CG25" i="17"/>
  <c r="CH25" i="17"/>
  <c r="CK25" i="17"/>
  <c r="CL25" i="17"/>
  <c r="CP25" i="17"/>
  <c r="CR25" i="17"/>
  <c r="CV25" i="17"/>
  <c r="CW25" i="17" s="1"/>
  <c r="CZ25" i="17"/>
  <c r="DA25" i="17" s="1"/>
  <c r="DB25" i="17"/>
  <c r="AF26" i="17"/>
  <c r="AG26" i="17"/>
  <c r="AO26" i="17" s="1"/>
  <c r="AH26" i="17"/>
  <c r="BQ26" i="17"/>
  <c r="BR26" i="17"/>
  <c r="BU26" i="17"/>
  <c r="BV26" i="17"/>
  <c r="BY26" i="17"/>
  <c r="BZ26" i="17"/>
  <c r="CC26" i="17"/>
  <c r="CD26" i="17"/>
  <c r="CG26" i="17"/>
  <c r="CH26" i="17"/>
  <c r="CK26" i="17"/>
  <c r="CL26" i="17"/>
  <c r="CR26" i="17"/>
  <c r="CS26" i="17"/>
  <c r="CV26" i="17"/>
  <c r="CW26" i="17"/>
  <c r="CX26" i="17"/>
  <c r="CZ26" i="17"/>
  <c r="DB26" i="17"/>
  <c r="AF27" i="17"/>
  <c r="AG27" i="17"/>
  <c r="AO27" i="17" s="1"/>
  <c r="AH27" i="17"/>
  <c r="BQ27" i="17"/>
  <c r="BR27" i="17"/>
  <c r="BU27" i="17"/>
  <c r="BV27" i="17"/>
  <c r="BY27" i="17"/>
  <c r="BZ27" i="17"/>
  <c r="CC27" i="17"/>
  <c r="CD27" i="17" s="1"/>
  <c r="CG27" i="17"/>
  <c r="CH27" i="17"/>
  <c r="CK27" i="17"/>
  <c r="CL27" i="17" s="1"/>
  <c r="CP27" i="17"/>
  <c r="CR27" i="17"/>
  <c r="CS27" i="17"/>
  <c r="CV27" i="17"/>
  <c r="CW27" i="17" s="1"/>
  <c r="CZ27" i="17"/>
  <c r="DA27" i="17" s="1"/>
  <c r="DB27" i="17"/>
  <c r="DF27" i="17" s="1"/>
  <c r="AF28" i="17"/>
  <c r="AG28" i="17"/>
  <c r="AO28" i="17" s="1"/>
  <c r="AH28" i="17"/>
  <c r="BQ28" i="17"/>
  <c r="BR28" i="17"/>
  <c r="BU28" i="17"/>
  <c r="BV28" i="17"/>
  <c r="BY28" i="17"/>
  <c r="BZ28" i="17"/>
  <c r="CC28" i="17"/>
  <c r="CD28" i="17"/>
  <c r="CG28" i="17"/>
  <c r="CH28" i="17"/>
  <c r="CK28" i="17"/>
  <c r="CL28" i="17"/>
  <c r="CR28" i="17"/>
  <c r="CS28" i="17"/>
  <c r="CV28" i="17"/>
  <c r="CW28" i="17"/>
  <c r="CX28" i="17"/>
  <c r="CZ28" i="17"/>
  <c r="DB28" i="17"/>
  <c r="DD28" i="17" s="1"/>
  <c r="DE28" i="17" s="1"/>
  <c r="AF29" i="17"/>
  <c r="AG29" i="17"/>
  <c r="AH29" i="17"/>
  <c r="AO29" i="17"/>
  <c r="BQ29" i="17"/>
  <c r="BR29" i="17"/>
  <c r="BU29" i="17"/>
  <c r="BV29" i="17"/>
  <c r="BY29" i="17"/>
  <c r="BZ29" i="17"/>
  <c r="CC29" i="17"/>
  <c r="CD29" i="17"/>
  <c r="CG29" i="17"/>
  <c r="CH29" i="17"/>
  <c r="CK29" i="17"/>
  <c r="CL29" i="17"/>
  <c r="CP29" i="17"/>
  <c r="CR29" i="17"/>
  <c r="CS29" i="17" s="1"/>
  <c r="CV29" i="17"/>
  <c r="CW29" i="17" s="1"/>
  <c r="CZ29" i="17"/>
  <c r="DA29" i="17" s="1"/>
  <c r="DB29" i="17"/>
  <c r="AF30" i="17"/>
  <c r="AG30" i="17"/>
  <c r="AO30" i="17" s="1"/>
  <c r="AH30" i="17"/>
  <c r="BZ30" i="17"/>
  <c r="CD30" i="17"/>
  <c r="CH30" i="17" s="1"/>
  <c r="CL30" i="17" s="1"/>
  <c r="CS30" i="17" s="1"/>
  <c r="CW30" i="17" s="1"/>
  <c r="DA30" i="17" s="1"/>
  <c r="DE30" i="17" s="1"/>
  <c r="DI30" i="17" s="1"/>
  <c r="DM30" i="17" s="1"/>
  <c r="DQ30" i="17" s="1"/>
  <c r="DU30" i="17" s="1"/>
  <c r="DY30" i="17" s="1"/>
  <c r="EC30" i="17" s="1"/>
  <c r="CE30" i="17"/>
  <c r="ED30" i="17"/>
  <c r="EE30" i="17" s="1"/>
  <c r="EJ30" i="17" s="1"/>
  <c r="EF30" i="17"/>
  <c r="EG30" i="17" s="1"/>
  <c r="EI30" i="17"/>
  <c r="AF31" i="17"/>
  <c r="AG31" i="17"/>
  <c r="AH31" i="17"/>
  <c r="AO31" i="17"/>
  <c r="BQ31" i="17"/>
  <c r="BU31" i="17"/>
  <c r="BV31" i="17" s="1"/>
  <c r="BY31" i="17"/>
  <c r="BZ31" i="17" s="1"/>
  <c r="CC31" i="17"/>
  <c r="CD31" i="17" s="1"/>
  <c r="CG31" i="17"/>
  <c r="CH31" i="17" s="1"/>
  <c r="CK31" i="17"/>
  <c r="CL31" i="17" s="1"/>
  <c r="CP31" i="17"/>
  <c r="CR31" i="17" s="1"/>
  <c r="CS31" i="17" s="1"/>
  <c r="CV31" i="17"/>
  <c r="CW31" i="17"/>
  <c r="CZ31" i="17"/>
  <c r="DA31" i="17"/>
  <c r="DD31" i="17"/>
  <c r="DE31" i="17"/>
  <c r="DF31" i="17"/>
  <c r="DH31" i="17"/>
  <c r="DI31" i="17" s="1"/>
  <c r="DL31" i="17"/>
  <c r="DM31" i="17" s="1"/>
  <c r="DP31" i="17"/>
  <c r="DQ31" i="17" s="1"/>
  <c r="DT31" i="17"/>
  <c r="DU31" i="17" s="1"/>
  <c r="DX31" i="17"/>
  <c r="DY31" i="17" s="1"/>
  <c r="DZ31" i="17"/>
  <c r="EB31" i="17" s="1"/>
  <c r="EC31" i="17" s="1"/>
  <c r="AF32" i="17"/>
  <c r="AG32" i="17"/>
  <c r="AH32" i="17"/>
  <c r="AO32" i="17"/>
  <c r="BQ32" i="17"/>
  <c r="BR32" i="17"/>
  <c r="BU32" i="17"/>
  <c r="BV32" i="17"/>
  <c r="BY32" i="17"/>
  <c r="BZ32" i="17"/>
  <c r="CC32" i="17"/>
  <c r="CD32" i="17"/>
  <c r="CG32" i="17"/>
  <c r="CH32" i="17"/>
  <c r="CK32" i="17"/>
  <c r="CL32" i="17"/>
  <c r="CP32" i="17"/>
  <c r="CR32" i="17"/>
  <c r="CS32" i="17" s="1"/>
  <c r="CV32" i="17"/>
  <c r="CW32" i="17" s="1"/>
  <c r="CZ32" i="17"/>
  <c r="DA32" i="17" s="1"/>
  <c r="DB32" i="17"/>
  <c r="AF33" i="17"/>
  <c r="AG33" i="17"/>
  <c r="AO33" i="17" s="1"/>
  <c r="AH33" i="17"/>
  <c r="BQ33" i="17"/>
  <c r="BR33" i="17"/>
  <c r="BU33" i="17"/>
  <c r="BV33" i="17"/>
  <c r="BY33" i="17"/>
  <c r="BZ33" i="17"/>
  <c r="CC33" i="17"/>
  <c r="CD33" i="17"/>
  <c r="CG33" i="17"/>
  <c r="CH33" i="17"/>
  <c r="CK33" i="17"/>
  <c r="CL33" i="17"/>
  <c r="CR33" i="17"/>
  <c r="CS33" i="17"/>
  <c r="CV33" i="17"/>
  <c r="CW33" i="17"/>
  <c r="CX33" i="17"/>
  <c r="CZ33" i="17"/>
  <c r="DB33" i="17"/>
  <c r="AF34" i="17"/>
  <c r="AG34" i="17"/>
  <c r="AO34" i="17" s="1"/>
  <c r="AH34" i="17"/>
  <c r="BQ34" i="17"/>
  <c r="BR34" i="17"/>
  <c r="BU34" i="17"/>
  <c r="BV34" i="17"/>
  <c r="BY34" i="17"/>
  <c r="BZ34" i="17"/>
  <c r="CC34" i="17"/>
  <c r="CD34" i="17"/>
  <c r="CG34" i="17"/>
  <c r="CH34" i="17"/>
  <c r="CK34" i="17"/>
  <c r="CL34" i="17"/>
  <c r="CP34" i="17"/>
  <c r="CR34" i="17"/>
  <c r="CS34" i="17" s="1"/>
  <c r="CV34" i="17"/>
  <c r="CW34" i="17" s="1"/>
  <c r="CZ34" i="17"/>
  <c r="DA34" i="17" s="1"/>
  <c r="DB34" i="17"/>
  <c r="AF35" i="17"/>
  <c r="AG35" i="17"/>
  <c r="AH35" i="17"/>
  <c r="AO35" i="17"/>
  <c r="BQ35" i="17"/>
  <c r="BR35" i="17"/>
  <c r="BU35" i="17"/>
  <c r="BV35" i="17"/>
  <c r="BY35" i="17"/>
  <c r="BZ35" i="17"/>
  <c r="CC35" i="17"/>
  <c r="CD35" i="17"/>
  <c r="CG35" i="17"/>
  <c r="CH35" i="17"/>
  <c r="CK35" i="17"/>
  <c r="CL35" i="17"/>
  <c r="CR35" i="17"/>
  <c r="CS35" i="17"/>
  <c r="CV35" i="17"/>
  <c r="CW35" i="17"/>
  <c r="CX35" i="17"/>
  <c r="CZ35" i="17"/>
  <c r="DB35" i="17"/>
  <c r="AF36" i="17"/>
  <c r="AG36" i="17"/>
  <c r="AH36" i="17"/>
  <c r="AO36" i="17"/>
  <c r="BQ36" i="17"/>
  <c r="BR36" i="17"/>
  <c r="BU36" i="17"/>
  <c r="BV36" i="17"/>
  <c r="BY36" i="17"/>
  <c r="BZ36" i="17"/>
  <c r="CC36" i="17"/>
  <c r="CD36" i="17"/>
  <c r="CG36" i="17"/>
  <c r="CH36" i="17"/>
  <c r="CK36" i="17"/>
  <c r="CL36" i="17"/>
  <c r="CP36" i="17"/>
  <c r="CR36" i="17"/>
  <c r="CS36" i="17" s="1"/>
  <c r="CV36" i="17"/>
  <c r="CW36" i="17" s="1"/>
  <c r="CZ36" i="17"/>
  <c r="DA36" i="17" s="1"/>
  <c r="DB36" i="17"/>
  <c r="AF37" i="17"/>
  <c r="AG37" i="17"/>
  <c r="AO37" i="17" s="1"/>
  <c r="AH37" i="17"/>
  <c r="BZ37" i="17"/>
  <c r="CD37" i="17"/>
  <c r="CH37" i="17" s="1"/>
  <c r="CL37" i="17" s="1"/>
  <c r="CS37" i="17" s="1"/>
  <c r="CW37" i="17" s="1"/>
  <c r="DA37" i="17" s="1"/>
  <c r="DE37" i="17" s="1"/>
  <c r="DI37" i="17" s="1"/>
  <c r="DM37" i="17" s="1"/>
  <c r="DQ37" i="17" s="1"/>
  <c r="DU37" i="17" s="1"/>
  <c r="DY37" i="17" s="1"/>
  <c r="EC37" i="17" s="1"/>
  <c r="CE37" i="17"/>
  <c r="ED37" i="17"/>
  <c r="EE37" i="17" s="1"/>
  <c r="EJ37" i="17" s="1"/>
  <c r="AF38" i="17"/>
  <c r="AG38" i="17"/>
  <c r="AH38" i="17"/>
  <c r="AO38" i="17"/>
  <c r="BQ38" i="17"/>
  <c r="BU38" i="17"/>
  <c r="BV38" i="17" s="1"/>
  <c r="BY38" i="17"/>
  <c r="BZ38" i="17" s="1"/>
  <c r="CC38" i="17"/>
  <c r="CD38" i="17" s="1"/>
  <c r="CG38" i="17"/>
  <c r="CH38" i="17" s="1"/>
  <c r="CK38" i="17"/>
  <c r="CL38" i="17" s="1"/>
  <c r="CP38" i="17"/>
  <c r="CR38" i="17" s="1"/>
  <c r="CS38" i="17"/>
  <c r="CV38" i="17"/>
  <c r="CW38" i="17"/>
  <c r="CZ38" i="17"/>
  <c r="DA38" i="17"/>
  <c r="DD38" i="17"/>
  <c r="DE38" i="17"/>
  <c r="DF38" i="17"/>
  <c r="DH38" i="17"/>
  <c r="DI38" i="17" s="1"/>
  <c r="DL38" i="17"/>
  <c r="DM38" i="17" s="1"/>
  <c r="DP38" i="17"/>
  <c r="DQ38" i="17" s="1"/>
  <c r="DT38" i="17"/>
  <c r="DU38" i="17" s="1"/>
  <c r="DX38" i="17"/>
  <c r="DY38" i="17" s="1"/>
  <c r="DZ38" i="17"/>
  <c r="EB38" i="17" s="1"/>
  <c r="EC38" i="17"/>
  <c r="AF39" i="17"/>
  <c r="AG39" i="17"/>
  <c r="AH39" i="17"/>
  <c r="AO39" i="17"/>
  <c r="BQ39" i="17"/>
  <c r="BR39" i="17"/>
  <c r="BU39" i="17"/>
  <c r="BV39" i="17"/>
  <c r="BY39" i="17"/>
  <c r="BZ39" i="17"/>
  <c r="CC39" i="17"/>
  <c r="CD39" i="17"/>
  <c r="CG39" i="17"/>
  <c r="CH39" i="17"/>
  <c r="CK39" i="17"/>
  <c r="CL39" i="17"/>
  <c r="CP39" i="17"/>
  <c r="CR39" i="17"/>
  <c r="CS39" i="17" s="1"/>
  <c r="CV39" i="17"/>
  <c r="CW39" i="17" s="1"/>
  <c r="CZ39" i="17"/>
  <c r="DA39" i="17" s="1"/>
  <c r="DB39" i="17"/>
  <c r="AF40" i="17"/>
  <c r="AG40" i="17"/>
  <c r="AO40" i="17" s="1"/>
  <c r="AH40" i="17"/>
  <c r="BQ40" i="17"/>
  <c r="BR40" i="17"/>
  <c r="BU40" i="17"/>
  <c r="BV40" i="17"/>
  <c r="BY40" i="17"/>
  <c r="BZ40" i="17"/>
  <c r="CC40" i="17"/>
  <c r="CD40" i="17"/>
  <c r="CG40" i="17"/>
  <c r="CH40" i="17"/>
  <c r="CK40" i="17"/>
  <c r="CL40" i="17"/>
  <c r="CR40" i="17"/>
  <c r="CS40" i="17"/>
  <c r="CV40" i="17"/>
  <c r="CW40" i="17"/>
  <c r="CX40" i="17"/>
  <c r="CZ40" i="17"/>
  <c r="DB40" i="17"/>
  <c r="AF41" i="17"/>
  <c r="AG41" i="17"/>
  <c r="AO41" i="17" s="1"/>
  <c r="AH41" i="17"/>
  <c r="BQ41" i="17"/>
  <c r="BR41" i="17"/>
  <c r="BU41" i="17"/>
  <c r="BV41" i="17"/>
  <c r="BY41" i="17"/>
  <c r="BZ41" i="17"/>
  <c r="CC41" i="17"/>
  <c r="CD41" i="17"/>
  <c r="CG41" i="17"/>
  <c r="CH41" i="17"/>
  <c r="CK41" i="17"/>
  <c r="CL41" i="17"/>
  <c r="CP41" i="17"/>
  <c r="CR41" i="17"/>
  <c r="CS41" i="17" s="1"/>
  <c r="CV41" i="17"/>
  <c r="CW41" i="17" s="1"/>
  <c r="CZ41" i="17"/>
  <c r="DA41" i="17" s="1"/>
  <c r="DB41" i="17"/>
  <c r="AF42" i="17"/>
  <c r="AG42" i="17"/>
  <c r="AH42" i="17"/>
  <c r="AO42" i="17"/>
  <c r="BQ42" i="17"/>
  <c r="BR42" i="17"/>
  <c r="BU42" i="17"/>
  <c r="BV42" i="17"/>
  <c r="BY42" i="17"/>
  <c r="BZ42" i="17"/>
  <c r="CC42" i="17"/>
  <c r="CD42" i="17"/>
  <c r="CG42" i="17"/>
  <c r="CH42" i="17"/>
  <c r="CK42" i="17"/>
  <c r="CL42" i="17"/>
  <c r="CR42" i="17"/>
  <c r="CS42" i="17"/>
  <c r="CV42" i="17"/>
  <c r="CW42" i="17"/>
  <c r="CX42" i="17"/>
  <c r="CZ42" i="17"/>
  <c r="DB42" i="17"/>
  <c r="AF43" i="17"/>
  <c r="AG43" i="17"/>
  <c r="AH43" i="17"/>
  <c r="AO43" i="17"/>
  <c r="BQ43" i="17"/>
  <c r="BR43" i="17"/>
  <c r="BU43" i="17"/>
  <c r="BV43" i="17"/>
  <c r="BY43" i="17"/>
  <c r="BZ43" i="17"/>
  <c r="CC43" i="17"/>
  <c r="CD43" i="17"/>
  <c r="CG43" i="17"/>
  <c r="CH43" i="17"/>
  <c r="CK43" i="17"/>
  <c r="CL43" i="17"/>
  <c r="CP43" i="17"/>
  <c r="CR43" i="17"/>
  <c r="CS43" i="17" s="1"/>
  <c r="CV43" i="17"/>
  <c r="CW43" i="17" s="1"/>
  <c r="CZ43" i="17"/>
  <c r="DA43" i="17" s="1"/>
  <c r="DB43" i="17"/>
  <c r="AF44" i="17"/>
  <c r="AG44" i="17"/>
  <c r="AO44" i="17" s="1"/>
  <c r="AH44" i="17"/>
  <c r="BZ44" i="17"/>
  <c r="CD44" i="17"/>
  <c r="CH44" i="17" s="1"/>
  <c r="CL44" i="17" s="1"/>
  <c r="CS44" i="17" s="1"/>
  <c r="CW44" i="17" s="1"/>
  <c r="DA44" i="17" s="1"/>
  <c r="DE44" i="17" s="1"/>
  <c r="DI44" i="17" s="1"/>
  <c r="DM44" i="17" s="1"/>
  <c r="DQ44" i="17" s="1"/>
  <c r="DU44" i="17" s="1"/>
  <c r="DY44" i="17" s="1"/>
  <c r="EC44" i="17" s="1"/>
  <c r="CE44" i="17"/>
  <c r="ED44" i="17"/>
  <c r="AF45" i="17"/>
  <c r="AG45" i="17"/>
  <c r="AH45" i="17"/>
  <c r="AO45" i="17"/>
  <c r="BQ45" i="17"/>
  <c r="BR45" i="17" s="1"/>
  <c r="BU45" i="17"/>
  <c r="BY45" i="17"/>
  <c r="BZ45" i="17" s="1"/>
  <c r="CC45" i="17"/>
  <c r="CD45" i="17" s="1"/>
  <c r="CG45" i="17"/>
  <c r="CH45" i="17" s="1"/>
  <c r="CK45" i="17"/>
  <c r="CL45" i="17" s="1"/>
  <c r="CP45" i="17"/>
  <c r="CR45" i="17" s="1"/>
  <c r="CS45" i="17" s="1"/>
  <c r="CV45" i="17"/>
  <c r="CW45" i="17" s="1"/>
  <c r="CZ45" i="17"/>
  <c r="DA45" i="17"/>
  <c r="DD45" i="17"/>
  <c r="DE45" i="17" s="1"/>
  <c r="DF45" i="17"/>
  <c r="DH45" i="17"/>
  <c r="DI45" i="17"/>
  <c r="DL45" i="17"/>
  <c r="DM45" i="17" s="1"/>
  <c r="DP45" i="17"/>
  <c r="DQ45" i="17" s="1"/>
  <c r="DT45" i="17"/>
  <c r="DU45" i="17" s="1"/>
  <c r="DX45" i="17"/>
  <c r="DY45" i="17" s="1"/>
  <c r="DZ45" i="17"/>
  <c r="EB45" i="17" s="1"/>
  <c r="EC45" i="17"/>
  <c r="AF46" i="17"/>
  <c r="AG46" i="17"/>
  <c r="AH46" i="17"/>
  <c r="AO46" i="17"/>
  <c r="BQ46" i="17"/>
  <c r="BR46" i="17"/>
  <c r="BU46" i="17"/>
  <c r="BV46" i="17" s="1"/>
  <c r="BY46" i="17"/>
  <c r="BZ46" i="17"/>
  <c r="CC46" i="17"/>
  <c r="CD46" i="17" s="1"/>
  <c r="CG46" i="17"/>
  <c r="CH46" i="17"/>
  <c r="CK46" i="17"/>
  <c r="CL46" i="17" s="1"/>
  <c r="CP46" i="17"/>
  <c r="CR46" i="17"/>
  <c r="CS46" i="17"/>
  <c r="CV46" i="17"/>
  <c r="CW46" i="17" s="1"/>
  <c r="CZ46" i="17"/>
  <c r="DA46" i="17" s="1"/>
  <c r="DB46" i="17"/>
  <c r="AF47" i="17"/>
  <c r="AG47" i="17"/>
  <c r="AH47" i="17"/>
  <c r="AO47" i="17"/>
  <c r="BQ47" i="17"/>
  <c r="BR47" i="17" s="1"/>
  <c r="BU47" i="17"/>
  <c r="BY47" i="17"/>
  <c r="BZ47" i="17" s="1"/>
  <c r="CC47" i="17"/>
  <c r="CD47" i="17" s="1"/>
  <c r="CG47" i="17"/>
  <c r="CH47" i="17" s="1"/>
  <c r="CK47" i="17"/>
  <c r="CL47" i="17" s="1"/>
  <c r="CR47" i="17"/>
  <c r="CS47" i="17" s="1"/>
  <c r="CV47" i="17"/>
  <c r="CW47" i="17" s="1"/>
  <c r="CX47" i="17"/>
  <c r="CZ47" i="17" s="1"/>
  <c r="DA47" i="17" s="1"/>
  <c r="DB47" i="17"/>
  <c r="DD47" i="17" s="1"/>
  <c r="DE47" i="17" s="1"/>
  <c r="DF47" i="17"/>
  <c r="AF48" i="17"/>
  <c r="AG48" i="17"/>
  <c r="AO48" i="17" s="1"/>
  <c r="AH48" i="17"/>
  <c r="BQ48" i="17"/>
  <c r="BR48" i="17" s="1"/>
  <c r="BU48" i="17"/>
  <c r="BV48" i="17" s="1"/>
  <c r="BY48" i="17"/>
  <c r="BZ48" i="17" s="1"/>
  <c r="CC48" i="17"/>
  <c r="CD48" i="17" s="1"/>
  <c r="CG48" i="17"/>
  <c r="CH48" i="17" s="1"/>
  <c r="CK48" i="17"/>
  <c r="CL48" i="17" s="1"/>
  <c r="CP48" i="17"/>
  <c r="CR48" i="17" s="1"/>
  <c r="CS48" i="17" s="1"/>
  <c r="CV48" i="17"/>
  <c r="CW48" i="17"/>
  <c r="CZ48" i="17"/>
  <c r="DA48" i="17" s="1"/>
  <c r="DB48" i="17"/>
  <c r="DD48" i="17"/>
  <c r="DE48" i="17" s="1"/>
  <c r="DF48" i="17"/>
  <c r="DH48" i="17" s="1"/>
  <c r="DI48" i="17" s="1"/>
  <c r="DJ48" i="17"/>
  <c r="DL48" i="17" s="1"/>
  <c r="DM48" i="17" s="1"/>
  <c r="DN48" i="17"/>
  <c r="AF49" i="17"/>
  <c r="AG49" i="17"/>
  <c r="AH49" i="17"/>
  <c r="AO49" i="17"/>
  <c r="BQ49" i="17"/>
  <c r="BR49" i="17" s="1"/>
  <c r="BU49" i="17"/>
  <c r="BY49" i="17"/>
  <c r="BZ49" i="17" s="1"/>
  <c r="CC49" i="17"/>
  <c r="CD49" i="17" s="1"/>
  <c r="CG49" i="17"/>
  <c r="CH49" i="17" s="1"/>
  <c r="CK49" i="17"/>
  <c r="CL49" i="17" s="1"/>
  <c r="CR49" i="17"/>
  <c r="CS49" i="17" s="1"/>
  <c r="CV49" i="17"/>
  <c r="CW49" i="17" s="1"/>
  <c r="CX49" i="17"/>
  <c r="CZ49" i="17" s="1"/>
  <c r="DA49" i="17" s="1"/>
  <c r="DB49" i="17"/>
  <c r="DD49" i="17" s="1"/>
  <c r="DE49" i="17" s="1"/>
  <c r="DF49" i="17"/>
  <c r="AF50" i="17"/>
  <c r="AG50" i="17"/>
  <c r="AO50" i="17" s="1"/>
  <c r="AH50" i="17"/>
  <c r="BQ50" i="17"/>
  <c r="BR50" i="17" s="1"/>
  <c r="BU50" i="17"/>
  <c r="BV50" i="17" s="1"/>
  <c r="BY50" i="17"/>
  <c r="BZ50" i="17" s="1"/>
  <c r="CC50" i="17"/>
  <c r="CD50" i="17" s="1"/>
  <c r="CG50" i="17"/>
  <c r="CH50" i="17"/>
  <c r="CK50" i="17"/>
  <c r="CL50" i="17" s="1"/>
  <c r="CP50" i="17"/>
  <c r="CR50" i="17" s="1"/>
  <c r="CS50" i="17" s="1"/>
  <c r="CV50" i="17"/>
  <c r="CW50" i="17"/>
  <c r="CZ50" i="17"/>
  <c r="DA50" i="17" s="1"/>
  <c r="DB50" i="17"/>
  <c r="DD50" i="17"/>
  <c r="DE50" i="17" s="1"/>
  <c r="DF50" i="17"/>
  <c r="DH50" i="17" s="1"/>
  <c r="DI50" i="17" s="1"/>
  <c r="DJ50" i="17"/>
  <c r="DL50" i="17" s="1"/>
  <c r="DM50" i="17" s="1"/>
  <c r="AF51" i="17"/>
  <c r="AG51" i="17"/>
  <c r="AH51" i="17"/>
  <c r="AO51" i="17"/>
  <c r="BZ51" i="17"/>
  <c r="CD51" i="17" s="1"/>
  <c r="CE51" i="17"/>
  <c r="CH51" i="17"/>
  <c r="CL51" i="17" s="1"/>
  <c r="CS51" i="17" s="1"/>
  <c r="CW51" i="17" s="1"/>
  <c r="DA51" i="17" s="1"/>
  <c r="DE51" i="17" s="1"/>
  <c r="DI51" i="17" s="1"/>
  <c r="DM51" i="17" s="1"/>
  <c r="DQ51" i="17" s="1"/>
  <c r="DU51" i="17" s="1"/>
  <c r="DY51" i="17" s="1"/>
  <c r="EC51" i="17" s="1"/>
  <c r="ED51" i="17"/>
  <c r="EE51" i="17" s="1"/>
  <c r="AF52" i="17"/>
  <c r="AG52" i="17"/>
  <c r="AH52" i="17"/>
  <c r="AO52" i="17"/>
  <c r="BQ52" i="17"/>
  <c r="BR52" i="17"/>
  <c r="BU52" i="17"/>
  <c r="BV52" i="17"/>
  <c r="BY52" i="17"/>
  <c r="BZ52" i="17"/>
  <c r="CC52" i="17"/>
  <c r="CD52" i="17"/>
  <c r="CG52" i="17"/>
  <c r="CH52" i="17"/>
  <c r="CK52" i="17"/>
  <c r="CL52" i="17"/>
  <c r="CP52" i="17"/>
  <c r="CR52" i="17"/>
  <c r="CS52" i="17" s="1"/>
  <c r="CV52" i="17"/>
  <c r="CZ52" i="17"/>
  <c r="DA52" i="17" s="1"/>
  <c r="DD52" i="17"/>
  <c r="DE52" i="17" s="1"/>
  <c r="DF52" i="17"/>
  <c r="DH52" i="17" s="1"/>
  <c r="DI52" i="17" s="1"/>
  <c r="DL52" i="17"/>
  <c r="DM52" i="17"/>
  <c r="DP52" i="17"/>
  <c r="DQ52" i="17" s="1"/>
  <c r="DT52" i="17"/>
  <c r="DU52" i="17"/>
  <c r="DX52" i="17"/>
  <c r="DY52" i="17" s="1"/>
  <c r="DZ52" i="17"/>
  <c r="EB52" i="17"/>
  <c r="EC52" i="17" s="1"/>
  <c r="AF53" i="17"/>
  <c r="AG53" i="17"/>
  <c r="AO53" i="17" s="1"/>
  <c r="AH53" i="17"/>
  <c r="BQ53" i="17"/>
  <c r="BR53" i="17" s="1"/>
  <c r="BU53" i="17"/>
  <c r="BV53" i="17"/>
  <c r="BY53" i="17"/>
  <c r="BZ53" i="17" s="1"/>
  <c r="CC53" i="17"/>
  <c r="CD53" i="17"/>
  <c r="CG53" i="17"/>
  <c r="CH53" i="17" s="1"/>
  <c r="CK53" i="17"/>
  <c r="CL53" i="17"/>
  <c r="CP53" i="17"/>
  <c r="CR53" i="17" s="1"/>
  <c r="CV53" i="17"/>
  <c r="CW53" i="17" s="1"/>
  <c r="CZ53" i="17"/>
  <c r="DA53" i="17" s="1"/>
  <c r="DB53" i="17"/>
  <c r="AF54" i="17"/>
  <c r="AG54" i="17"/>
  <c r="AO54" i="17" s="1"/>
  <c r="AH54" i="17"/>
  <c r="BQ54" i="17"/>
  <c r="BR54" i="17"/>
  <c r="BU54" i="17"/>
  <c r="BV54" i="17" s="1"/>
  <c r="BY54" i="17"/>
  <c r="BZ54" i="17"/>
  <c r="CC54" i="17"/>
  <c r="CD54" i="17" s="1"/>
  <c r="CG54" i="17"/>
  <c r="CH54" i="17"/>
  <c r="CK54" i="17"/>
  <c r="CL54" i="17" s="1"/>
  <c r="CR54" i="17"/>
  <c r="CS54" i="17"/>
  <c r="CV54" i="17"/>
  <c r="CW54" i="17" s="1"/>
  <c r="CX54" i="17"/>
  <c r="CZ54" i="17"/>
  <c r="DA54" i="17" s="1"/>
  <c r="DB54" i="17"/>
  <c r="DD54" i="17" s="1"/>
  <c r="DE54" i="17" s="1"/>
  <c r="DF54" i="17"/>
  <c r="DH54" i="17" s="1"/>
  <c r="DI54" i="17" s="1"/>
  <c r="DJ54" i="17"/>
  <c r="AF55" i="17"/>
  <c r="AG55" i="17"/>
  <c r="AH55" i="17"/>
  <c r="AO55" i="17"/>
  <c r="BQ55" i="17"/>
  <c r="BR55" i="17" s="1"/>
  <c r="BU55" i="17"/>
  <c r="BV55" i="17"/>
  <c r="BY55" i="17"/>
  <c r="BZ55" i="17" s="1"/>
  <c r="CC55" i="17"/>
  <c r="CD55" i="17"/>
  <c r="CG55" i="17"/>
  <c r="CH55" i="17" s="1"/>
  <c r="CK55" i="17"/>
  <c r="CL55" i="17"/>
  <c r="CP55" i="17"/>
  <c r="CR55" i="17" s="1"/>
  <c r="CV55" i="17"/>
  <c r="CW55" i="17" s="1"/>
  <c r="CZ55" i="17"/>
  <c r="DA55" i="17" s="1"/>
  <c r="DB55" i="17"/>
  <c r="AF56" i="17"/>
  <c r="AG56" i="17"/>
  <c r="AO56" i="17" s="1"/>
  <c r="AH56" i="17"/>
  <c r="BQ56" i="17"/>
  <c r="BR56" i="17"/>
  <c r="BU56" i="17"/>
  <c r="BV56" i="17" s="1"/>
  <c r="BY56" i="17"/>
  <c r="BZ56" i="17"/>
  <c r="CC56" i="17"/>
  <c r="CD56" i="17" s="1"/>
  <c r="CG56" i="17"/>
  <c r="CH56" i="17"/>
  <c r="CK56" i="17"/>
  <c r="CL56" i="17" s="1"/>
  <c r="CR56" i="17"/>
  <c r="CS56" i="17"/>
  <c r="CV56" i="17"/>
  <c r="CW56" i="17" s="1"/>
  <c r="CX56" i="17"/>
  <c r="CZ56" i="17"/>
  <c r="DA56" i="17" s="1"/>
  <c r="DB56" i="17"/>
  <c r="DD56" i="17" s="1"/>
  <c r="DE56" i="17"/>
  <c r="DF56" i="17"/>
  <c r="DH56" i="17" s="1"/>
  <c r="DI56" i="17" s="1"/>
  <c r="DJ56" i="17"/>
  <c r="AF57" i="17"/>
  <c r="AG57" i="17"/>
  <c r="AH57" i="17"/>
  <c r="AO57" i="17"/>
  <c r="BQ57" i="17"/>
  <c r="BR57" i="17" s="1"/>
  <c r="BU57" i="17"/>
  <c r="BV57" i="17"/>
  <c r="BY57" i="17"/>
  <c r="BZ57" i="17" s="1"/>
  <c r="CC57" i="17"/>
  <c r="CD57" i="17"/>
  <c r="CG57" i="17"/>
  <c r="CH57" i="17" s="1"/>
  <c r="CK57" i="17"/>
  <c r="CL57" i="17"/>
  <c r="CP57" i="17"/>
  <c r="CR57" i="17" s="1"/>
  <c r="CV57" i="17"/>
  <c r="CW57" i="17" s="1"/>
  <c r="CZ57" i="17"/>
  <c r="DA57" i="17" s="1"/>
  <c r="DB57" i="17"/>
  <c r="AF58" i="17"/>
  <c r="AG58" i="17"/>
  <c r="AO58" i="17" s="1"/>
  <c r="AH58" i="17"/>
  <c r="BZ58" i="17"/>
  <c r="CD58" i="17"/>
  <c r="CH58" i="17" s="1"/>
  <c r="CL58" i="17" s="1"/>
  <c r="CS58" i="17" s="1"/>
  <c r="CW58" i="17" s="1"/>
  <c r="DA58" i="17" s="1"/>
  <c r="DE58" i="17" s="1"/>
  <c r="DI58" i="17" s="1"/>
  <c r="DM58" i="17" s="1"/>
  <c r="DQ58" i="17" s="1"/>
  <c r="DU58" i="17" s="1"/>
  <c r="DY58" i="17" s="1"/>
  <c r="EC58" i="17" s="1"/>
  <c r="CE58" i="17"/>
  <c r="ED58" i="17"/>
  <c r="EE58" i="17" s="1"/>
  <c r="EJ58" i="17" s="1"/>
  <c r="EF58" i="17"/>
  <c r="EG58" i="17" s="1"/>
  <c r="EI58" i="17"/>
  <c r="AF59" i="17"/>
  <c r="AG59" i="17"/>
  <c r="AO59" i="17" s="1"/>
  <c r="AH59" i="17"/>
  <c r="BQ59" i="17"/>
  <c r="BR59" i="17"/>
  <c r="BU59" i="17"/>
  <c r="BV59" i="17" s="1"/>
  <c r="BY59" i="17"/>
  <c r="BZ59" i="17" s="1"/>
  <c r="CC59" i="17"/>
  <c r="CD59" i="17" s="1"/>
  <c r="CG59" i="17"/>
  <c r="CH59" i="17" s="1"/>
  <c r="CK59" i="17"/>
  <c r="CL59" i="17" s="1"/>
  <c r="CP59" i="17"/>
  <c r="CR59" i="17"/>
  <c r="CS59" i="17" s="1"/>
  <c r="CV59" i="17"/>
  <c r="CW59" i="17"/>
  <c r="CZ59" i="17"/>
  <c r="DA59" i="17" s="1"/>
  <c r="DD59" i="17"/>
  <c r="DE59" i="17"/>
  <c r="DF59" i="17"/>
  <c r="DH59" i="17" s="1"/>
  <c r="DI59" i="17" s="1"/>
  <c r="DL59" i="17"/>
  <c r="DM59" i="17" s="1"/>
  <c r="DP59" i="17"/>
  <c r="DQ59" i="17" s="1"/>
  <c r="DT59" i="17"/>
  <c r="DU59" i="17"/>
  <c r="DX59" i="17"/>
  <c r="DY59" i="17" s="1"/>
  <c r="DZ59" i="17"/>
  <c r="EB59" i="17" s="1"/>
  <c r="EC59" i="17" s="1"/>
  <c r="AF60" i="17"/>
  <c r="AG60" i="17"/>
  <c r="AH60" i="17"/>
  <c r="AO60" i="17"/>
  <c r="BQ60" i="17"/>
  <c r="BR60" i="17" s="1"/>
  <c r="BU60" i="17"/>
  <c r="BV60" i="17"/>
  <c r="BY60" i="17"/>
  <c r="BZ60" i="17" s="1"/>
  <c r="CC60" i="17"/>
  <c r="CD60" i="17"/>
  <c r="CG60" i="17"/>
  <c r="CH60" i="17" s="1"/>
  <c r="CK60" i="17"/>
  <c r="CL60" i="17"/>
  <c r="CP60" i="17"/>
  <c r="CR60" i="17" s="1"/>
  <c r="CS60" i="17" s="1"/>
  <c r="CV60" i="17"/>
  <c r="CW60" i="17" s="1"/>
  <c r="CZ60" i="17"/>
  <c r="DA60" i="17" s="1"/>
  <c r="DB60" i="17"/>
  <c r="DF60" i="17" s="1"/>
  <c r="DH60" i="17" s="1"/>
  <c r="DD60" i="17"/>
  <c r="DE60" i="17" s="1"/>
  <c r="DJ60" i="17"/>
  <c r="DL60" i="17" s="1"/>
  <c r="DM60" i="17" s="1"/>
  <c r="AF61" i="17"/>
  <c r="AG61" i="17"/>
  <c r="AH61" i="17"/>
  <c r="AO61" i="17"/>
  <c r="BQ61" i="17"/>
  <c r="BR61" i="17"/>
  <c r="BU61" i="17"/>
  <c r="BV61" i="17"/>
  <c r="BY61" i="17"/>
  <c r="BZ61" i="17"/>
  <c r="CC61" i="17"/>
  <c r="CD61" i="17"/>
  <c r="CG61" i="17"/>
  <c r="CH61" i="17"/>
  <c r="CK61" i="17"/>
  <c r="CL61" i="17"/>
  <c r="CR61" i="17"/>
  <c r="CS61" i="17"/>
  <c r="CV61" i="17"/>
  <c r="CW61" i="17"/>
  <c r="CX61" i="17"/>
  <c r="CZ61" i="17"/>
  <c r="DA61" i="17" s="1"/>
  <c r="DB61" i="17"/>
  <c r="DD61" i="17" s="1"/>
  <c r="DE61" i="17" s="1"/>
  <c r="AF62" i="17"/>
  <c r="AG62" i="17"/>
  <c r="AO62" i="17" s="1"/>
  <c r="AH62" i="17"/>
  <c r="BQ62" i="17"/>
  <c r="BR62" i="17" s="1"/>
  <c r="BU62" i="17"/>
  <c r="BV62" i="17"/>
  <c r="BY62" i="17"/>
  <c r="BZ62" i="17" s="1"/>
  <c r="CC62" i="17"/>
  <c r="CD62" i="17"/>
  <c r="CG62" i="17"/>
  <c r="CH62" i="17" s="1"/>
  <c r="CK62" i="17"/>
  <c r="CL62" i="17"/>
  <c r="CP62" i="17"/>
  <c r="CR62" i="17" s="1"/>
  <c r="CS62" i="17" s="1"/>
  <c r="CV62" i="17"/>
  <c r="CW62" i="17"/>
  <c r="CZ62" i="17"/>
  <c r="DA62" i="17" s="1"/>
  <c r="DB62" i="17"/>
  <c r="DF62" i="17" s="1"/>
  <c r="DD62" i="17"/>
  <c r="DE62" i="17"/>
  <c r="DH62" i="17"/>
  <c r="DI62" i="17" s="1"/>
  <c r="DJ62" i="17"/>
  <c r="DL62" i="17" s="1"/>
  <c r="DM62" i="17"/>
  <c r="DN62" i="17"/>
  <c r="DP62" i="17" s="1"/>
  <c r="DQ62" i="17" s="1"/>
  <c r="AF63" i="17"/>
  <c r="AG63" i="17"/>
  <c r="AO63" i="17" s="1"/>
  <c r="AH63" i="17"/>
  <c r="BQ63" i="17"/>
  <c r="BR63" i="17"/>
  <c r="BU63" i="17"/>
  <c r="BV63" i="17" s="1"/>
  <c r="BY63" i="17"/>
  <c r="BZ63" i="17"/>
  <c r="CC63" i="17"/>
  <c r="CD63" i="17" s="1"/>
  <c r="CG63" i="17"/>
  <c r="CH63" i="17"/>
  <c r="CK63" i="17"/>
  <c r="CL63" i="17" s="1"/>
  <c r="CR63" i="17"/>
  <c r="CS63" i="17"/>
  <c r="CV63" i="17"/>
  <c r="CW63" i="17" s="1"/>
  <c r="CX63" i="17"/>
  <c r="CZ63" i="17"/>
  <c r="DA63" i="17" s="1"/>
  <c r="DB63" i="17"/>
  <c r="DD63" i="17" s="1"/>
  <c r="DE63" i="17"/>
  <c r="DF63" i="17"/>
  <c r="DH63" i="17" s="1"/>
  <c r="AF64" i="17"/>
  <c r="AG64" i="17"/>
  <c r="AH64" i="17"/>
  <c r="AO64" i="17"/>
  <c r="BQ64" i="17"/>
  <c r="BR64" i="17"/>
  <c r="BU64" i="17"/>
  <c r="BV64" i="17" s="1"/>
  <c r="BY64" i="17"/>
  <c r="BZ64" i="17"/>
  <c r="CC64" i="17"/>
  <c r="CD64" i="17" s="1"/>
  <c r="CG64" i="17"/>
  <c r="CH64" i="17"/>
  <c r="CK64" i="17"/>
  <c r="CL64" i="17" s="1"/>
  <c r="CP64" i="17"/>
  <c r="CR64" i="17"/>
  <c r="CS64" i="17"/>
  <c r="CV64" i="17"/>
  <c r="CW64" i="17" s="1"/>
  <c r="CZ64" i="17"/>
  <c r="DA64" i="17"/>
  <c r="DB64" i="17"/>
  <c r="DD64" i="17" s="1"/>
  <c r="DE64" i="17" s="1"/>
  <c r="DF64" i="17"/>
  <c r="DH64" i="17" s="1"/>
  <c r="DI64" i="17" s="1"/>
  <c r="AF65" i="17"/>
  <c r="AG65" i="17"/>
  <c r="AH65" i="17"/>
  <c r="AO65" i="17"/>
  <c r="BZ65" i="17"/>
  <c r="CD65" i="17" s="1"/>
  <c r="CH65" i="17" s="1"/>
  <c r="CL65" i="17" s="1"/>
  <c r="CS65" i="17" s="1"/>
  <c r="CW65" i="17" s="1"/>
  <c r="DA65" i="17" s="1"/>
  <c r="DE65" i="17" s="1"/>
  <c r="DI65" i="17" s="1"/>
  <c r="DM65" i="17" s="1"/>
  <c r="DQ65" i="17" s="1"/>
  <c r="DU65" i="17" s="1"/>
  <c r="DY65" i="17" s="1"/>
  <c r="EC65" i="17" s="1"/>
  <c r="CE65" i="17"/>
  <c r="ED65" i="17"/>
  <c r="EE65" i="17"/>
  <c r="EF65" i="17" s="1"/>
  <c r="EG65" i="17" s="1"/>
  <c r="EI65" i="17"/>
  <c r="EJ65" i="17"/>
  <c r="AF66" i="17"/>
  <c r="AG66" i="17"/>
  <c r="AH66" i="17"/>
  <c r="AO66" i="17"/>
  <c r="BQ66" i="17"/>
  <c r="BR66" i="17" s="1"/>
  <c r="BU66" i="17"/>
  <c r="BV66" i="17"/>
  <c r="BY66" i="17"/>
  <c r="BZ66" i="17" s="1"/>
  <c r="CC66" i="17"/>
  <c r="CD66" i="17"/>
  <c r="CG66" i="17"/>
  <c r="CH66" i="17" s="1"/>
  <c r="CK66" i="17"/>
  <c r="CL66" i="17"/>
  <c r="CP66" i="17"/>
  <c r="CR66" i="17" s="1"/>
  <c r="CS66" i="17" s="1"/>
  <c r="CV66" i="17"/>
  <c r="CW66" i="17" s="1"/>
  <c r="CZ66" i="17"/>
  <c r="DA66" i="17"/>
  <c r="DD66" i="17"/>
  <c r="DE66" i="17" s="1"/>
  <c r="DF66" i="17"/>
  <c r="DH66" i="17"/>
  <c r="DI66" i="17"/>
  <c r="DL66" i="17"/>
  <c r="DM66" i="17" s="1"/>
  <c r="DP66" i="17"/>
  <c r="DQ66" i="17"/>
  <c r="DT66" i="17"/>
  <c r="DU66" i="17" s="1"/>
  <c r="DX66" i="17"/>
  <c r="DY66" i="17"/>
  <c r="DZ66" i="17"/>
  <c r="EB66" i="17" s="1"/>
  <c r="EC66" i="17" s="1"/>
  <c r="ED66" i="17"/>
  <c r="EE66" i="17" s="1"/>
  <c r="AF67" i="17"/>
  <c r="AG67" i="17"/>
  <c r="AO67" i="17" s="1"/>
  <c r="AH67" i="17"/>
  <c r="BQ67" i="17"/>
  <c r="BR67" i="17"/>
  <c r="BU67" i="17"/>
  <c r="BY67" i="17"/>
  <c r="BZ67" i="17"/>
  <c r="CC67" i="17"/>
  <c r="CD67" i="17" s="1"/>
  <c r="CG67" i="17"/>
  <c r="CH67" i="17"/>
  <c r="CK67" i="17"/>
  <c r="CL67" i="17" s="1"/>
  <c r="CP67" i="17"/>
  <c r="CR67" i="17"/>
  <c r="CS67" i="17"/>
  <c r="CV67" i="17"/>
  <c r="CW67" i="17" s="1"/>
  <c r="CZ67" i="17"/>
  <c r="DA67" i="17"/>
  <c r="DB67" i="17"/>
  <c r="DD67" i="17" s="1"/>
  <c r="DE67" i="17" s="1"/>
  <c r="DF67" i="17"/>
  <c r="AF68" i="17"/>
  <c r="AG68" i="17"/>
  <c r="AH68" i="17"/>
  <c r="AO68" i="17"/>
  <c r="BQ68" i="17"/>
  <c r="BR68" i="17" s="1"/>
  <c r="BU68" i="17"/>
  <c r="BV68" i="17"/>
  <c r="BY68" i="17"/>
  <c r="BZ68" i="17" s="1"/>
  <c r="CC68" i="17"/>
  <c r="CD68" i="17"/>
  <c r="CG68" i="17"/>
  <c r="CH68" i="17" s="1"/>
  <c r="CK68" i="17"/>
  <c r="CL68" i="17"/>
  <c r="CR68" i="17"/>
  <c r="CS68" i="17" s="1"/>
  <c r="CV68" i="17"/>
  <c r="CW68" i="17"/>
  <c r="CX68" i="17"/>
  <c r="CZ68" i="17" s="1"/>
  <c r="DA68" i="17" s="1"/>
  <c r="DB68" i="17"/>
  <c r="DF68" i="17" s="1"/>
  <c r="DJ68" i="17" s="1"/>
  <c r="DL68" i="17" s="1"/>
  <c r="DD68" i="17"/>
  <c r="DE68" i="17" s="1"/>
  <c r="DH68" i="17"/>
  <c r="DI68" i="17" s="1"/>
  <c r="DM68" i="17"/>
  <c r="DN68" i="17"/>
  <c r="DP68" i="17" s="1"/>
  <c r="DQ68" i="17" s="1"/>
  <c r="DR68" i="17"/>
  <c r="DV68" i="17" s="1"/>
  <c r="DZ68" i="17" s="1"/>
  <c r="EB68" i="17" s="1"/>
  <c r="EC68" i="17"/>
  <c r="AF69" i="17"/>
  <c r="AG69" i="17"/>
  <c r="AO69" i="17" s="1"/>
  <c r="AH69" i="17"/>
  <c r="BQ69" i="17"/>
  <c r="BR69" i="17"/>
  <c r="BU69" i="17"/>
  <c r="BY69" i="17"/>
  <c r="BZ69" i="17"/>
  <c r="CC69" i="17"/>
  <c r="CD69" i="17" s="1"/>
  <c r="CG69" i="17"/>
  <c r="CH69" i="17"/>
  <c r="CK69" i="17"/>
  <c r="CL69" i="17" s="1"/>
  <c r="CP69" i="17"/>
  <c r="CR69" i="17"/>
  <c r="CS69" i="17"/>
  <c r="CV69" i="17"/>
  <c r="CW69" i="17" s="1"/>
  <c r="CZ69" i="17"/>
  <c r="DA69" i="17" s="1"/>
  <c r="DB69" i="17"/>
  <c r="DD69" i="17" s="1"/>
  <c r="DE69" i="17"/>
  <c r="DF69" i="17"/>
  <c r="DH69" i="17" s="1"/>
  <c r="DI69" i="17" s="1"/>
  <c r="AF70" i="17"/>
  <c r="AG70" i="17"/>
  <c r="AH70" i="17"/>
  <c r="AO70" i="17"/>
  <c r="BQ70" i="17"/>
  <c r="BR70" i="17" s="1"/>
  <c r="BU70" i="17"/>
  <c r="BV70" i="17"/>
  <c r="BY70" i="17"/>
  <c r="BZ70" i="17" s="1"/>
  <c r="CC70" i="17"/>
  <c r="CD70" i="17"/>
  <c r="CG70" i="17"/>
  <c r="CH70" i="17" s="1"/>
  <c r="CK70" i="17"/>
  <c r="CL70" i="17"/>
  <c r="CR70" i="17"/>
  <c r="CS70" i="17" s="1"/>
  <c r="CV70" i="17"/>
  <c r="CW70" i="17"/>
  <c r="CX70" i="17"/>
  <c r="CZ70" i="17" s="1"/>
  <c r="DA70" i="17" s="1"/>
  <c r="AF71" i="17"/>
  <c r="AG71" i="17"/>
  <c r="AO71" i="17" s="1"/>
  <c r="AH71" i="17"/>
  <c r="BQ71" i="17"/>
  <c r="BR71" i="17"/>
  <c r="BU71" i="17"/>
  <c r="BY71" i="17"/>
  <c r="BZ71" i="17"/>
  <c r="CC71" i="17"/>
  <c r="CD71" i="17" s="1"/>
  <c r="CG71" i="17"/>
  <c r="CH71" i="17"/>
  <c r="CK71" i="17"/>
  <c r="CL71" i="17" s="1"/>
  <c r="CP71" i="17"/>
  <c r="CR71" i="17"/>
  <c r="CS71" i="17" s="1"/>
  <c r="CV71" i="17"/>
  <c r="CW71" i="17" s="1"/>
  <c r="CZ71" i="17"/>
  <c r="DA71" i="17"/>
  <c r="DB71" i="17"/>
  <c r="DD71" i="17" s="1"/>
  <c r="DE71" i="17"/>
  <c r="DF71" i="17"/>
  <c r="DH71" i="17" s="1"/>
  <c r="DI71" i="17" s="1"/>
  <c r="DJ71" i="17"/>
  <c r="DN71" i="17" s="1"/>
  <c r="DR71" i="17" s="1"/>
  <c r="DT71" i="17" s="1"/>
  <c r="DU71" i="17"/>
  <c r="AF72" i="17"/>
  <c r="AG72" i="17"/>
  <c r="AH72" i="17"/>
  <c r="AO72" i="17"/>
  <c r="BZ72" i="17"/>
  <c r="CD72" i="17" s="1"/>
  <c r="CH72" i="17" s="1"/>
  <c r="CL72" i="17" s="1"/>
  <c r="CS72" i="17" s="1"/>
  <c r="CW72" i="17" s="1"/>
  <c r="DA72" i="17" s="1"/>
  <c r="DE72" i="17" s="1"/>
  <c r="DI72" i="17" s="1"/>
  <c r="DM72" i="17" s="1"/>
  <c r="DQ72" i="17" s="1"/>
  <c r="DU72" i="17" s="1"/>
  <c r="DY72" i="17" s="1"/>
  <c r="EC72" i="17" s="1"/>
  <c r="CE72" i="17"/>
  <c r="ED72" i="17"/>
  <c r="EI72" i="17" s="1"/>
  <c r="EE72" i="17"/>
  <c r="EF72" i="17" s="1"/>
  <c r="EG72" i="17" s="1"/>
  <c r="AF73" i="17"/>
  <c r="AG73" i="17"/>
  <c r="AH73" i="17"/>
  <c r="AO73" i="17"/>
  <c r="BQ73" i="17"/>
  <c r="BR73" i="17" s="1"/>
  <c r="BU73" i="17"/>
  <c r="BV73" i="17" s="1"/>
  <c r="BY73" i="17"/>
  <c r="BZ73" i="17" s="1"/>
  <c r="CC73" i="17"/>
  <c r="CD73" i="17"/>
  <c r="CG73" i="17"/>
  <c r="CH73" i="17" s="1"/>
  <c r="CK73" i="17"/>
  <c r="CL73" i="17"/>
  <c r="CP73" i="17"/>
  <c r="CR73" i="17" s="1"/>
  <c r="CS73" i="17" s="1"/>
  <c r="CV73" i="17"/>
  <c r="CW73" i="17" s="1"/>
  <c r="CZ73" i="17"/>
  <c r="DA73" i="17"/>
  <c r="DD73" i="17"/>
  <c r="DE73" i="17" s="1"/>
  <c r="DF73" i="17"/>
  <c r="DH73" i="17"/>
  <c r="DI73" i="17"/>
  <c r="DL73" i="17"/>
  <c r="DM73" i="17" s="1"/>
  <c r="DP73" i="17"/>
  <c r="DQ73" i="17"/>
  <c r="DT73" i="17"/>
  <c r="DU73" i="17" s="1"/>
  <c r="DX73" i="17"/>
  <c r="DY73" i="17"/>
  <c r="DZ73" i="17"/>
  <c r="EB73" i="17" s="1"/>
  <c r="EC73" i="17"/>
  <c r="AF74" i="17"/>
  <c r="AG74" i="17"/>
  <c r="AO74" i="17" s="1"/>
  <c r="AH74" i="17"/>
  <c r="BQ74" i="17"/>
  <c r="BR74" i="17"/>
  <c r="BU74" i="17"/>
  <c r="BY74" i="17"/>
  <c r="BZ74" i="17"/>
  <c r="CC74" i="17"/>
  <c r="CD74" i="17" s="1"/>
  <c r="CG74" i="17"/>
  <c r="CH74" i="17"/>
  <c r="CK74" i="17"/>
  <c r="CL74" i="17" s="1"/>
  <c r="CP74" i="17"/>
  <c r="CR74" i="17"/>
  <c r="CS74" i="17"/>
  <c r="CV74" i="17"/>
  <c r="CW74" i="17" s="1"/>
  <c r="CZ74" i="17"/>
  <c r="DA74" i="17" s="1"/>
  <c r="DB74" i="17"/>
  <c r="DD74" i="17" s="1"/>
  <c r="DE74" i="17"/>
  <c r="DF74" i="17"/>
  <c r="DH74" i="17" s="1"/>
  <c r="DI74" i="17" s="1"/>
  <c r="AF75" i="17"/>
  <c r="AG75" i="17"/>
  <c r="AH75" i="17"/>
  <c r="AO75" i="17"/>
  <c r="BQ75" i="17"/>
  <c r="BR75" i="17" s="1"/>
  <c r="BU75" i="17"/>
  <c r="BV75" i="17"/>
  <c r="BY75" i="17"/>
  <c r="BZ75" i="17" s="1"/>
  <c r="CC75" i="17"/>
  <c r="CD75" i="17"/>
  <c r="CG75" i="17"/>
  <c r="CH75" i="17" s="1"/>
  <c r="CK75" i="17"/>
  <c r="CL75" i="17"/>
  <c r="CR75" i="17"/>
  <c r="CS75" i="17" s="1"/>
  <c r="CV75" i="17"/>
  <c r="CW75" i="17"/>
  <c r="CX75" i="17"/>
  <c r="CZ75" i="17" s="1"/>
  <c r="DA75" i="17" s="1"/>
  <c r="AF76" i="17"/>
  <c r="AG76" i="17"/>
  <c r="AO76" i="17" s="1"/>
  <c r="AH76" i="17"/>
  <c r="BQ76" i="17"/>
  <c r="BR76" i="17"/>
  <c r="BU76" i="17"/>
  <c r="BY76" i="17"/>
  <c r="BZ76" i="17"/>
  <c r="CC76" i="17"/>
  <c r="CD76" i="17" s="1"/>
  <c r="CG76" i="17"/>
  <c r="CH76" i="17"/>
  <c r="CK76" i="17"/>
  <c r="CL76" i="17" s="1"/>
  <c r="CP76" i="17"/>
  <c r="CR76" i="17"/>
  <c r="CS76" i="17" s="1"/>
  <c r="CV76" i="17"/>
  <c r="CW76" i="17" s="1"/>
  <c r="CZ76" i="17"/>
  <c r="DA76" i="17"/>
  <c r="DB76" i="17"/>
  <c r="DD76" i="17" s="1"/>
  <c r="DE76" i="17"/>
  <c r="DF76" i="17"/>
  <c r="DH76" i="17" s="1"/>
  <c r="DI76" i="17" s="1"/>
  <c r="DJ76" i="17"/>
  <c r="DN76" i="17" s="1"/>
  <c r="DR76" i="17" s="1"/>
  <c r="DT76" i="17" s="1"/>
  <c r="DU76" i="17"/>
  <c r="AF77" i="17"/>
  <c r="AG77" i="17"/>
  <c r="AH77" i="17"/>
  <c r="AO77" i="17"/>
  <c r="BQ77" i="17"/>
  <c r="BR77" i="17" s="1"/>
  <c r="BU77" i="17"/>
  <c r="BV77" i="17"/>
  <c r="BY77" i="17"/>
  <c r="BZ77" i="17" s="1"/>
  <c r="CC77" i="17"/>
  <c r="CD77" i="17"/>
  <c r="CG77" i="17"/>
  <c r="CH77" i="17" s="1"/>
  <c r="CK77" i="17"/>
  <c r="CL77" i="17"/>
  <c r="CR77" i="17"/>
  <c r="CS77" i="17" s="1"/>
  <c r="CV77" i="17"/>
  <c r="CW77" i="17"/>
  <c r="CX77" i="17"/>
  <c r="CZ77" i="17" s="1"/>
  <c r="DA77" i="17" s="1"/>
  <c r="DB77" i="17"/>
  <c r="DF77" i="17" s="1"/>
  <c r="DJ77" i="17" s="1"/>
  <c r="DL77" i="17" s="1"/>
  <c r="DM77" i="17"/>
  <c r="AF78" i="17"/>
  <c r="AG78" i="17"/>
  <c r="AO78" i="17" s="1"/>
  <c r="AH78" i="17"/>
  <c r="BQ78" i="17"/>
  <c r="BR78" i="17"/>
  <c r="BU78" i="17"/>
  <c r="BY78" i="17"/>
  <c r="BZ78" i="17"/>
  <c r="CC78" i="17"/>
  <c r="CD78" i="17" s="1"/>
  <c r="CG78" i="17"/>
  <c r="CH78" i="17"/>
  <c r="CK78" i="17"/>
  <c r="CL78" i="17" s="1"/>
  <c r="CP78" i="17"/>
  <c r="CR78" i="17"/>
  <c r="CS78" i="17"/>
  <c r="CV78" i="17"/>
  <c r="CW78" i="17" s="1"/>
  <c r="CZ78" i="17"/>
  <c r="DA78" i="17"/>
  <c r="DB78" i="17"/>
  <c r="DD78" i="17" s="1"/>
  <c r="DE78" i="17" s="1"/>
  <c r="DF78" i="17"/>
  <c r="DH78" i="17" s="1"/>
  <c r="DI78" i="17" s="1"/>
  <c r="DJ78" i="17"/>
  <c r="DN78" i="17" s="1"/>
  <c r="DR78" i="17" s="1"/>
  <c r="DT78" i="17" s="1"/>
  <c r="DL78" i="17"/>
  <c r="DM78" i="17" s="1"/>
  <c r="DU78" i="17"/>
  <c r="DV78" i="17"/>
  <c r="DX78" i="17" s="1"/>
  <c r="DY78" i="17" s="1"/>
  <c r="AF79" i="17"/>
  <c r="AG79" i="17"/>
  <c r="AH79" i="17"/>
  <c r="AO79" i="17"/>
  <c r="BZ79" i="17"/>
  <c r="CD79" i="17" s="1"/>
  <c r="CE79" i="17"/>
  <c r="CH79" i="17"/>
  <c r="CL79" i="17" s="1"/>
  <c r="CS79" i="17" s="1"/>
  <c r="CW79" i="17" s="1"/>
  <c r="DA79" i="17" s="1"/>
  <c r="DE79" i="17" s="1"/>
  <c r="DI79" i="17" s="1"/>
  <c r="DM79" i="17" s="1"/>
  <c r="DQ79" i="17" s="1"/>
  <c r="DU79" i="17" s="1"/>
  <c r="DY79" i="17" s="1"/>
  <c r="EC79" i="17" s="1"/>
  <c r="ED79" i="17"/>
  <c r="EE79" i="17"/>
  <c r="EF79" i="17" s="1"/>
  <c r="EG79" i="17" s="1"/>
  <c r="EI79" i="17"/>
  <c r="AF80" i="17"/>
  <c r="AG80" i="17"/>
  <c r="AH80" i="17"/>
  <c r="AO80" i="17"/>
  <c r="BQ80" i="17"/>
  <c r="BR80" i="17" s="1"/>
  <c r="BU80" i="17"/>
  <c r="BV80" i="17"/>
  <c r="BY80" i="17"/>
  <c r="BZ80" i="17" s="1"/>
  <c r="CC80" i="17"/>
  <c r="CD80" i="17"/>
  <c r="CG80" i="17"/>
  <c r="CH80" i="17" s="1"/>
  <c r="CK80" i="17"/>
  <c r="CL80" i="17"/>
  <c r="CP80" i="17"/>
  <c r="CR80" i="17" s="1"/>
  <c r="CS80" i="17"/>
  <c r="CV80" i="17"/>
  <c r="CW80" i="17" s="1"/>
  <c r="CZ80" i="17"/>
  <c r="DA80" i="17"/>
  <c r="DD80" i="17"/>
  <c r="DE80" i="17" s="1"/>
  <c r="DF80" i="17"/>
  <c r="DH80" i="17"/>
  <c r="DI80" i="17"/>
  <c r="DL80" i="17"/>
  <c r="DM80" i="17" s="1"/>
  <c r="DP80" i="17"/>
  <c r="DQ80" i="17"/>
  <c r="DT80" i="17"/>
  <c r="DU80" i="17" s="1"/>
  <c r="DX80" i="17"/>
  <c r="DY80" i="17" s="1"/>
  <c r="DZ80" i="17"/>
  <c r="EB80" i="17"/>
  <c r="EC80" i="17"/>
  <c r="AF81" i="17"/>
  <c r="AG81" i="17"/>
  <c r="AO81" i="17" s="1"/>
  <c r="AH81" i="17"/>
  <c r="BQ81" i="17"/>
  <c r="BR81" i="17"/>
  <c r="BU81" i="17"/>
  <c r="BV81" i="17"/>
  <c r="BY81" i="17"/>
  <c r="BZ81" i="17"/>
  <c r="CC81" i="17"/>
  <c r="CD81" i="17"/>
  <c r="CG81" i="17"/>
  <c r="CH81" i="17"/>
  <c r="CK81" i="17"/>
  <c r="CL81" i="17"/>
  <c r="CP81" i="17"/>
  <c r="CR81" i="17"/>
  <c r="CS81" i="17" s="1"/>
  <c r="CV81" i="17"/>
  <c r="CW81" i="17"/>
  <c r="CZ81" i="17"/>
  <c r="DA81" i="17" s="1"/>
  <c r="DB81" i="17"/>
  <c r="DF81" i="17" s="1"/>
  <c r="DH81" i="17" s="1"/>
  <c r="DI81" i="17" s="1"/>
  <c r="DD81" i="17"/>
  <c r="DE81" i="17"/>
  <c r="DJ81" i="17"/>
  <c r="AF82" i="17"/>
  <c r="AG82" i="17"/>
  <c r="AH82" i="17"/>
  <c r="AO82" i="17"/>
  <c r="BQ82" i="17"/>
  <c r="BR82" i="17"/>
  <c r="BU82" i="17"/>
  <c r="BV82" i="17" s="1"/>
  <c r="BY82" i="17"/>
  <c r="BZ82" i="17"/>
  <c r="CC82" i="17"/>
  <c r="CD82" i="17" s="1"/>
  <c r="CG82" i="17"/>
  <c r="CH82" i="17"/>
  <c r="CK82" i="17"/>
  <c r="CL82" i="17" s="1"/>
  <c r="CR82" i="17"/>
  <c r="CS82" i="17"/>
  <c r="CV82" i="17"/>
  <c r="CW82" i="17" s="1"/>
  <c r="CX82" i="17"/>
  <c r="CZ82" i="17"/>
  <c r="DA82" i="17"/>
  <c r="DB82" i="17"/>
  <c r="DD82" i="17" s="1"/>
  <c r="DE82" i="17"/>
  <c r="AF83" i="17"/>
  <c r="AG83" i="17"/>
  <c r="AO83" i="17" s="1"/>
  <c r="AH83" i="17"/>
  <c r="BQ83" i="17"/>
  <c r="BR83" i="17"/>
  <c r="BU83" i="17"/>
  <c r="BV83" i="17"/>
  <c r="BY83" i="17"/>
  <c r="BZ83" i="17"/>
  <c r="CC83" i="17"/>
  <c r="CD83" i="17"/>
  <c r="CG83" i="17"/>
  <c r="CH83" i="17"/>
  <c r="CK83" i="17"/>
  <c r="CL83" i="17"/>
  <c r="CP83" i="17"/>
  <c r="CR83" i="17"/>
  <c r="CS83" i="17" s="1"/>
  <c r="CV83" i="17"/>
  <c r="CW83" i="17"/>
  <c r="CZ83" i="17"/>
  <c r="DA83" i="17" s="1"/>
  <c r="DB83" i="17"/>
  <c r="DF83" i="17" s="1"/>
  <c r="DH83" i="17" s="1"/>
  <c r="DI83" i="17" s="1"/>
  <c r="AF84" i="17"/>
  <c r="AG84" i="17"/>
  <c r="AH84" i="17"/>
  <c r="AO84" i="17"/>
  <c r="BQ84" i="17"/>
  <c r="BR84" i="17"/>
  <c r="BU84" i="17"/>
  <c r="BV84" i="17"/>
  <c r="BY84" i="17"/>
  <c r="BZ84" i="17"/>
  <c r="CC84" i="17"/>
  <c r="CD84" i="17"/>
  <c r="CG84" i="17"/>
  <c r="CH84" i="17"/>
  <c r="CK84" i="17"/>
  <c r="CL84" i="17"/>
  <c r="CR84" i="17"/>
  <c r="CS84" i="17"/>
  <c r="CV84" i="17"/>
  <c r="CW84" i="17"/>
  <c r="CX84" i="17"/>
  <c r="CZ84" i="17"/>
  <c r="DA84" i="17" s="1"/>
  <c r="DB84" i="17"/>
  <c r="DD84" i="17" s="1"/>
  <c r="DE84" i="17" s="1"/>
  <c r="AF85" i="17"/>
  <c r="AG85" i="17"/>
  <c r="AH85" i="17"/>
  <c r="AO85" i="17"/>
  <c r="BQ85" i="17"/>
  <c r="BR85" i="17" s="1"/>
  <c r="BU85" i="17"/>
  <c r="BV85" i="17"/>
  <c r="BY85" i="17"/>
  <c r="BZ85" i="17" s="1"/>
  <c r="CC85" i="17"/>
  <c r="CD85" i="17"/>
  <c r="CG85" i="17"/>
  <c r="CH85" i="17" s="1"/>
  <c r="CK85" i="17"/>
  <c r="CL85" i="17"/>
  <c r="CP85" i="17"/>
  <c r="CR85" i="17" s="1"/>
  <c r="CS85" i="17" s="1"/>
  <c r="CV85" i="17"/>
  <c r="CW85" i="17" s="1"/>
  <c r="CZ85" i="17"/>
  <c r="DA85" i="17" s="1"/>
  <c r="DB85" i="17"/>
  <c r="DF85" i="17" s="1"/>
  <c r="DD85" i="17"/>
  <c r="DE85" i="17" s="1"/>
  <c r="DH85" i="17"/>
  <c r="DI85" i="17" s="1"/>
  <c r="DJ85" i="17"/>
  <c r="DL85" i="17" s="1"/>
  <c r="DM85" i="17" s="1"/>
  <c r="DN85" i="17"/>
  <c r="DR85" i="17" s="1"/>
  <c r="AF86" i="17"/>
  <c r="AG86" i="17"/>
  <c r="AO86" i="17" s="1"/>
  <c r="AH86" i="17"/>
  <c r="BZ86" i="17"/>
  <c r="CD86" i="17"/>
  <c r="CH86" i="17" s="1"/>
  <c r="CL86" i="17" s="1"/>
  <c r="CS86" i="17" s="1"/>
  <c r="CW86" i="17" s="1"/>
  <c r="DA86" i="17" s="1"/>
  <c r="DE86" i="17" s="1"/>
  <c r="DI86" i="17" s="1"/>
  <c r="DM86" i="17" s="1"/>
  <c r="DQ86" i="17" s="1"/>
  <c r="DU86" i="17" s="1"/>
  <c r="DY86" i="17" s="1"/>
  <c r="EC86" i="17" s="1"/>
  <c r="CE86" i="17"/>
  <c r="ED86" i="17"/>
  <c r="EE86" i="17" s="1"/>
  <c r="EJ86" i="17" s="1"/>
  <c r="AF87" i="17"/>
  <c r="AG87" i="17"/>
  <c r="AO87" i="17" s="1"/>
  <c r="AH87" i="17"/>
  <c r="BQ87" i="17"/>
  <c r="BR87" i="17"/>
  <c r="BU87" i="17"/>
  <c r="BV87" i="17" s="1"/>
  <c r="BY87" i="17"/>
  <c r="BZ87" i="17" s="1"/>
  <c r="CC87" i="17"/>
  <c r="CD87" i="17" s="1"/>
  <c r="CG87" i="17"/>
  <c r="CH87" i="17"/>
  <c r="CK87" i="17"/>
  <c r="CL87" i="17" s="1"/>
  <c r="CP87" i="17"/>
  <c r="CR87" i="17" s="1"/>
  <c r="CS87" i="17" s="1"/>
  <c r="CV87" i="17"/>
  <c r="CW87" i="17"/>
  <c r="CZ87" i="17"/>
  <c r="DA87" i="17"/>
  <c r="DD87" i="17"/>
  <c r="DE87" i="17"/>
  <c r="DF87" i="17"/>
  <c r="DH87" i="17"/>
  <c r="DI87" i="17" s="1"/>
  <c r="DL87" i="17"/>
  <c r="DM87" i="17"/>
  <c r="DP87" i="17"/>
  <c r="DQ87" i="17" s="1"/>
  <c r="DT87" i="17"/>
  <c r="DU87" i="17" s="1"/>
  <c r="DX87" i="17"/>
  <c r="DY87" i="17" s="1"/>
  <c r="DZ87" i="17"/>
  <c r="EB87" i="17"/>
  <c r="EC87" i="17" s="1"/>
  <c r="AF88" i="17"/>
  <c r="AG88" i="17"/>
  <c r="AO88" i="17" s="1"/>
  <c r="AH88" i="17"/>
  <c r="BQ88" i="17"/>
  <c r="BR88" i="17" s="1"/>
  <c r="BU88" i="17"/>
  <c r="BV88" i="17"/>
  <c r="BY88" i="17"/>
  <c r="BZ88" i="17" s="1"/>
  <c r="CC88" i="17"/>
  <c r="CD88" i="17"/>
  <c r="CG88" i="17"/>
  <c r="CH88" i="17" s="1"/>
  <c r="CK88" i="17"/>
  <c r="CL88" i="17"/>
  <c r="CP88" i="17"/>
  <c r="CR88" i="17" s="1"/>
  <c r="CS88" i="17" s="1"/>
  <c r="CV88" i="17"/>
  <c r="CW88" i="17" s="1"/>
  <c r="CZ88" i="17"/>
  <c r="DA88" i="17" s="1"/>
  <c r="DB88" i="17"/>
  <c r="DF88" i="17" s="1"/>
  <c r="DD88" i="17"/>
  <c r="DE88" i="17" s="1"/>
  <c r="DH88" i="17"/>
  <c r="DI88" i="17" s="1"/>
  <c r="DJ88" i="17"/>
  <c r="DL88" i="17" s="1"/>
  <c r="DM88" i="17" s="1"/>
  <c r="AF89" i="17"/>
  <c r="AG89" i="17"/>
  <c r="AH89" i="17"/>
  <c r="AO89" i="17"/>
  <c r="BQ89" i="17"/>
  <c r="BR89" i="17"/>
  <c r="BU89" i="17"/>
  <c r="BV89" i="17" s="1"/>
  <c r="BY89" i="17"/>
  <c r="BZ89" i="17"/>
  <c r="CC89" i="17"/>
  <c r="CD89" i="17" s="1"/>
  <c r="CG89" i="17"/>
  <c r="CH89" i="17"/>
  <c r="CK89" i="17"/>
  <c r="CL89" i="17" s="1"/>
  <c r="CR89" i="17"/>
  <c r="CS89" i="17"/>
  <c r="CV89" i="17"/>
  <c r="CW89" i="17" s="1"/>
  <c r="CX89" i="17"/>
  <c r="CZ89" i="17"/>
  <c r="DA89" i="17"/>
  <c r="DB89" i="17"/>
  <c r="DD89" i="17" s="1"/>
  <c r="DE89" i="17"/>
  <c r="AF90" i="17"/>
  <c r="AG90" i="17"/>
  <c r="AH90" i="17"/>
  <c r="AO90" i="17"/>
  <c r="BQ90" i="17"/>
  <c r="BR90" i="17"/>
  <c r="BU90" i="17"/>
  <c r="BV90" i="17"/>
  <c r="BY90" i="17"/>
  <c r="BZ90" i="17"/>
  <c r="CC90" i="17"/>
  <c r="CD90" i="17"/>
  <c r="CG90" i="17"/>
  <c r="CH90" i="17"/>
  <c r="CK90" i="17"/>
  <c r="CL90" i="17"/>
  <c r="CP90" i="17"/>
  <c r="CR90" i="17"/>
  <c r="CS90" i="17" s="1"/>
  <c r="CV90" i="17"/>
  <c r="CW90" i="17"/>
  <c r="CZ90" i="17"/>
  <c r="DA90" i="17" s="1"/>
  <c r="DB90" i="17"/>
  <c r="DF90" i="17" s="1"/>
  <c r="DH90" i="17" s="1"/>
  <c r="DI90" i="17" s="1"/>
  <c r="BQ91" i="17"/>
  <c r="BR91" i="17"/>
  <c r="BU91" i="17"/>
  <c r="BV91" i="17"/>
  <c r="BY91" i="17"/>
  <c r="BZ91" i="17"/>
  <c r="CC91" i="17"/>
  <c r="CD91" i="17"/>
  <c r="CG91" i="17"/>
  <c r="CH91" i="17"/>
  <c r="CK91" i="17"/>
  <c r="CL91" i="17"/>
  <c r="CR91" i="17"/>
  <c r="CS91" i="17"/>
  <c r="CV91" i="17"/>
  <c r="CW91" i="17"/>
  <c r="CX91" i="17"/>
  <c r="CZ91" i="17"/>
  <c r="DA91" i="17" s="1"/>
  <c r="DB91" i="17"/>
  <c r="DD91" i="17" s="1"/>
  <c r="DE91" i="17" s="1"/>
  <c r="AF92" i="17"/>
  <c r="AG92" i="17"/>
  <c r="AH92" i="17"/>
  <c r="AO92" i="17"/>
  <c r="BQ92" i="17"/>
  <c r="BR92" i="17" s="1"/>
  <c r="BU92" i="17"/>
  <c r="BV92" i="17"/>
  <c r="BY92" i="17"/>
  <c r="BZ92" i="17" s="1"/>
  <c r="CC92" i="17"/>
  <c r="CD92" i="17"/>
  <c r="CG92" i="17"/>
  <c r="CH92" i="17" s="1"/>
  <c r="CK92" i="17"/>
  <c r="CL92" i="17"/>
  <c r="CP92" i="17"/>
  <c r="CR92" i="17" s="1"/>
  <c r="CS92" i="17" s="1"/>
  <c r="CV92" i="17"/>
  <c r="CW92" i="17" s="1"/>
  <c r="CZ92" i="17"/>
  <c r="DA92" i="17" s="1"/>
  <c r="DB92" i="17"/>
  <c r="DF92" i="17" s="1"/>
  <c r="DD92" i="17"/>
  <c r="DE92" i="17" s="1"/>
  <c r="DH92" i="17"/>
  <c r="DI92" i="17" s="1"/>
  <c r="DJ92" i="17"/>
  <c r="DL92" i="17" s="1"/>
  <c r="DM92" i="17" s="1"/>
  <c r="DN92" i="17"/>
  <c r="DR92" i="17" s="1"/>
  <c r="AF93" i="17"/>
  <c r="AG93" i="17"/>
  <c r="AO93" i="17" s="1"/>
  <c r="AH93" i="17"/>
  <c r="BZ93" i="17"/>
  <c r="CD93" i="17"/>
  <c r="CH93" i="17" s="1"/>
  <c r="CL93" i="17" s="1"/>
  <c r="CS93" i="17" s="1"/>
  <c r="CW93" i="17" s="1"/>
  <c r="DA93" i="17" s="1"/>
  <c r="DE93" i="17" s="1"/>
  <c r="DI93" i="17" s="1"/>
  <c r="DM93" i="17" s="1"/>
  <c r="DQ93" i="17" s="1"/>
  <c r="DU93" i="17" s="1"/>
  <c r="DY93" i="17" s="1"/>
  <c r="EC93" i="17" s="1"/>
  <c r="CE93" i="17"/>
  <c r="ED93" i="17"/>
  <c r="EE93" i="17" s="1"/>
  <c r="EJ93" i="17" s="1"/>
  <c r="AF94" i="17"/>
  <c r="AG94" i="17"/>
  <c r="AO94" i="17" s="1"/>
  <c r="AH94" i="17"/>
  <c r="BQ94" i="17"/>
  <c r="BR94" i="17"/>
  <c r="BU94" i="17"/>
  <c r="BV94" i="17" s="1"/>
  <c r="BY94" i="17"/>
  <c r="BZ94" i="17" s="1"/>
  <c r="CC94" i="17"/>
  <c r="CD94" i="17" s="1"/>
  <c r="CG94" i="17"/>
  <c r="CH94" i="17"/>
  <c r="CK94" i="17"/>
  <c r="CL94" i="17" s="1"/>
  <c r="CP94" i="17"/>
  <c r="CR94" i="17" s="1"/>
  <c r="CS94" i="17" s="1"/>
  <c r="CV94" i="17"/>
  <c r="CW94" i="17"/>
  <c r="CZ94" i="17"/>
  <c r="DA94" i="17"/>
  <c r="DD94" i="17"/>
  <c r="DE94" i="17"/>
  <c r="DF94" i="17"/>
  <c r="DH94" i="17"/>
  <c r="DI94" i="17" s="1"/>
  <c r="DL94" i="17"/>
  <c r="DM94" i="17"/>
  <c r="DP94" i="17"/>
  <c r="DQ94" i="17" s="1"/>
  <c r="DT94" i="17"/>
  <c r="DU94" i="17" s="1"/>
  <c r="DX94" i="17"/>
  <c r="DY94" i="17" s="1"/>
  <c r="DZ94" i="17"/>
  <c r="EB94" i="17"/>
  <c r="EC94" i="17" s="1"/>
  <c r="AF95" i="17"/>
  <c r="AG95" i="17"/>
  <c r="AO95" i="17" s="1"/>
  <c r="AH95" i="17"/>
  <c r="BQ95" i="17"/>
  <c r="BR95" i="17" s="1"/>
  <c r="BU95" i="17"/>
  <c r="BV95" i="17"/>
  <c r="BY95" i="17"/>
  <c r="BZ95" i="17" s="1"/>
  <c r="CC95" i="17"/>
  <c r="CD95" i="17"/>
  <c r="CG95" i="17"/>
  <c r="CH95" i="17" s="1"/>
  <c r="CK95" i="17"/>
  <c r="CL95" i="17"/>
  <c r="CP95" i="17"/>
  <c r="CR95" i="17" s="1"/>
  <c r="CS95" i="17" s="1"/>
  <c r="CV95" i="17"/>
  <c r="CW95" i="17" s="1"/>
  <c r="CZ95" i="17"/>
  <c r="DA95" i="17" s="1"/>
  <c r="DB95" i="17"/>
  <c r="DF95" i="17" s="1"/>
  <c r="DD95" i="17"/>
  <c r="DE95" i="17" s="1"/>
  <c r="DH95" i="17"/>
  <c r="DI95" i="17" s="1"/>
  <c r="DJ95" i="17"/>
  <c r="DL95" i="17" s="1"/>
  <c r="DM95" i="17" s="1"/>
  <c r="DN95" i="17"/>
  <c r="DP95" i="17" s="1"/>
  <c r="DQ95" i="17" s="1"/>
  <c r="AF96" i="17"/>
  <c r="AG96" i="17"/>
  <c r="AH96" i="17"/>
  <c r="AO96" i="17"/>
  <c r="BQ96" i="17"/>
  <c r="BR96" i="17"/>
  <c r="BU96" i="17"/>
  <c r="BV96" i="17" s="1"/>
  <c r="BY96" i="17"/>
  <c r="BZ96" i="17"/>
  <c r="CC96" i="17"/>
  <c r="CD96" i="17" s="1"/>
  <c r="CG96" i="17"/>
  <c r="CH96" i="17"/>
  <c r="CK96" i="17"/>
  <c r="CL96" i="17" s="1"/>
  <c r="CR96" i="17"/>
  <c r="CS96" i="17"/>
  <c r="CV96" i="17"/>
  <c r="CW96" i="17" s="1"/>
  <c r="CX96" i="17"/>
  <c r="CZ96" i="17"/>
  <c r="DA96" i="17"/>
  <c r="DB96" i="17"/>
  <c r="DD96" i="17" s="1"/>
  <c r="DE96" i="17"/>
  <c r="AF97" i="17"/>
  <c r="AG97" i="17"/>
  <c r="AH97" i="17"/>
  <c r="AO97" i="17"/>
  <c r="BQ97" i="17"/>
  <c r="BR97" i="17"/>
  <c r="BU97" i="17"/>
  <c r="BV97" i="17"/>
  <c r="BY97" i="17"/>
  <c r="BZ97" i="17"/>
  <c r="CC97" i="17"/>
  <c r="CD97" i="17"/>
  <c r="CG97" i="17"/>
  <c r="CH97" i="17"/>
  <c r="CK97" i="17"/>
  <c r="CL97" i="17"/>
  <c r="CP97" i="17"/>
  <c r="CR97" i="17"/>
  <c r="CS97" i="17" s="1"/>
  <c r="CV97" i="17"/>
  <c r="CW97" i="17"/>
  <c r="CZ97" i="17"/>
  <c r="DA97" i="17" s="1"/>
  <c r="DB97" i="17"/>
  <c r="DF97" i="17" s="1"/>
  <c r="AF98" i="17"/>
  <c r="AG98" i="17"/>
  <c r="AH98" i="17"/>
  <c r="AO98" i="17"/>
  <c r="BQ98" i="17"/>
  <c r="BR98" i="17"/>
  <c r="BU98" i="17"/>
  <c r="BV98" i="17"/>
  <c r="BY98" i="17"/>
  <c r="BZ98" i="17"/>
  <c r="CC98" i="17"/>
  <c r="CD98" i="17"/>
  <c r="CG98" i="17"/>
  <c r="CH98" i="17"/>
  <c r="CK98" i="17"/>
  <c r="CL98" i="17"/>
  <c r="CR98" i="17"/>
  <c r="CS98" i="17"/>
  <c r="CV98" i="17"/>
  <c r="CW98" i="17"/>
  <c r="CX98" i="17"/>
  <c r="CZ98" i="17"/>
  <c r="DB98" i="17"/>
  <c r="DD98" i="17" s="1"/>
  <c r="DE98" i="17" s="1"/>
  <c r="AF99" i="17"/>
  <c r="AG99" i="17"/>
  <c r="AO99" i="17" s="1"/>
  <c r="AH99" i="17"/>
  <c r="BQ99" i="17"/>
  <c r="BR99" i="17"/>
  <c r="BU99" i="17"/>
  <c r="BV99" i="17"/>
  <c r="BY99" i="17"/>
  <c r="BZ99" i="17"/>
  <c r="CC99" i="17"/>
  <c r="CD99" i="17"/>
  <c r="CG99" i="17"/>
  <c r="CH99" i="17"/>
  <c r="CK99" i="17"/>
  <c r="CL99" i="17"/>
  <c r="CP99" i="17"/>
  <c r="CR99" i="17"/>
  <c r="CS99" i="17" s="1"/>
  <c r="CV99" i="17"/>
  <c r="CW99" i="17" s="1"/>
  <c r="CZ99" i="17"/>
  <c r="DA99" i="17" s="1"/>
  <c r="DB99" i="17"/>
  <c r="DF99" i="17" s="1"/>
  <c r="AF100" i="17"/>
  <c r="AG100" i="17"/>
  <c r="AH100" i="17"/>
  <c r="AO100" i="17"/>
  <c r="BZ100" i="17"/>
  <c r="CD100" i="17"/>
  <c r="CE100" i="17"/>
  <c r="CH100" i="17"/>
  <c r="CL100" i="17" s="1"/>
  <c r="CS100" i="17" s="1"/>
  <c r="CW100" i="17" s="1"/>
  <c r="DA100" i="17" s="1"/>
  <c r="DE100" i="17" s="1"/>
  <c r="DI100" i="17" s="1"/>
  <c r="DM100" i="17" s="1"/>
  <c r="DQ100" i="17" s="1"/>
  <c r="DU100" i="17" s="1"/>
  <c r="DY100" i="17" s="1"/>
  <c r="EC100" i="17" s="1"/>
  <c r="ED100" i="17"/>
  <c r="EE100" i="17" s="1"/>
  <c r="EI100" i="17"/>
  <c r="AF101" i="17"/>
  <c r="AG101" i="17"/>
  <c r="AH101" i="17"/>
  <c r="AO101" i="17"/>
  <c r="BQ101" i="17"/>
  <c r="BU101" i="17"/>
  <c r="BV101" i="17" s="1"/>
  <c r="BY101" i="17"/>
  <c r="BZ101" i="17" s="1"/>
  <c r="CC101" i="17"/>
  <c r="CD101" i="17" s="1"/>
  <c r="CG101" i="17"/>
  <c r="CH101" i="17" s="1"/>
  <c r="CK101" i="17"/>
  <c r="CL101" i="17" s="1"/>
  <c r="CP101" i="17"/>
  <c r="CR101" i="17" s="1"/>
  <c r="CS101" i="17" s="1"/>
  <c r="CV101" i="17"/>
  <c r="CW101" i="17"/>
  <c r="CZ101" i="17"/>
  <c r="DA101" i="17"/>
  <c r="DD101" i="17"/>
  <c r="DE101" i="17"/>
  <c r="DF101" i="17"/>
  <c r="DH101" i="17"/>
  <c r="DI101" i="17" s="1"/>
  <c r="DL101" i="17"/>
  <c r="DM101" i="17" s="1"/>
  <c r="DP101" i="17"/>
  <c r="DQ101" i="17" s="1"/>
  <c r="DT101" i="17"/>
  <c r="DU101" i="17" s="1"/>
  <c r="DX101" i="17"/>
  <c r="DY101" i="17" s="1"/>
  <c r="DZ101" i="17"/>
  <c r="EB101" i="17" s="1"/>
  <c r="EC101" i="17" s="1"/>
  <c r="AF102" i="17"/>
  <c r="AG102" i="17"/>
  <c r="AO102" i="17" s="1"/>
  <c r="AH102" i="17"/>
  <c r="BQ102" i="17"/>
  <c r="BR102" i="17"/>
  <c r="BU102" i="17"/>
  <c r="BV102" i="17"/>
  <c r="BY102" i="17"/>
  <c r="BZ102" i="17"/>
  <c r="CC102" i="17"/>
  <c r="CD102" i="17"/>
  <c r="CG102" i="17"/>
  <c r="CH102" i="17"/>
  <c r="CK102" i="17"/>
  <c r="CL102" i="17"/>
  <c r="CP102" i="17"/>
  <c r="CR102" i="17"/>
  <c r="CS102" i="17" s="1"/>
  <c r="CV102" i="17"/>
  <c r="CW102" i="17" s="1"/>
  <c r="CZ102" i="17"/>
  <c r="DA102" i="17" s="1"/>
  <c r="DB102" i="17"/>
  <c r="DF102" i="17" s="1"/>
  <c r="AF103" i="17"/>
  <c r="AG103" i="17"/>
  <c r="AH103" i="17"/>
  <c r="AO103" i="17"/>
  <c r="BQ103" i="17"/>
  <c r="BR103" i="17"/>
  <c r="BU103" i="17"/>
  <c r="BV103" i="17"/>
  <c r="BY103" i="17"/>
  <c r="BZ103" i="17"/>
  <c r="CC103" i="17"/>
  <c r="CD103" i="17"/>
  <c r="CG103" i="17"/>
  <c r="CH103" i="17"/>
  <c r="CK103" i="17"/>
  <c r="CL103" i="17"/>
  <c r="CR103" i="17"/>
  <c r="CS103" i="17"/>
  <c r="CV103" i="17"/>
  <c r="CW103" i="17"/>
  <c r="CX103" i="17"/>
  <c r="CZ103" i="17"/>
  <c r="DB103" i="17"/>
  <c r="AF104" i="17"/>
  <c r="AG104" i="17"/>
  <c r="AO104" i="17" s="1"/>
  <c r="AH104" i="17"/>
  <c r="BQ104" i="17"/>
  <c r="BR104" i="17"/>
  <c r="BU104" i="17"/>
  <c r="BV104" i="17"/>
  <c r="BY104" i="17"/>
  <c r="BZ104" i="17"/>
  <c r="CC104" i="17"/>
  <c r="CD104" i="17"/>
  <c r="CG104" i="17"/>
  <c r="CH104" i="17"/>
  <c r="CK104" i="17"/>
  <c r="CL104" i="17"/>
  <c r="CP104" i="17"/>
  <c r="CR104" i="17"/>
  <c r="CS104" i="17" s="1"/>
  <c r="CV104" i="17"/>
  <c r="CW104" i="17" s="1"/>
  <c r="CZ104" i="17"/>
  <c r="DA104" i="17" s="1"/>
  <c r="DB104" i="17"/>
  <c r="AF105" i="17"/>
  <c r="AG105" i="17"/>
  <c r="AO105" i="17" s="1"/>
  <c r="AH105" i="17"/>
  <c r="BQ105" i="17"/>
  <c r="BR105" i="17"/>
  <c r="BU105" i="17"/>
  <c r="BV105" i="17"/>
  <c r="BY105" i="17"/>
  <c r="BZ105" i="17"/>
  <c r="CC105" i="17"/>
  <c r="CD105" i="17"/>
  <c r="CG105" i="17"/>
  <c r="CH105" i="17"/>
  <c r="CK105" i="17"/>
  <c r="CL105" i="17"/>
  <c r="CR105" i="17"/>
  <c r="CS105" i="17"/>
  <c r="CV105" i="17"/>
  <c r="CW105" i="17"/>
  <c r="CX105" i="17"/>
  <c r="CZ105" i="17"/>
  <c r="DB105" i="17"/>
  <c r="AF106" i="17"/>
  <c r="AH106" i="17"/>
  <c r="BQ106" i="17"/>
  <c r="BR106" i="17"/>
  <c r="BU106" i="17"/>
  <c r="BV106" i="17"/>
  <c r="BY106" i="17"/>
  <c r="BZ106" i="17"/>
  <c r="CC106" i="17"/>
  <c r="CD106" i="17"/>
  <c r="CG106" i="17"/>
  <c r="CH106" i="17"/>
  <c r="CK106" i="17"/>
  <c r="CL106" i="17"/>
  <c r="CP106" i="17"/>
  <c r="CR106" i="17"/>
  <c r="CS106" i="17" s="1"/>
  <c r="CV106" i="17"/>
  <c r="CW106" i="17" s="1"/>
  <c r="CZ106" i="17"/>
  <c r="DA106" i="17" s="1"/>
  <c r="DB106" i="17"/>
  <c r="AF107" i="17"/>
  <c r="AG107" i="17"/>
  <c r="AH107" i="17"/>
  <c r="AO107" i="17"/>
  <c r="BZ107" i="17"/>
  <c r="CD107" i="17"/>
  <c r="CE107" i="17"/>
  <c r="CH107" i="17"/>
  <c r="CL107" i="17" s="1"/>
  <c r="CS107" i="17" s="1"/>
  <c r="CW107" i="17" s="1"/>
  <c r="DA107" i="17" s="1"/>
  <c r="DE107" i="17" s="1"/>
  <c r="DI107" i="17" s="1"/>
  <c r="DM107" i="17" s="1"/>
  <c r="DQ107" i="17" s="1"/>
  <c r="DU107" i="17" s="1"/>
  <c r="DY107" i="17" s="1"/>
  <c r="EC107" i="17" s="1"/>
  <c r="ED107" i="17"/>
  <c r="EE107" i="17" s="1"/>
  <c r="EJ107" i="17" s="1"/>
  <c r="EI107" i="17"/>
  <c r="AF108" i="17"/>
  <c r="AG108" i="17"/>
  <c r="AH108" i="17"/>
  <c r="AO108" i="17"/>
  <c r="BQ108" i="17"/>
  <c r="BU108" i="17"/>
  <c r="BV108" i="17" s="1"/>
  <c r="BY108" i="17"/>
  <c r="BZ108" i="17" s="1"/>
  <c r="CC108" i="17"/>
  <c r="CD108" i="17" s="1"/>
  <c r="CG108" i="17"/>
  <c r="CH108" i="17" s="1"/>
  <c r="CK108" i="17"/>
  <c r="CL108" i="17" s="1"/>
  <c r="CP108" i="17"/>
  <c r="CR108" i="17" s="1"/>
  <c r="CS108" i="17"/>
  <c r="CV108" i="17"/>
  <c r="CW108" i="17"/>
  <c r="CZ108" i="17"/>
  <c r="DA108" i="17"/>
  <c r="DD108" i="17"/>
  <c r="DE108" i="17"/>
  <c r="DF108" i="17"/>
  <c r="DH108" i="17"/>
  <c r="DI108" i="17" s="1"/>
  <c r="DL108" i="17"/>
  <c r="DM108" i="17" s="1"/>
  <c r="DP108" i="17"/>
  <c r="DQ108" i="17" s="1"/>
  <c r="DT108" i="17"/>
  <c r="DU108" i="17" s="1"/>
  <c r="DX108" i="17"/>
  <c r="DY108" i="17" s="1"/>
  <c r="DZ108" i="17"/>
  <c r="EB108" i="17" s="1"/>
  <c r="EC108" i="17"/>
  <c r="AF109" i="17"/>
  <c r="AG109" i="17"/>
  <c r="AO109" i="17" s="1"/>
  <c r="AH109" i="17"/>
  <c r="BQ109" i="17"/>
  <c r="BR109" i="17"/>
  <c r="BU109" i="17"/>
  <c r="BV109" i="17"/>
  <c r="BY109" i="17"/>
  <c r="BZ109" i="17"/>
  <c r="CC109" i="17"/>
  <c r="CD109" i="17"/>
  <c r="CG109" i="17"/>
  <c r="CH109" i="17"/>
  <c r="CK109" i="17"/>
  <c r="CL109" i="17"/>
  <c r="CP109" i="17"/>
  <c r="CR109" i="17"/>
  <c r="CS109" i="17" s="1"/>
  <c r="CV109" i="17"/>
  <c r="CW109" i="17" s="1"/>
  <c r="CZ109" i="17"/>
  <c r="DA109" i="17" s="1"/>
  <c r="DB109" i="17"/>
  <c r="AF110" i="17"/>
  <c r="AH110" i="17"/>
  <c r="BQ110" i="17"/>
  <c r="BR110" i="17"/>
  <c r="BU110" i="17"/>
  <c r="BV110" i="17"/>
  <c r="BY110" i="17"/>
  <c r="BZ110" i="17"/>
  <c r="CC110" i="17"/>
  <c r="CD110" i="17"/>
  <c r="CG110" i="17"/>
  <c r="CH110" i="17"/>
  <c r="CK110" i="17"/>
  <c r="CL110" i="17"/>
  <c r="CR110" i="17"/>
  <c r="CS110" i="17"/>
  <c r="CV110" i="17"/>
  <c r="CW110" i="17"/>
  <c r="CX110" i="17"/>
  <c r="CZ110" i="17"/>
  <c r="DB110" i="17"/>
  <c r="AF111" i="17"/>
  <c r="AG111" i="17"/>
  <c r="AH111" i="17"/>
  <c r="AO111" i="17"/>
  <c r="BQ111" i="17"/>
  <c r="BR111" i="17"/>
  <c r="BU111" i="17"/>
  <c r="BV111" i="17"/>
  <c r="BY111" i="17"/>
  <c r="BZ111" i="17"/>
  <c r="CC111" i="17"/>
  <c r="CD111" i="17"/>
  <c r="CG111" i="17"/>
  <c r="CH111" i="17"/>
  <c r="CK111" i="17"/>
  <c r="CL111" i="17"/>
  <c r="CP111" i="17"/>
  <c r="CR111" i="17"/>
  <c r="CS111" i="17" s="1"/>
  <c r="CV111" i="17"/>
  <c r="CW111" i="17" s="1"/>
  <c r="CZ111" i="17"/>
  <c r="DA111" i="17" s="1"/>
  <c r="DB111" i="17"/>
  <c r="AF112" i="17"/>
  <c r="AG112" i="17"/>
  <c r="AO112" i="17" s="1"/>
  <c r="AH112" i="17"/>
  <c r="BQ112" i="17"/>
  <c r="BR112" i="17"/>
  <c r="BU112" i="17"/>
  <c r="BV112" i="17"/>
  <c r="BY112" i="17"/>
  <c r="BZ112" i="17"/>
  <c r="CC112" i="17"/>
  <c r="CD112" i="17"/>
  <c r="CG112" i="17"/>
  <c r="CH112" i="17"/>
  <c r="CK112" i="17"/>
  <c r="CL112" i="17"/>
  <c r="CR112" i="17"/>
  <c r="CS112" i="17"/>
  <c r="CV112" i="17"/>
  <c r="CW112" i="17"/>
  <c r="CX112" i="17"/>
  <c r="CZ112" i="17"/>
  <c r="DB112" i="17"/>
  <c r="AF113" i="17"/>
  <c r="AG113" i="17"/>
  <c r="AO113" i="17" s="1"/>
  <c r="BQ113" i="17"/>
  <c r="BR113" i="17"/>
  <c r="BU113" i="17"/>
  <c r="BV113" i="17"/>
  <c r="BY113" i="17"/>
  <c r="BZ113" i="17"/>
  <c r="CC113" i="17"/>
  <c r="CD113" i="17"/>
  <c r="CG113" i="17"/>
  <c r="CH113" i="17"/>
  <c r="CK113" i="17"/>
  <c r="CL113" i="17"/>
  <c r="CP113" i="17"/>
  <c r="CR113" i="17"/>
  <c r="CS113" i="17" s="1"/>
  <c r="CV113" i="17"/>
  <c r="CW113" i="17" s="1"/>
  <c r="CZ113" i="17"/>
  <c r="DA113" i="17" s="1"/>
  <c r="DB113" i="17"/>
  <c r="AF114" i="17"/>
  <c r="AG114" i="17"/>
  <c r="AH114" i="17"/>
  <c r="AO114" i="17"/>
  <c r="BZ114" i="17"/>
  <c r="CD114" i="17"/>
  <c r="CE114" i="17"/>
  <c r="CH114" i="17"/>
  <c r="CL114" i="17" s="1"/>
  <c r="CS114" i="17" s="1"/>
  <c r="CW114" i="17" s="1"/>
  <c r="DA114" i="17" s="1"/>
  <c r="DE114" i="17" s="1"/>
  <c r="DI114" i="17" s="1"/>
  <c r="DM114" i="17" s="1"/>
  <c r="DQ114" i="17" s="1"/>
  <c r="DU114" i="17" s="1"/>
  <c r="DY114" i="17" s="1"/>
  <c r="EC114" i="17" s="1"/>
  <c r="ED114" i="17"/>
  <c r="EE114" i="17" s="1"/>
  <c r="EJ114" i="17" s="1"/>
  <c r="EF114" i="17"/>
  <c r="EG114" i="17" s="1"/>
  <c r="EI114" i="17"/>
  <c r="AF115" i="17"/>
  <c r="AG115" i="17"/>
  <c r="AH115" i="17"/>
  <c r="AO115" i="17"/>
  <c r="BQ115" i="17"/>
  <c r="BU115" i="17"/>
  <c r="BV115" i="17" s="1"/>
  <c r="BY115" i="17"/>
  <c r="BZ115" i="17" s="1"/>
  <c r="CC115" i="17"/>
  <c r="CD115" i="17" s="1"/>
  <c r="CG115" i="17"/>
  <c r="CH115" i="17" s="1"/>
  <c r="CK115" i="17"/>
  <c r="CL115" i="17" s="1"/>
  <c r="CP115" i="17"/>
  <c r="CR115" i="17" s="1"/>
  <c r="CS115" i="17" s="1"/>
  <c r="CV115" i="17"/>
  <c r="CW115" i="17"/>
  <c r="CZ115" i="17"/>
  <c r="DA115" i="17"/>
  <c r="DD115" i="17"/>
  <c r="DE115" i="17"/>
  <c r="DF115" i="17"/>
  <c r="DH115" i="17"/>
  <c r="DI115" i="17" s="1"/>
  <c r="DL115" i="17"/>
  <c r="DM115" i="17" s="1"/>
  <c r="DP115" i="17"/>
  <c r="DQ115" i="17" s="1"/>
  <c r="DT115" i="17"/>
  <c r="DU115" i="17" s="1"/>
  <c r="DX115" i="17"/>
  <c r="DY115" i="17" s="1"/>
  <c r="DZ115" i="17"/>
  <c r="EB115" i="17" s="1"/>
  <c r="EC115" i="17"/>
  <c r="AF116" i="17"/>
  <c r="AG116" i="17"/>
  <c r="AO116" i="17" s="1"/>
  <c r="AH116" i="17"/>
  <c r="BQ116" i="17"/>
  <c r="BR116" i="17"/>
  <c r="BU116" i="17"/>
  <c r="BV116" i="17"/>
  <c r="BY116" i="17"/>
  <c r="BZ116" i="17"/>
  <c r="CC116" i="17"/>
  <c r="CD116" i="17"/>
  <c r="CG116" i="17"/>
  <c r="CH116" i="17"/>
  <c r="CK116" i="17"/>
  <c r="CL116" i="17"/>
  <c r="CP116" i="17"/>
  <c r="CR116" i="17"/>
  <c r="CS116" i="17" s="1"/>
  <c r="CV116" i="17"/>
  <c r="CW116" i="17" s="1"/>
  <c r="CZ116" i="17"/>
  <c r="DA116" i="17" s="1"/>
  <c r="DB116" i="17"/>
  <c r="AF117" i="17"/>
  <c r="AG117" i="17"/>
  <c r="AH117" i="17"/>
  <c r="AO117" i="17"/>
  <c r="BQ117" i="17"/>
  <c r="BR117" i="17"/>
  <c r="BU117" i="17"/>
  <c r="BV117" i="17"/>
  <c r="BY117" i="17"/>
  <c r="BZ117" i="17"/>
  <c r="CC117" i="17"/>
  <c r="CD117" i="17"/>
  <c r="CG117" i="17"/>
  <c r="CH117" i="17"/>
  <c r="CK117" i="17"/>
  <c r="CL117" i="17"/>
  <c r="CR117" i="17"/>
  <c r="CS117" i="17"/>
  <c r="CV117" i="17"/>
  <c r="CW117" i="17"/>
  <c r="CX117" i="17"/>
  <c r="CZ117" i="17"/>
  <c r="DB117" i="17"/>
  <c r="AF118" i="17"/>
  <c r="AG118" i="17"/>
  <c r="AH118" i="17"/>
  <c r="AO118" i="17"/>
  <c r="BQ118" i="17"/>
  <c r="BR118" i="17"/>
  <c r="BU118" i="17"/>
  <c r="BV118" i="17"/>
  <c r="BY118" i="17"/>
  <c r="BZ118" i="17"/>
  <c r="CC118" i="17"/>
  <c r="CD118" i="17"/>
  <c r="CG118" i="17"/>
  <c r="CH118" i="17"/>
  <c r="CK118" i="17"/>
  <c r="CL118" i="17"/>
  <c r="CP118" i="17"/>
  <c r="CR118" i="17"/>
  <c r="CS118" i="17" s="1"/>
  <c r="CV118" i="17"/>
  <c r="CW118" i="17" s="1"/>
  <c r="CZ118" i="17"/>
  <c r="DA118" i="17" s="1"/>
  <c r="DB118" i="17"/>
  <c r="AF119" i="17"/>
  <c r="AG119" i="17"/>
  <c r="AO119" i="17" s="1"/>
  <c r="AH119" i="17"/>
  <c r="BQ119" i="17"/>
  <c r="BR119" i="17"/>
  <c r="BU119" i="17"/>
  <c r="BV119" i="17"/>
  <c r="BY119" i="17"/>
  <c r="BZ119" i="17"/>
  <c r="CC119" i="17"/>
  <c r="CD119" i="17"/>
  <c r="CG119" i="17"/>
  <c r="CH119" i="17"/>
  <c r="CK119" i="17"/>
  <c r="CL119" i="17"/>
  <c r="CR119" i="17"/>
  <c r="CS119" i="17"/>
  <c r="CV119" i="17"/>
  <c r="CW119" i="17"/>
  <c r="CX119" i="17"/>
  <c r="CZ119" i="17"/>
  <c r="DB119" i="17"/>
  <c r="AF120" i="17"/>
  <c r="AG120" i="17"/>
  <c r="AO120" i="17" s="1"/>
  <c r="AH120" i="17"/>
  <c r="BQ120" i="17"/>
  <c r="BR120" i="17"/>
  <c r="BU120" i="17"/>
  <c r="BV120" i="17"/>
  <c r="BY120" i="17"/>
  <c r="BZ120" i="17"/>
  <c r="CC120" i="17"/>
  <c r="CD120" i="17"/>
  <c r="CG120" i="17"/>
  <c r="CH120" i="17"/>
  <c r="CK120" i="17"/>
  <c r="CL120" i="17"/>
  <c r="CP120" i="17"/>
  <c r="CR120" i="17"/>
  <c r="CS120" i="17" s="1"/>
  <c r="CV120" i="17"/>
  <c r="CW120" i="17" s="1"/>
  <c r="CZ120" i="17"/>
  <c r="DA120" i="17" s="1"/>
  <c r="DB120" i="17"/>
  <c r="AF121" i="17"/>
  <c r="AG121" i="17"/>
  <c r="AH121" i="17"/>
  <c r="AO121" i="17"/>
  <c r="BZ121" i="17"/>
  <c r="CD121" i="17"/>
  <c r="CE121" i="17"/>
  <c r="CH121" i="17"/>
  <c r="CL121" i="17" s="1"/>
  <c r="CS121" i="17" s="1"/>
  <c r="CW121" i="17" s="1"/>
  <c r="DA121" i="17" s="1"/>
  <c r="DE121" i="17" s="1"/>
  <c r="DI121" i="17" s="1"/>
  <c r="DM121" i="17" s="1"/>
  <c r="DQ121" i="17" s="1"/>
  <c r="DU121" i="17" s="1"/>
  <c r="DY121" i="17" s="1"/>
  <c r="EC121" i="17" s="1"/>
  <c r="ED121" i="17"/>
  <c r="EE121" i="17" s="1"/>
  <c r="EJ121" i="17" s="1"/>
  <c r="EI121" i="17"/>
  <c r="AF122" i="17"/>
  <c r="AG122" i="17"/>
  <c r="AH122" i="17"/>
  <c r="AO122" i="17"/>
  <c r="BQ122" i="17"/>
  <c r="BU122" i="17"/>
  <c r="BV122" i="17" s="1"/>
  <c r="BY122" i="17"/>
  <c r="BZ122" i="17" s="1"/>
  <c r="CC122" i="17"/>
  <c r="CD122" i="17" s="1"/>
  <c r="CG122" i="17"/>
  <c r="CH122" i="17" s="1"/>
  <c r="CK122" i="17"/>
  <c r="CL122" i="17" s="1"/>
  <c r="CP122" i="17"/>
  <c r="CR122" i="17" s="1"/>
  <c r="CS122" i="17"/>
  <c r="CV122" i="17"/>
  <c r="CW122" i="17"/>
  <c r="CZ122" i="17"/>
  <c r="DA122" i="17"/>
  <c r="DD122" i="17"/>
  <c r="DE122" i="17"/>
  <c r="DF122" i="17"/>
  <c r="DH122" i="17"/>
  <c r="DI122" i="17" s="1"/>
  <c r="DL122" i="17"/>
  <c r="DM122" i="17" s="1"/>
  <c r="DP122" i="17"/>
  <c r="DQ122" i="17" s="1"/>
  <c r="DT122" i="17"/>
  <c r="DU122" i="17" s="1"/>
  <c r="DX122" i="17"/>
  <c r="DY122" i="17" s="1"/>
  <c r="DZ122" i="17"/>
  <c r="EB122" i="17" s="1"/>
  <c r="EC122" i="17"/>
  <c r="AF123" i="17"/>
  <c r="AG123" i="17"/>
  <c r="AH123" i="17"/>
  <c r="AO123" i="17"/>
  <c r="BQ123" i="17"/>
  <c r="BR123" i="17"/>
  <c r="BU123" i="17"/>
  <c r="BV123" i="17"/>
  <c r="BY123" i="17"/>
  <c r="BZ123" i="17"/>
  <c r="CC123" i="17"/>
  <c r="CD123" i="17"/>
  <c r="CG123" i="17"/>
  <c r="CH123" i="17"/>
  <c r="CK123" i="17"/>
  <c r="CL123" i="17"/>
  <c r="CP123" i="17"/>
  <c r="CR123" i="17"/>
  <c r="CS123" i="17" s="1"/>
  <c r="CV123" i="17"/>
  <c r="CW123" i="17" s="1"/>
  <c r="CZ123" i="17"/>
  <c r="DA123" i="17" s="1"/>
  <c r="DB123" i="17"/>
  <c r="AF124" i="17"/>
  <c r="AG124" i="17"/>
  <c r="AO124" i="17" s="1"/>
  <c r="AH124" i="17"/>
  <c r="BQ124" i="17"/>
  <c r="BR124" i="17"/>
  <c r="BU124" i="17"/>
  <c r="BV124" i="17"/>
  <c r="BY124" i="17"/>
  <c r="BZ124" i="17"/>
  <c r="CC124" i="17"/>
  <c r="CD124" i="17"/>
  <c r="CG124" i="17"/>
  <c r="CH124" i="17"/>
  <c r="CK124" i="17"/>
  <c r="CL124" i="17"/>
  <c r="CR124" i="17"/>
  <c r="CS124" i="17"/>
  <c r="CV124" i="17"/>
  <c r="CW124" i="17"/>
  <c r="CX124" i="17"/>
  <c r="CZ124" i="17"/>
  <c r="DB124" i="17"/>
  <c r="AF125" i="17"/>
  <c r="AG125" i="17"/>
  <c r="AO125" i="17" s="1"/>
  <c r="AH125" i="17"/>
  <c r="BQ125" i="17"/>
  <c r="BR125" i="17"/>
  <c r="BU125" i="17"/>
  <c r="BV125" i="17"/>
  <c r="BY125" i="17"/>
  <c r="BZ125" i="17"/>
  <c r="CC125" i="17"/>
  <c r="CD125" i="17"/>
  <c r="CG125" i="17"/>
  <c r="CH125" i="17"/>
  <c r="CK125" i="17"/>
  <c r="CL125" i="17"/>
  <c r="CP125" i="17"/>
  <c r="CR125" i="17"/>
  <c r="CS125" i="17" s="1"/>
  <c r="CV125" i="17"/>
  <c r="CW125" i="17" s="1"/>
  <c r="CZ125" i="17"/>
  <c r="DA125" i="17" s="1"/>
  <c r="DB125" i="17"/>
  <c r="AF126" i="17"/>
  <c r="AG126" i="17"/>
  <c r="AH126" i="17"/>
  <c r="AO126" i="17"/>
  <c r="BQ126" i="17"/>
  <c r="BR126" i="17"/>
  <c r="BU126" i="17"/>
  <c r="BV126" i="17"/>
  <c r="BY126" i="17"/>
  <c r="BZ126" i="17"/>
  <c r="CC126" i="17"/>
  <c r="CD126" i="17"/>
  <c r="CG126" i="17"/>
  <c r="CH126" i="17"/>
  <c r="CK126" i="17"/>
  <c r="CL126" i="17"/>
  <c r="CR126" i="17"/>
  <c r="CS126" i="17"/>
  <c r="CV126" i="17"/>
  <c r="CW126" i="17"/>
  <c r="CX126" i="17"/>
  <c r="CZ126" i="17"/>
  <c r="DB126" i="17"/>
  <c r="AF127" i="17"/>
  <c r="AG127" i="17"/>
  <c r="AH127" i="17"/>
  <c r="AO127" i="17"/>
  <c r="BQ127" i="17"/>
  <c r="BR127" i="17"/>
  <c r="BU127" i="17"/>
  <c r="BV127" i="17"/>
  <c r="BY127" i="17"/>
  <c r="BZ127" i="17"/>
  <c r="CC127" i="17"/>
  <c r="CD127" i="17"/>
  <c r="CG127" i="17"/>
  <c r="CH127" i="17"/>
  <c r="CK127" i="17"/>
  <c r="CL127" i="17"/>
  <c r="CP127" i="17"/>
  <c r="CR127" i="17"/>
  <c r="CS127" i="17" s="1"/>
  <c r="CV127" i="17"/>
  <c r="CW127" i="17" s="1"/>
  <c r="CZ127" i="17"/>
  <c r="DA127" i="17" s="1"/>
  <c r="DB127" i="17"/>
  <c r="DD127" i="17" s="1"/>
  <c r="DE127" i="17"/>
  <c r="DF127" i="17"/>
  <c r="DJ127" i="17" s="1"/>
  <c r="AF128" i="17"/>
  <c r="AG128" i="17"/>
  <c r="AO128" i="17" s="1"/>
  <c r="AH128" i="17"/>
  <c r="BZ128" i="17"/>
  <c r="CD128" i="17"/>
  <c r="CH128" i="17" s="1"/>
  <c r="CL128" i="17" s="1"/>
  <c r="CS128" i="17" s="1"/>
  <c r="CW128" i="17" s="1"/>
  <c r="DA128" i="17" s="1"/>
  <c r="DE128" i="17" s="1"/>
  <c r="DI128" i="17" s="1"/>
  <c r="DM128" i="17" s="1"/>
  <c r="DQ128" i="17" s="1"/>
  <c r="DU128" i="17" s="1"/>
  <c r="DY128" i="17" s="1"/>
  <c r="EC128" i="17" s="1"/>
  <c r="CE128" i="17"/>
  <c r="ED128" i="17"/>
  <c r="EI128" i="17" s="1"/>
  <c r="EE128" i="17"/>
  <c r="EJ128" i="17" s="1"/>
  <c r="AF129" i="17"/>
  <c r="AG129" i="17"/>
  <c r="AH129" i="17"/>
  <c r="AO129" i="17"/>
  <c r="BQ129" i="17"/>
  <c r="BR129" i="17" s="1"/>
  <c r="BU129" i="17"/>
  <c r="BV129" i="17" s="1"/>
  <c r="BY129" i="17"/>
  <c r="BZ129" i="17" s="1"/>
  <c r="CC129" i="17"/>
  <c r="CD129" i="17" s="1"/>
  <c r="CG129" i="17"/>
  <c r="CH129" i="17" s="1"/>
  <c r="CK129" i="17"/>
  <c r="CL129" i="17"/>
  <c r="CP129" i="17"/>
  <c r="CR129" i="17" s="1"/>
  <c r="CS129" i="17" s="1"/>
  <c r="CV129" i="17"/>
  <c r="CW129" i="17"/>
  <c r="CZ129" i="17"/>
  <c r="DA129" i="17"/>
  <c r="DD129" i="17"/>
  <c r="DE129" i="17"/>
  <c r="DF129" i="17"/>
  <c r="DH129" i="17"/>
  <c r="DI129" i="17"/>
  <c r="DL129" i="17"/>
  <c r="DM129" i="17" s="1"/>
  <c r="DP129" i="17"/>
  <c r="DQ129" i="17" s="1"/>
  <c r="DT129" i="17"/>
  <c r="DU129" i="17" s="1"/>
  <c r="DX129" i="17"/>
  <c r="DY129" i="17" s="1"/>
  <c r="DZ129" i="17"/>
  <c r="EB129" i="17" s="1"/>
  <c r="EC129" i="17"/>
  <c r="ED129" i="17"/>
  <c r="EI129" i="17" s="1"/>
  <c r="AF130" i="17"/>
  <c r="AG130" i="17"/>
  <c r="AH130" i="17"/>
  <c r="AO130" i="17"/>
  <c r="BQ130" i="17"/>
  <c r="BR130" i="17"/>
  <c r="BU130" i="17"/>
  <c r="BV130" i="17"/>
  <c r="BY130" i="17"/>
  <c r="BZ130" i="17"/>
  <c r="CC130" i="17"/>
  <c r="CD130" i="17"/>
  <c r="CG130" i="17"/>
  <c r="CH130" i="17"/>
  <c r="CK130" i="17"/>
  <c r="CL130" i="17"/>
  <c r="CP130" i="17"/>
  <c r="CR130" i="17"/>
  <c r="CS130" i="17"/>
  <c r="CV130" i="17"/>
  <c r="CW130" i="17" s="1"/>
  <c r="CZ130" i="17"/>
  <c r="DA130" i="17" s="1"/>
  <c r="DB130" i="17"/>
  <c r="DD130" i="17" s="1"/>
  <c r="DE130" i="17"/>
  <c r="AF131" i="17"/>
  <c r="AG131" i="17"/>
  <c r="AO131" i="17" s="1"/>
  <c r="AH131" i="17"/>
  <c r="BQ131" i="17"/>
  <c r="BR131" i="17"/>
  <c r="BU131" i="17"/>
  <c r="BV131" i="17"/>
  <c r="BY131" i="17"/>
  <c r="BZ131" i="17"/>
  <c r="CC131" i="17"/>
  <c r="CD131" i="17"/>
  <c r="CG131" i="17"/>
  <c r="CH131" i="17"/>
  <c r="CK131" i="17"/>
  <c r="CL131" i="17"/>
  <c r="CR131" i="17"/>
  <c r="CS131" i="17"/>
  <c r="CV131" i="17"/>
  <c r="CW131" i="17"/>
  <c r="CX131" i="17"/>
  <c r="DB131" i="17" s="1"/>
  <c r="CZ131" i="17"/>
  <c r="DA131" i="17" s="1"/>
  <c r="AF132" i="17"/>
  <c r="AG132" i="17"/>
  <c r="AO132" i="17" s="1"/>
  <c r="AH132" i="17"/>
  <c r="BQ132" i="17"/>
  <c r="BR132" i="17"/>
  <c r="BU132" i="17"/>
  <c r="BV132" i="17" s="1"/>
  <c r="BY132" i="17"/>
  <c r="BZ132" i="17"/>
  <c r="CC132" i="17"/>
  <c r="CD132" i="17" s="1"/>
  <c r="CG132" i="17"/>
  <c r="CH132" i="17"/>
  <c r="CK132" i="17"/>
  <c r="CL132" i="17" s="1"/>
  <c r="CP132" i="17"/>
  <c r="CR132" i="17"/>
  <c r="CS132" i="17"/>
  <c r="CV132" i="17"/>
  <c r="CW132" i="17" s="1"/>
  <c r="CZ132" i="17"/>
  <c r="DA132" i="17"/>
  <c r="DB132" i="17"/>
  <c r="AF133" i="17"/>
  <c r="AG133" i="17"/>
  <c r="AO133" i="17" s="1"/>
  <c r="AH133" i="17"/>
  <c r="BQ133" i="17"/>
  <c r="BR133" i="17"/>
  <c r="BU133" i="17"/>
  <c r="BY133" i="17"/>
  <c r="BZ133" i="17"/>
  <c r="CC133" i="17"/>
  <c r="CD133" i="17" s="1"/>
  <c r="CG133" i="17"/>
  <c r="CH133" i="17"/>
  <c r="CK133" i="17"/>
  <c r="CL133" i="17" s="1"/>
  <c r="CR133" i="17"/>
  <c r="CS133" i="17"/>
  <c r="CV133" i="17"/>
  <c r="CW133" i="17" s="1"/>
  <c r="CX133" i="17"/>
  <c r="CZ133" i="17"/>
  <c r="DA133" i="17"/>
  <c r="DB133" i="17"/>
  <c r="DD133" i="17" s="1"/>
  <c r="DE133" i="17" s="1"/>
  <c r="DF133" i="17"/>
  <c r="AF134" i="17"/>
  <c r="AG134" i="17"/>
  <c r="AH134" i="17"/>
  <c r="AO134" i="17"/>
  <c r="BQ134" i="17"/>
  <c r="BR134" i="17" s="1"/>
  <c r="BU134" i="17"/>
  <c r="BV134" i="17"/>
  <c r="BY134" i="17"/>
  <c r="BZ134" i="17" s="1"/>
  <c r="CC134" i="17"/>
  <c r="CD134" i="17"/>
  <c r="CG134" i="17"/>
  <c r="CH134" i="17" s="1"/>
  <c r="CK134" i="17"/>
  <c r="CL134" i="17"/>
  <c r="CP134" i="17"/>
  <c r="CR134" i="17" s="1"/>
  <c r="CS134" i="17" s="1"/>
  <c r="CV134" i="17"/>
  <c r="CW134" i="17"/>
  <c r="CZ134" i="17"/>
  <c r="DA134" i="17" s="1"/>
  <c r="DB134" i="17"/>
  <c r="DF134" i="17" s="1"/>
  <c r="DJ134" i="17" s="1"/>
  <c r="DL134" i="17" s="1"/>
  <c r="DM134" i="17"/>
  <c r="AF135" i="17"/>
  <c r="AG135" i="17"/>
  <c r="AO135" i="17" s="1"/>
  <c r="AH135" i="17"/>
  <c r="BZ135" i="17"/>
  <c r="CD135" i="17"/>
  <c r="CH135" i="17" s="1"/>
  <c r="CL135" i="17" s="1"/>
  <c r="CE135" i="17"/>
  <c r="CS135" i="17"/>
  <c r="CW135" i="17" s="1"/>
  <c r="DA135" i="17" s="1"/>
  <c r="DE135" i="17" s="1"/>
  <c r="DI135" i="17" s="1"/>
  <c r="DM135" i="17" s="1"/>
  <c r="DQ135" i="17" s="1"/>
  <c r="DU135" i="17" s="1"/>
  <c r="DY135" i="17" s="1"/>
  <c r="EC135" i="17" s="1"/>
  <c r="ED135" i="17"/>
  <c r="EE135" i="17" s="1"/>
  <c r="EJ135" i="17" s="1"/>
  <c r="EI135" i="17"/>
  <c r="AF136" i="17"/>
  <c r="AG136" i="17"/>
  <c r="AO136" i="17" s="1"/>
  <c r="AH136" i="17"/>
  <c r="BQ136" i="17"/>
  <c r="BR136" i="17"/>
  <c r="BU136" i="17"/>
  <c r="BV136" i="17" s="1"/>
  <c r="BY136" i="17"/>
  <c r="BZ136" i="17" s="1"/>
  <c r="CC136" i="17"/>
  <c r="CD136" i="17" s="1"/>
  <c r="CG136" i="17"/>
  <c r="CH136" i="17"/>
  <c r="CK136" i="17"/>
  <c r="CL136" i="17" s="1"/>
  <c r="CP136" i="17"/>
  <c r="CR136" i="17" s="1"/>
  <c r="CS136" i="17" s="1"/>
  <c r="CV136" i="17"/>
  <c r="CW136" i="17"/>
  <c r="CZ136" i="17"/>
  <c r="DA136" i="17" s="1"/>
  <c r="DD136" i="17"/>
  <c r="DE136" i="17"/>
  <c r="DF136" i="17"/>
  <c r="DH136" i="17" s="1"/>
  <c r="DI136" i="17" s="1"/>
  <c r="DL136" i="17"/>
  <c r="DM136" i="17" s="1"/>
  <c r="DP136" i="17"/>
  <c r="DQ136" i="17" s="1"/>
  <c r="DT136" i="17"/>
  <c r="DU136" i="17"/>
  <c r="DX136" i="17"/>
  <c r="DY136" i="17" s="1"/>
  <c r="DZ136" i="17"/>
  <c r="EB136" i="17" s="1"/>
  <c r="EC136" i="17" s="1"/>
  <c r="AF137" i="17"/>
  <c r="AG137" i="17"/>
  <c r="AH137" i="17"/>
  <c r="AO137" i="17"/>
  <c r="BQ137" i="17"/>
  <c r="BR137" i="17" s="1"/>
  <c r="BU137" i="17"/>
  <c r="BV137" i="17"/>
  <c r="BY137" i="17"/>
  <c r="BZ137" i="17" s="1"/>
  <c r="CC137" i="17"/>
  <c r="CD137" i="17"/>
  <c r="CG137" i="17"/>
  <c r="CH137" i="17" s="1"/>
  <c r="CK137" i="17"/>
  <c r="CL137" i="17"/>
  <c r="CP137" i="17"/>
  <c r="CR137" i="17" s="1"/>
  <c r="CS137" i="17" s="1"/>
  <c r="CV137" i="17"/>
  <c r="CW137" i="17"/>
  <c r="CZ137" i="17"/>
  <c r="DA137" i="17" s="1"/>
  <c r="DB137" i="17"/>
  <c r="DF137" i="17" s="1"/>
  <c r="DJ137" i="17" s="1"/>
  <c r="DL137" i="17" s="1"/>
  <c r="DH137" i="17"/>
  <c r="DI137" i="17" s="1"/>
  <c r="DM137" i="17"/>
  <c r="AF138" i="17"/>
  <c r="AG138" i="17"/>
  <c r="AO138" i="17" s="1"/>
  <c r="AH138" i="17"/>
  <c r="BQ138" i="17"/>
  <c r="BR138" i="17"/>
  <c r="BU138" i="17"/>
  <c r="BY138" i="17"/>
  <c r="BZ138" i="17"/>
  <c r="CC138" i="17"/>
  <c r="CD138" i="17" s="1"/>
  <c r="CG138" i="17"/>
  <c r="CH138" i="17"/>
  <c r="CK138" i="17"/>
  <c r="CL138" i="17" s="1"/>
  <c r="CR138" i="17"/>
  <c r="CS138" i="17"/>
  <c r="CV138" i="17"/>
  <c r="CW138" i="17" s="1"/>
  <c r="CX138" i="17"/>
  <c r="CZ138" i="17"/>
  <c r="DA138" i="17" s="1"/>
  <c r="DB138" i="17"/>
  <c r="DD138" i="17" s="1"/>
  <c r="DE138" i="17" s="1"/>
  <c r="DF138" i="17"/>
  <c r="DH138" i="17" s="1"/>
  <c r="DI138" i="17" s="1"/>
  <c r="AF139" i="17"/>
  <c r="AG139" i="17"/>
  <c r="AH139" i="17"/>
  <c r="AO139" i="17"/>
  <c r="BQ139" i="17"/>
  <c r="BR139" i="17" s="1"/>
  <c r="BU139" i="17"/>
  <c r="BV139" i="17"/>
  <c r="BY139" i="17"/>
  <c r="BZ139" i="17" s="1"/>
  <c r="CC139" i="17"/>
  <c r="CD139" i="17"/>
  <c r="CG139" i="17"/>
  <c r="CH139" i="17" s="1"/>
  <c r="CK139" i="17"/>
  <c r="CL139" i="17"/>
  <c r="CP139" i="17"/>
  <c r="CR139" i="17" s="1"/>
  <c r="CS139" i="17" s="1"/>
  <c r="CV139" i="17"/>
  <c r="CW139" i="17" s="1"/>
  <c r="CZ139" i="17"/>
  <c r="DA139" i="17" s="1"/>
  <c r="DB139" i="17"/>
  <c r="DF139" i="17" s="1"/>
  <c r="DJ139" i="17" s="1"/>
  <c r="DL139" i="17" s="1"/>
  <c r="DD139" i="17"/>
  <c r="DE139" i="17" s="1"/>
  <c r="DH139" i="17"/>
  <c r="DI139" i="17"/>
  <c r="DM139" i="17"/>
  <c r="DN139" i="17"/>
  <c r="DP139" i="17" s="1"/>
  <c r="DQ139" i="17" s="1"/>
  <c r="AF140" i="17"/>
  <c r="AG140" i="17"/>
  <c r="AO140" i="17" s="1"/>
  <c r="AH140" i="17"/>
  <c r="BQ140" i="17"/>
  <c r="BR140" i="17"/>
  <c r="BU140" i="17"/>
  <c r="BV140" i="17"/>
  <c r="BY140" i="17"/>
  <c r="BZ140" i="17"/>
  <c r="CC140" i="17"/>
  <c r="CD140" i="17"/>
  <c r="CG140" i="17"/>
  <c r="CH140" i="17"/>
  <c r="CK140" i="17"/>
  <c r="CL140" i="17"/>
  <c r="CR140" i="17"/>
  <c r="CS140" i="17"/>
  <c r="CV140" i="17"/>
  <c r="CW140" i="17"/>
  <c r="CX140" i="17"/>
  <c r="CZ140" i="17"/>
  <c r="DA140" i="17" s="1"/>
  <c r="DB140" i="17"/>
  <c r="DD140" i="17" s="1"/>
  <c r="DE140" i="17" s="1"/>
  <c r="DF140" i="17"/>
  <c r="DJ140" i="17" s="1"/>
  <c r="AF141" i="17"/>
  <c r="AG141" i="17"/>
  <c r="AO141" i="17" s="1"/>
  <c r="AH141" i="17"/>
  <c r="BQ141" i="17"/>
  <c r="BR141" i="17" s="1"/>
  <c r="BU141" i="17"/>
  <c r="BV141" i="17"/>
  <c r="BY141" i="17"/>
  <c r="BZ141" i="17" s="1"/>
  <c r="CC141" i="17"/>
  <c r="CD141" i="17"/>
  <c r="CG141" i="17"/>
  <c r="CH141" i="17" s="1"/>
  <c r="CK141" i="17"/>
  <c r="CL141" i="17"/>
  <c r="CP141" i="17"/>
  <c r="CR141" i="17" s="1"/>
  <c r="CS141" i="17" s="1"/>
  <c r="CV141" i="17"/>
  <c r="CW141" i="17" s="1"/>
  <c r="CZ141" i="17"/>
  <c r="DA141" i="17" s="1"/>
  <c r="DB141" i="17"/>
  <c r="DF141" i="17" s="1"/>
  <c r="DD141" i="17"/>
  <c r="DE141" i="17" s="1"/>
  <c r="DH141" i="17"/>
  <c r="DI141" i="17" s="1"/>
  <c r="DJ141" i="17"/>
  <c r="DL141" i="17" s="1"/>
  <c r="DM141" i="17" s="1"/>
  <c r="AF142" i="17"/>
  <c r="AG142" i="17"/>
  <c r="AH142" i="17"/>
  <c r="AO142" i="17"/>
  <c r="BZ142" i="17"/>
  <c r="CD142" i="17" s="1"/>
  <c r="CH142" i="17" s="1"/>
  <c r="CL142" i="17" s="1"/>
  <c r="CS142" i="17" s="1"/>
  <c r="CW142" i="17" s="1"/>
  <c r="DA142" i="17" s="1"/>
  <c r="DE142" i="17" s="1"/>
  <c r="DI142" i="17" s="1"/>
  <c r="DM142" i="17" s="1"/>
  <c r="DQ142" i="17" s="1"/>
  <c r="DU142" i="17" s="1"/>
  <c r="DY142" i="17" s="1"/>
  <c r="EC142" i="17" s="1"/>
  <c r="CE142" i="17"/>
  <c r="ED142" i="17"/>
  <c r="EE142" i="17"/>
  <c r="EF142" i="17" s="1"/>
  <c r="EG142" i="17" s="1"/>
  <c r="EI142" i="17"/>
  <c r="EJ142" i="17"/>
  <c r="AF143" i="17"/>
  <c r="AG143" i="17"/>
  <c r="AH143" i="17"/>
  <c r="AO143" i="17"/>
  <c r="BQ143" i="17"/>
  <c r="BR143" i="17"/>
  <c r="BU143" i="17"/>
  <c r="BV143" i="17"/>
  <c r="BY143" i="17"/>
  <c r="BZ143" i="17"/>
  <c r="CC143" i="17"/>
  <c r="CD143" i="17"/>
  <c r="CG143" i="17"/>
  <c r="CH143" i="17"/>
  <c r="CK143" i="17"/>
  <c r="CL143" i="17"/>
  <c r="CP143" i="17"/>
  <c r="CR143" i="17"/>
  <c r="CS143" i="17" s="1"/>
  <c r="CV143" i="17"/>
  <c r="CW143" i="17" s="1"/>
  <c r="CZ143" i="17"/>
  <c r="DA143" i="17" s="1"/>
  <c r="DD143" i="17"/>
  <c r="DE143" i="17" s="1"/>
  <c r="DF143" i="17"/>
  <c r="DH143" i="17" s="1"/>
  <c r="DL143" i="17"/>
  <c r="DM143" i="17"/>
  <c r="DP143" i="17"/>
  <c r="DQ143" i="17"/>
  <c r="DT143" i="17"/>
  <c r="DU143" i="17"/>
  <c r="DX143" i="17"/>
  <c r="DY143" i="17"/>
  <c r="DZ143" i="17"/>
  <c r="EB143" i="17"/>
  <c r="EC143" i="17" s="1"/>
  <c r="AF144" i="17"/>
  <c r="AG144" i="17"/>
  <c r="AO144" i="17" s="1"/>
  <c r="AH144" i="17"/>
  <c r="BQ144" i="17"/>
  <c r="BR144" i="17" s="1"/>
  <c r="BU144" i="17"/>
  <c r="BY144" i="17"/>
  <c r="BZ144" i="17" s="1"/>
  <c r="CC144" i="17"/>
  <c r="CD144" i="17" s="1"/>
  <c r="CG144" i="17"/>
  <c r="CH144" i="17" s="1"/>
  <c r="CK144" i="17"/>
  <c r="CL144" i="17" s="1"/>
  <c r="CP144" i="17"/>
  <c r="CR144" i="17" s="1"/>
  <c r="CS144" i="17" s="1"/>
  <c r="CV144" i="17"/>
  <c r="CW144" i="17"/>
  <c r="CZ144" i="17"/>
  <c r="DA144" i="17"/>
  <c r="DB144" i="17"/>
  <c r="DD144" i="17"/>
  <c r="DE144" i="17" s="1"/>
  <c r="DF144" i="17"/>
  <c r="DJ144" i="17" s="1"/>
  <c r="AF145" i="17"/>
  <c r="AG145" i="17"/>
  <c r="AH145" i="17"/>
  <c r="AO145" i="17"/>
  <c r="BQ145" i="17"/>
  <c r="BR145" i="17" s="1"/>
  <c r="BU145" i="17"/>
  <c r="BV145" i="17" s="1"/>
  <c r="BY145" i="17"/>
  <c r="BZ145" i="17" s="1"/>
  <c r="CC145" i="17"/>
  <c r="CD145" i="17" s="1"/>
  <c r="CG145" i="17"/>
  <c r="CH145" i="17" s="1"/>
  <c r="CK145" i="17"/>
  <c r="CL145" i="17" s="1"/>
  <c r="CR145" i="17"/>
  <c r="CS145" i="17" s="1"/>
  <c r="CV145" i="17"/>
  <c r="CW145" i="17" s="1"/>
  <c r="CX145" i="17"/>
  <c r="DB145" i="17" s="1"/>
  <c r="AF146" i="17"/>
  <c r="AG146" i="17"/>
  <c r="AO146" i="17" s="1"/>
  <c r="AH146" i="17"/>
  <c r="BQ146" i="17"/>
  <c r="BR146" i="17" s="1"/>
  <c r="BU146" i="17"/>
  <c r="BY146" i="17"/>
  <c r="BZ146" i="17" s="1"/>
  <c r="CC146" i="17"/>
  <c r="CD146" i="17" s="1"/>
  <c r="CG146" i="17"/>
  <c r="CH146" i="17" s="1"/>
  <c r="CK146" i="17"/>
  <c r="CL146" i="17" s="1"/>
  <c r="CP146" i="17"/>
  <c r="CR146" i="17" s="1"/>
  <c r="CS146" i="17" s="1"/>
  <c r="CV146" i="17"/>
  <c r="CW146" i="17"/>
  <c r="CZ146" i="17"/>
  <c r="DA146" i="17"/>
  <c r="DB146" i="17"/>
  <c r="DD146" i="17"/>
  <c r="DE146" i="17" s="1"/>
  <c r="DF146" i="17"/>
  <c r="DJ146" i="17" s="1"/>
  <c r="AF147" i="17"/>
  <c r="AG147" i="17"/>
  <c r="AH147" i="17"/>
  <c r="AO147" i="17"/>
  <c r="BQ147" i="17"/>
  <c r="BR147" i="17" s="1"/>
  <c r="BU147" i="17"/>
  <c r="BV147" i="17" s="1"/>
  <c r="BY147" i="17"/>
  <c r="BZ147" i="17" s="1"/>
  <c r="CC147" i="17"/>
  <c r="CD147" i="17" s="1"/>
  <c r="CG147" i="17"/>
  <c r="CH147" i="17" s="1"/>
  <c r="CK147" i="17"/>
  <c r="CL147" i="17" s="1"/>
  <c r="CR147" i="17"/>
  <c r="CS147" i="17" s="1"/>
  <c r="CV147" i="17"/>
  <c r="CW147" i="17" s="1"/>
  <c r="CX147" i="17"/>
  <c r="DB147" i="17" s="1"/>
  <c r="AF148" i="17"/>
  <c r="AG148" i="17"/>
  <c r="AO148" i="17" s="1"/>
  <c r="AH148" i="17"/>
  <c r="BQ148" i="17"/>
  <c r="BR148" i="17" s="1"/>
  <c r="BU148" i="17"/>
  <c r="BY148" i="17"/>
  <c r="BZ148" i="17" s="1"/>
  <c r="CC148" i="17"/>
  <c r="CD148" i="17" s="1"/>
  <c r="CG148" i="17"/>
  <c r="CH148" i="17" s="1"/>
  <c r="CK148" i="17"/>
  <c r="CL148" i="17" s="1"/>
  <c r="CP148" i="17"/>
  <c r="CR148" i="17" s="1"/>
  <c r="CS148" i="17" s="1"/>
  <c r="CV148" i="17"/>
  <c r="CW148" i="17"/>
  <c r="CZ148" i="17"/>
  <c r="DA148" i="17"/>
  <c r="DB148" i="17"/>
  <c r="DD148" i="17"/>
  <c r="DE148" i="17" s="1"/>
  <c r="DF148" i="17"/>
  <c r="DJ148" i="17" s="1"/>
  <c r="AF149" i="17"/>
  <c r="AG149" i="17"/>
  <c r="AH149" i="17"/>
  <c r="AO149" i="17"/>
  <c r="BZ149" i="17"/>
  <c r="CD149" i="17" s="1"/>
  <c r="CH149" i="17" s="1"/>
  <c r="CL149" i="17" s="1"/>
  <c r="CS149" i="17" s="1"/>
  <c r="CW149" i="17" s="1"/>
  <c r="DA149" i="17" s="1"/>
  <c r="DE149" i="17" s="1"/>
  <c r="DI149" i="17" s="1"/>
  <c r="DM149" i="17" s="1"/>
  <c r="DQ149" i="17" s="1"/>
  <c r="DU149" i="17" s="1"/>
  <c r="DY149" i="17" s="1"/>
  <c r="EC149" i="17" s="1"/>
  <c r="CE149" i="17"/>
  <c r="ED149" i="17"/>
  <c r="EE149" i="17"/>
  <c r="EF149" i="17" s="1"/>
  <c r="EG149" i="17" s="1"/>
  <c r="EI149" i="17"/>
  <c r="EJ149" i="17"/>
  <c r="AF150" i="17"/>
  <c r="AG150" i="17"/>
  <c r="AH150" i="17"/>
  <c r="AO150" i="17"/>
  <c r="BQ150" i="17"/>
  <c r="BR150" i="17"/>
  <c r="BU150" i="17"/>
  <c r="BV150" i="17"/>
  <c r="BY150" i="17"/>
  <c r="BZ150" i="17"/>
  <c r="CC150" i="17"/>
  <c r="CD150" i="17"/>
  <c r="CG150" i="17"/>
  <c r="CH150" i="17"/>
  <c r="CK150" i="17"/>
  <c r="CL150" i="17"/>
  <c r="CP150" i="17"/>
  <c r="CR150" i="17"/>
  <c r="CS150" i="17" s="1"/>
  <c r="CV150" i="17"/>
  <c r="CW150" i="17" s="1"/>
  <c r="CZ150" i="17"/>
  <c r="DA150" i="17" s="1"/>
  <c r="DD150" i="17"/>
  <c r="DE150" i="17" s="1"/>
  <c r="DF150" i="17"/>
  <c r="DH150" i="17" s="1"/>
  <c r="DL150" i="17"/>
  <c r="DM150" i="17"/>
  <c r="DP150" i="17"/>
  <c r="DQ150" i="17"/>
  <c r="DT150" i="17"/>
  <c r="DU150" i="17"/>
  <c r="DX150" i="17"/>
  <c r="DY150" i="17"/>
  <c r="DZ150" i="17"/>
  <c r="EB150" i="17"/>
  <c r="EC150" i="17" s="1"/>
  <c r="AF151" i="17"/>
  <c r="AG151" i="17"/>
  <c r="AO151" i="17" s="1"/>
  <c r="AH151" i="17"/>
  <c r="BQ151" i="17"/>
  <c r="BR151" i="17" s="1"/>
  <c r="BU151" i="17"/>
  <c r="BY151" i="17"/>
  <c r="BZ151" i="17" s="1"/>
  <c r="CC151" i="17"/>
  <c r="CD151" i="17" s="1"/>
  <c r="CG151" i="17"/>
  <c r="CH151" i="17" s="1"/>
  <c r="CK151" i="17"/>
  <c r="CL151" i="17" s="1"/>
  <c r="CP151" i="17"/>
  <c r="CR151" i="17" s="1"/>
  <c r="CS151" i="17" s="1"/>
  <c r="CV151" i="17"/>
  <c r="CW151" i="17"/>
  <c r="CZ151" i="17"/>
  <c r="DA151" i="17"/>
  <c r="DB151" i="17"/>
  <c r="DD151" i="17"/>
  <c r="DE151" i="17" s="1"/>
  <c r="DF151" i="17"/>
  <c r="DJ151" i="17" s="1"/>
  <c r="AF152" i="17"/>
  <c r="AG152" i="17"/>
  <c r="AH152" i="17"/>
  <c r="AO152" i="17"/>
  <c r="BQ152" i="17"/>
  <c r="BR152" i="17" s="1"/>
  <c r="BU152" i="17"/>
  <c r="BV152" i="17" s="1"/>
  <c r="BY152" i="17"/>
  <c r="BZ152" i="17" s="1"/>
  <c r="CC152" i="17"/>
  <c r="CD152" i="17" s="1"/>
  <c r="CG152" i="17"/>
  <c r="CH152" i="17" s="1"/>
  <c r="CK152" i="17"/>
  <c r="CL152" i="17" s="1"/>
  <c r="CR152" i="17"/>
  <c r="CS152" i="17" s="1"/>
  <c r="CV152" i="17"/>
  <c r="CW152" i="17" s="1"/>
  <c r="CX152" i="17"/>
  <c r="DB152" i="17" s="1"/>
  <c r="AF153" i="17"/>
  <c r="AG153" i="17"/>
  <c r="AO153" i="17" s="1"/>
  <c r="AH153" i="17"/>
  <c r="BQ153" i="17"/>
  <c r="BR153" i="17" s="1"/>
  <c r="BU153" i="17"/>
  <c r="BY153" i="17"/>
  <c r="BZ153" i="17" s="1"/>
  <c r="CC153" i="17"/>
  <c r="CD153" i="17" s="1"/>
  <c r="CG153" i="17"/>
  <c r="CH153" i="17" s="1"/>
  <c r="CK153" i="17"/>
  <c r="CL153" i="17" s="1"/>
  <c r="CP153" i="17"/>
  <c r="CR153" i="17" s="1"/>
  <c r="CS153" i="17" s="1"/>
  <c r="CV153" i="17"/>
  <c r="CW153" i="17"/>
  <c r="CZ153" i="17"/>
  <c r="DA153" i="17"/>
  <c r="DB153" i="17"/>
  <c r="DD153" i="17"/>
  <c r="DE153" i="17" s="1"/>
  <c r="DF153" i="17"/>
  <c r="DJ153" i="17" s="1"/>
  <c r="AF154" i="17"/>
  <c r="AG154" i="17"/>
  <c r="AH154" i="17"/>
  <c r="AO154" i="17"/>
  <c r="BQ154" i="17"/>
  <c r="BR154" i="17" s="1"/>
  <c r="BU154" i="17"/>
  <c r="BV154" i="17" s="1"/>
  <c r="BY154" i="17"/>
  <c r="BZ154" i="17" s="1"/>
  <c r="CC154" i="17"/>
  <c r="CD154" i="17" s="1"/>
  <c r="CG154" i="17"/>
  <c r="CH154" i="17" s="1"/>
  <c r="CK154" i="17"/>
  <c r="CL154" i="17" s="1"/>
  <c r="CR154" i="17"/>
  <c r="CS154" i="17" s="1"/>
  <c r="CV154" i="17"/>
  <c r="CW154" i="17" s="1"/>
  <c r="CX154" i="17"/>
  <c r="DB154" i="17" s="1"/>
  <c r="AF155" i="17"/>
  <c r="AG155" i="17"/>
  <c r="AO155" i="17" s="1"/>
  <c r="AH155" i="17"/>
  <c r="BQ155" i="17"/>
  <c r="BR155" i="17" s="1"/>
  <c r="BU155" i="17"/>
  <c r="BY155" i="17"/>
  <c r="BZ155" i="17" s="1"/>
  <c r="CC155" i="17"/>
  <c r="CD155" i="17" s="1"/>
  <c r="CG155" i="17"/>
  <c r="CH155" i="17" s="1"/>
  <c r="CK155" i="17"/>
  <c r="CL155" i="17" s="1"/>
  <c r="CP155" i="17"/>
  <c r="CR155" i="17" s="1"/>
  <c r="CS155" i="17" s="1"/>
  <c r="CV155" i="17"/>
  <c r="CW155" i="17"/>
  <c r="CZ155" i="17"/>
  <c r="DA155" i="17"/>
  <c r="DB155" i="17"/>
  <c r="DD155" i="17"/>
  <c r="DE155" i="17" s="1"/>
  <c r="DF155" i="17"/>
  <c r="DJ155" i="17" s="1"/>
  <c r="AF156" i="17"/>
  <c r="AG156" i="17"/>
  <c r="AH156" i="17"/>
  <c r="AO156" i="17"/>
  <c r="BZ156" i="17"/>
  <c r="CD156" i="17" s="1"/>
  <c r="CH156" i="17" s="1"/>
  <c r="CL156" i="17" s="1"/>
  <c r="CS156" i="17" s="1"/>
  <c r="CW156" i="17" s="1"/>
  <c r="DA156" i="17" s="1"/>
  <c r="DE156" i="17" s="1"/>
  <c r="DI156" i="17" s="1"/>
  <c r="DM156" i="17" s="1"/>
  <c r="DQ156" i="17" s="1"/>
  <c r="DU156" i="17" s="1"/>
  <c r="DY156" i="17" s="1"/>
  <c r="EC156" i="17" s="1"/>
  <c r="CE156" i="17"/>
  <c r="ED156" i="17"/>
  <c r="EE156" i="17"/>
  <c r="EF156" i="17" s="1"/>
  <c r="EG156" i="17" s="1"/>
  <c r="EI156" i="17"/>
  <c r="EJ156" i="17"/>
  <c r="AF157" i="17"/>
  <c r="AG157" i="17"/>
  <c r="AH157" i="17"/>
  <c r="AO157" i="17"/>
  <c r="BQ157" i="17"/>
  <c r="BR157" i="17"/>
  <c r="BU157" i="17"/>
  <c r="BV157" i="17"/>
  <c r="BY157" i="17"/>
  <c r="BZ157" i="17"/>
  <c r="CC157" i="17"/>
  <c r="CD157" i="17"/>
  <c r="CG157" i="17"/>
  <c r="CH157" i="17"/>
  <c r="CK157" i="17"/>
  <c r="CL157" i="17"/>
  <c r="CP157" i="17"/>
  <c r="CR157" i="17"/>
  <c r="CS157" i="17" s="1"/>
  <c r="CV157" i="17"/>
  <c r="CW157" i="17" s="1"/>
  <c r="CZ157" i="17"/>
  <c r="DA157" i="17" s="1"/>
  <c r="DD157" i="17"/>
  <c r="DE157" i="17" s="1"/>
  <c r="DF157" i="17"/>
  <c r="DH157" i="17" s="1"/>
  <c r="DL157" i="17"/>
  <c r="DM157" i="17"/>
  <c r="DP157" i="17"/>
  <c r="DQ157" i="17"/>
  <c r="DT157" i="17"/>
  <c r="DU157" i="17"/>
  <c r="DX157" i="17"/>
  <c r="DY157" i="17"/>
  <c r="DZ157" i="17"/>
  <c r="EB157" i="17"/>
  <c r="EC157" i="17" s="1"/>
  <c r="AF158" i="17"/>
  <c r="AG158" i="17"/>
  <c r="AO158" i="17" s="1"/>
  <c r="AH158" i="17"/>
  <c r="BQ158" i="17"/>
  <c r="BR158" i="17" s="1"/>
  <c r="BU158" i="17"/>
  <c r="BY158" i="17"/>
  <c r="BZ158" i="17" s="1"/>
  <c r="CC158" i="17"/>
  <c r="CD158" i="17" s="1"/>
  <c r="CG158" i="17"/>
  <c r="CH158" i="17" s="1"/>
  <c r="CK158" i="17"/>
  <c r="CL158" i="17" s="1"/>
  <c r="CP158" i="17"/>
  <c r="CR158" i="17" s="1"/>
  <c r="CS158" i="17" s="1"/>
  <c r="CV158" i="17"/>
  <c r="CW158" i="17"/>
  <c r="CZ158" i="17"/>
  <c r="DA158" i="17"/>
  <c r="DB158" i="17"/>
  <c r="DD158" i="17"/>
  <c r="DE158" i="17" s="1"/>
  <c r="DF158" i="17"/>
  <c r="DJ158" i="17" s="1"/>
  <c r="AF159" i="17"/>
  <c r="AG159" i="17"/>
  <c r="AH159" i="17"/>
  <c r="AO159" i="17"/>
  <c r="BQ159" i="17"/>
  <c r="BR159" i="17" s="1"/>
  <c r="BU159" i="17"/>
  <c r="BV159" i="17" s="1"/>
  <c r="BY159" i="17"/>
  <c r="BZ159" i="17" s="1"/>
  <c r="CC159" i="17"/>
  <c r="CD159" i="17" s="1"/>
  <c r="CG159" i="17"/>
  <c r="CH159" i="17" s="1"/>
  <c r="CK159" i="17"/>
  <c r="CL159" i="17" s="1"/>
  <c r="CR159" i="17"/>
  <c r="CS159" i="17" s="1"/>
  <c r="CV159" i="17"/>
  <c r="CW159" i="17" s="1"/>
  <c r="CX159" i="17"/>
  <c r="DB159" i="17" s="1"/>
  <c r="AF160" i="17"/>
  <c r="AG160" i="17"/>
  <c r="AO160" i="17" s="1"/>
  <c r="AH160" i="17"/>
  <c r="BQ160" i="17"/>
  <c r="BR160" i="17" s="1"/>
  <c r="BU160" i="17"/>
  <c r="BY160" i="17"/>
  <c r="BZ160" i="17" s="1"/>
  <c r="CC160" i="17"/>
  <c r="CD160" i="17" s="1"/>
  <c r="CG160" i="17"/>
  <c r="CH160" i="17" s="1"/>
  <c r="CK160" i="17"/>
  <c r="CL160" i="17" s="1"/>
  <c r="CP160" i="17"/>
  <c r="CR160" i="17" s="1"/>
  <c r="CS160" i="17" s="1"/>
  <c r="CV160" i="17"/>
  <c r="CW160" i="17"/>
  <c r="CZ160" i="17"/>
  <c r="DA160" i="17"/>
  <c r="DB160" i="17"/>
  <c r="DD160" i="17"/>
  <c r="DE160" i="17" s="1"/>
  <c r="DF160" i="17"/>
  <c r="DJ160" i="17" s="1"/>
  <c r="AF161" i="17"/>
  <c r="AG161" i="17"/>
  <c r="AH161" i="17"/>
  <c r="AO161" i="17"/>
  <c r="BQ161" i="17"/>
  <c r="BR161" i="17" s="1"/>
  <c r="BU161" i="17"/>
  <c r="BV161" i="17" s="1"/>
  <c r="BY161" i="17"/>
  <c r="BZ161" i="17" s="1"/>
  <c r="CC161" i="17"/>
  <c r="CD161" i="17" s="1"/>
  <c r="CG161" i="17"/>
  <c r="CH161" i="17" s="1"/>
  <c r="CK161" i="17"/>
  <c r="CL161" i="17" s="1"/>
  <c r="CR161" i="17"/>
  <c r="CS161" i="17" s="1"/>
  <c r="CV161" i="17"/>
  <c r="CW161" i="17" s="1"/>
  <c r="CX161" i="17"/>
  <c r="AF162" i="17"/>
  <c r="AG162" i="17"/>
  <c r="AO162" i="17" s="1"/>
  <c r="AH162" i="17"/>
  <c r="BQ162" i="17"/>
  <c r="BR162" i="17" s="1"/>
  <c r="BU162" i="17"/>
  <c r="BY162" i="17"/>
  <c r="BZ162" i="17" s="1"/>
  <c r="CC162" i="17"/>
  <c r="CD162" i="17" s="1"/>
  <c r="CG162" i="17"/>
  <c r="CH162" i="17" s="1"/>
  <c r="CK162" i="17"/>
  <c r="CL162" i="17" s="1"/>
  <c r="CP162" i="17"/>
  <c r="CR162" i="17" s="1"/>
  <c r="CS162" i="17"/>
  <c r="CV162" i="17"/>
  <c r="CW162" i="17"/>
  <c r="CZ162" i="17"/>
  <c r="DA162" i="17"/>
  <c r="DB162" i="17"/>
  <c r="DD162" i="17"/>
  <c r="DE162" i="17" s="1"/>
  <c r="DF162" i="17"/>
  <c r="AF163" i="17"/>
  <c r="AG163" i="17"/>
  <c r="AH163" i="17"/>
  <c r="AO163" i="17"/>
  <c r="BZ163" i="17"/>
  <c r="CD163" i="17" s="1"/>
  <c r="CH163" i="17" s="1"/>
  <c r="CL163" i="17" s="1"/>
  <c r="CS163" i="17" s="1"/>
  <c r="CW163" i="17" s="1"/>
  <c r="DA163" i="17" s="1"/>
  <c r="DE163" i="17" s="1"/>
  <c r="DI163" i="17" s="1"/>
  <c r="DM163" i="17" s="1"/>
  <c r="DQ163" i="17" s="1"/>
  <c r="DU163" i="17" s="1"/>
  <c r="DY163" i="17" s="1"/>
  <c r="EC163" i="17" s="1"/>
  <c r="CE163" i="17"/>
  <c r="ED163" i="17"/>
  <c r="EE163" i="17"/>
  <c r="EF163" i="17" s="1"/>
  <c r="EG163" i="17" s="1"/>
  <c r="EI163" i="17"/>
  <c r="EJ163" i="17"/>
  <c r="AF164" i="17"/>
  <c r="AG164" i="17"/>
  <c r="AH164" i="17"/>
  <c r="AO164" i="17"/>
  <c r="BQ164" i="17"/>
  <c r="BR164" i="17"/>
  <c r="BU164" i="17"/>
  <c r="BV164" i="17"/>
  <c r="BY164" i="17"/>
  <c r="BZ164" i="17"/>
  <c r="CC164" i="17"/>
  <c r="CD164" i="17"/>
  <c r="CG164" i="17"/>
  <c r="CH164" i="17"/>
  <c r="CK164" i="17"/>
  <c r="CL164" i="17"/>
  <c r="CP164" i="17"/>
  <c r="CR164" i="17"/>
  <c r="CS164" i="17" s="1"/>
  <c r="CV164" i="17"/>
  <c r="CW164" i="17" s="1"/>
  <c r="CZ164" i="17"/>
  <c r="DA164" i="17" s="1"/>
  <c r="DD164" i="17"/>
  <c r="DE164" i="17" s="1"/>
  <c r="DF164" i="17"/>
  <c r="DH164" i="17" s="1"/>
  <c r="DI164" i="17"/>
  <c r="DL164" i="17"/>
  <c r="DM164" i="17"/>
  <c r="DP164" i="17"/>
  <c r="DQ164" i="17"/>
  <c r="DT164" i="17"/>
  <c r="DU164" i="17"/>
  <c r="DX164" i="17"/>
  <c r="DY164" i="17"/>
  <c r="DZ164" i="17"/>
  <c r="EB164" i="17"/>
  <c r="EC164" i="17" s="1"/>
  <c r="AF165" i="17"/>
  <c r="AG165" i="17"/>
  <c r="AO165" i="17" s="1"/>
  <c r="AH165" i="17"/>
  <c r="BQ165" i="17"/>
  <c r="BR165" i="17" s="1"/>
  <c r="BU165" i="17"/>
  <c r="BY165" i="17"/>
  <c r="BZ165" i="17" s="1"/>
  <c r="CC165" i="17"/>
  <c r="CD165" i="17" s="1"/>
  <c r="CG165" i="17"/>
  <c r="CH165" i="17" s="1"/>
  <c r="CK165" i="17"/>
  <c r="CL165" i="17" s="1"/>
  <c r="CP165" i="17"/>
  <c r="CR165" i="17" s="1"/>
  <c r="CS165" i="17" s="1"/>
  <c r="CV165" i="17"/>
  <c r="CW165" i="17"/>
  <c r="CZ165" i="17"/>
  <c r="DA165" i="17"/>
  <c r="DB165" i="17"/>
  <c r="DD165" i="17"/>
  <c r="DE165" i="17" s="1"/>
  <c r="DF165" i="17"/>
  <c r="AF166" i="17"/>
  <c r="AG166" i="17"/>
  <c r="AH166" i="17"/>
  <c r="AO166" i="17"/>
  <c r="BQ166" i="17"/>
  <c r="BR166" i="17" s="1"/>
  <c r="BU166" i="17"/>
  <c r="BV166" i="17" s="1"/>
  <c r="BY166" i="17"/>
  <c r="BZ166" i="17" s="1"/>
  <c r="CC166" i="17"/>
  <c r="CD166" i="17" s="1"/>
  <c r="CG166" i="17"/>
  <c r="CH166" i="17" s="1"/>
  <c r="CK166" i="17"/>
  <c r="CL166" i="17" s="1"/>
  <c r="CR166" i="17"/>
  <c r="CS166" i="17" s="1"/>
  <c r="CV166" i="17"/>
  <c r="CW166" i="17" s="1"/>
  <c r="CX166" i="17"/>
  <c r="AF167" i="17"/>
  <c r="AG167" i="17"/>
  <c r="AO167" i="17" s="1"/>
  <c r="AH167" i="17"/>
  <c r="BQ167" i="17"/>
  <c r="BR167" i="17" s="1"/>
  <c r="BU167" i="17"/>
  <c r="BV167" i="17" s="1"/>
  <c r="BY167" i="17"/>
  <c r="BZ167" i="17" s="1"/>
  <c r="CC167" i="17"/>
  <c r="CD167" i="17" s="1"/>
  <c r="CG167" i="17"/>
  <c r="CH167" i="17" s="1"/>
  <c r="CK167" i="17"/>
  <c r="CL167" i="17" s="1"/>
  <c r="CP167" i="17"/>
  <c r="CR167" i="17" s="1"/>
  <c r="CS167" i="17" s="1"/>
  <c r="CV167" i="17"/>
  <c r="CW167" i="17"/>
  <c r="CZ167" i="17"/>
  <c r="DA167" i="17"/>
  <c r="DB167" i="17"/>
  <c r="DD167" i="17"/>
  <c r="DE167" i="17" s="1"/>
  <c r="DF167" i="17"/>
  <c r="AF168" i="17"/>
  <c r="AG168" i="17"/>
  <c r="AH168" i="17"/>
  <c r="AO168" i="17"/>
  <c r="BQ168" i="17"/>
  <c r="BR168" i="17" s="1"/>
  <c r="BU168" i="17"/>
  <c r="BV168" i="17" s="1"/>
  <c r="BY168" i="17"/>
  <c r="BZ168" i="17" s="1"/>
  <c r="CC168" i="17"/>
  <c r="CD168" i="17" s="1"/>
  <c r="CG168" i="17"/>
  <c r="CH168" i="17" s="1"/>
  <c r="CK168" i="17"/>
  <c r="CL168" i="17" s="1"/>
  <c r="CR168" i="17"/>
  <c r="CS168" i="17" s="1"/>
  <c r="CV168" i="17"/>
  <c r="CW168" i="17" s="1"/>
  <c r="CX168" i="17"/>
  <c r="AF169" i="17"/>
  <c r="AG169" i="17"/>
  <c r="AO169" i="17" s="1"/>
  <c r="AH169" i="17"/>
  <c r="BQ169" i="17"/>
  <c r="BR169" i="17" s="1"/>
  <c r="BU169" i="17"/>
  <c r="BV169" i="17" s="1"/>
  <c r="BY169" i="17"/>
  <c r="BZ169" i="17" s="1"/>
  <c r="CC169" i="17"/>
  <c r="CD169" i="17" s="1"/>
  <c r="CG169" i="17"/>
  <c r="CH169" i="17" s="1"/>
  <c r="CK169" i="17"/>
  <c r="CL169" i="17" s="1"/>
  <c r="CP169" i="17"/>
  <c r="CR169" i="17" s="1"/>
  <c r="CS169" i="17" s="1"/>
  <c r="CV169" i="17"/>
  <c r="CW169" i="17"/>
  <c r="CZ169" i="17"/>
  <c r="DA169" i="17"/>
  <c r="DB169" i="17"/>
  <c r="DD169" i="17"/>
  <c r="DE169" i="17" s="1"/>
  <c r="DF169" i="17"/>
  <c r="AF170" i="17"/>
  <c r="AG170" i="17"/>
  <c r="AH170" i="17"/>
  <c r="AO170" i="17"/>
  <c r="BZ170" i="17"/>
  <c r="CD170" i="17" s="1"/>
  <c r="CH170" i="17" s="1"/>
  <c r="CL170" i="17" s="1"/>
  <c r="CS170" i="17" s="1"/>
  <c r="CW170" i="17" s="1"/>
  <c r="DA170" i="17" s="1"/>
  <c r="DE170" i="17" s="1"/>
  <c r="DI170" i="17" s="1"/>
  <c r="DM170" i="17" s="1"/>
  <c r="DQ170" i="17" s="1"/>
  <c r="DU170" i="17" s="1"/>
  <c r="DY170" i="17" s="1"/>
  <c r="EC170" i="17" s="1"/>
  <c r="CE170" i="17"/>
  <c r="ED170" i="17"/>
  <c r="EE170" i="17"/>
  <c r="EF170" i="17" s="1"/>
  <c r="EG170" i="17" s="1"/>
  <c r="EI170" i="17"/>
  <c r="EJ170" i="17"/>
  <c r="AF171" i="17"/>
  <c r="AG171" i="17"/>
  <c r="AH171" i="17"/>
  <c r="AO171" i="17"/>
  <c r="BQ171" i="17"/>
  <c r="BR171" i="17"/>
  <c r="BU171" i="17"/>
  <c r="BV171" i="17"/>
  <c r="BY171" i="17"/>
  <c r="BZ171" i="17"/>
  <c r="CC171" i="17"/>
  <c r="CD171" i="17"/>
  <c r="CG171" i="17"/>
  <c r="CH171" i="17"/>
  <c r="CK171" i="17"/>
  <c r="CL171" i="17"/>
  <c r="CP171" i="17"/>
  <c r="CR171" i="17"/>
  <c r="CS171" i="17" s="1"/>
  <c r="CV171" i="17"/>
  <c r="CW171" i="17" s="1"/>
  <c r="CZ171" i="17"/>
  <c r="DA171" i="17" s="1"/>
  <c r="DD171" i="17"/>
  <c r="DE171" i="17" s="1"/>
  <c r="DF171" i="17"/>
  <c r="DH171" i="17" s="1"/>
  <c r="DI171" i="17"/>
  <c r="DL171" i="17"/>
  <c r="DM171" i="17"/>
  <c r="DP171" i="17"/>
  <c r="DQ171" i="17"/>
  <c r="DT171" i="17"/>
  <c r="DU171" i="17"/>
  <c r="DX171" i="17"/>
  <c r="DY171" i="17"/>
  <c r="DZ171" i="17"/>
  <c r="EB171" i="17"/>
  <c r="EC171" i="17" s="1"/>
  <c r="AF172" i="17"/>
  <c r="AG172" i="17"/>
  <c r="AO172" i="17" s="1"/>
  <c r="AH172" i="17"/>
  <c r="BQ172" i="17"/>
  <c r="BR172" i="17" s="1"/>
  <c r="BU172" i="17"/>
  <c r="BV172" i="17" s="1"/>
  <c r="BY172" i="17"/>
  <c r="BZ172" i="17" s="1"/>
  <c r="CC172" i="17"/>
  <c r="CD172" i="17" s="1"/>
  <c r="CG172" i="17"/>
  <c r="CH172" i="17" s="1"/>
  <c r="CK172" i="17"/>
  <c r="CL172" i="17" s="1"/>
  <c r="CP172" i="17"/>
  <c r="CR172" i="17" s="1"/>
  <c r="CS172" i="17"/>
  <c r="CV172" i="17"/>
  <c r="CW172" i="17"/>
  <c r="CZ172" i="17"/>
  <c r="DA172" i="17"/>
  <c r="DB172" i="17"/>
  <c r="DD172" i="17"/>
  <c r="DE172" i="17" s="1"/>
  <c r="DF172" i="17"/>
  <c r="AF173" i="17"/>
  <c r="AG173" i="17"/>
  <c r="AH173" i="17"/>
  <c r="AO173" i="17"/>
  <c r="BQ173" i="17"/>
  <c r="BR173" i="17" s="1"/>
  <c r="BU173" i="17"/>
  <c r="BV173" i="17" s="1"/>
  <c r="BY173" i="17"/>
  <c r="BZ173" i="17" s="1"/>
  <c r="CC173" i="17"/>
  <c r="CD173" i="17" s="1"/>
  <c r="CG173" i="17"/>
  <c r="CH173" i="17" s="1"/>
  <c r="CK173" i="17"/>
  <c r="CL173" i="17" s="1"/>
  <c r="CR173" i="17"/>
  <c r="CS173" i="17" s="1"/>
  <c r="CV173" i="17"/>
  <c r="CW173" i="17" s="1"/>
  <c r="CX173" i="17"/>
  <c r="AF174" i="17"/>
  <c r="AG174" i="17"/>
  <c r="AO174" i="17" s="1"/>
  <c r="AH174" i="17"/>
  <c r="BQ174" i="17"/>
  <c r="BR174" i="17" s="1"/>
  <c r="BU174" i="17"/>
  <c r="BV174" i="17" s="1"/>
  <c r="BY174" i="17"/>
  <c r="BZ174" i="17" s="1"/>
  <c r="CC174" i="17"/>
  <c r="CD174" i="17" s="1"/>
  <c r="CG174" i="17"/>
  <c r="CH174" i="17" s="1"/>
  <c r="CK174" i="17"/>
  <c r="CL174" i="17" s="1"/>
  <c r="CP174" i="17"/>
  <c r="CR174" i="17" s="1"/>
  <c r="CS174" i="17"/>
  <c r="CV174" i="17"/>
  <c r="CW174" i="17"/>
  <c r="CZ174" i="17"/>
  <c r="DA174" i="17"/>
  <c r="DB174" i="17"/>
  <c r="DD174" i="17"/>
  <c r="DE174" i="17" s="1"/>
  <c r="DF174" i="17"/>
  <c r="O74" i="17"/>
  <c r="P76" i="17"/>
  <c r="O70" i="17"/>
  <c r="O72" i="17"/>
  <c r="F61" i="17"/>
  <c r="F59" i="17"/>
  <c r="E39" i="17"/>
  <c r="F39" i="17"/>
  <c r="G39" i="17"/>
  <c r="K39" i="17"/>
  <c r="E40" i="17"/>
  <c r="F40" i="17"/>
  <c r="G40" i="17"/>
  <c r="K40" i="17"/>
  <c r="E41" i="17"/>
  <c r="F41" i="17"/>
  <c r="G41" i="17"/>
  <c r="K41" i="17"/>
  <c r="E43" i="17"/>
  <c r="F43" i="17"/>
  <c r="G43" i="17"/>
  <c r="K43" i="17"/>
  <c r="E42" i="17"/>
  <c r="F42" i="17"/>
  <c r="G42" i="17"/>
  <c r="K42" i="17"/>
  <c r="E44" i="17"/>
  <c r="F44" i="17"/>
  <c r="G44" i="17"/>
  <c r="K44" i="17"/>
  <c r="E45" i="17"/>
  <c r="F45" i="17"/>
  <c r="G45" i="17"/>
  <c r="K45" i="17"/>
  <c r="K46" i="17"/>
  <c r="E46" i="17"/>
  <c r="F46" i="17"/>
  <c r="G46" i="17"/>
  <c r="K38" i="17"/>
  <c r="G38" i="17"/>
  <c r="F38" i="17"/>
  <c r="E38" i="17"/>
  <c r="K37" i="17"/>
  <c r="G37" i="17"/>
  <c r="F37" i="17"/>
  <c r="E37" i="17"/>
  <c r="K35" i="17"/>
  <c r="G35" i="17"/>
  <c r="F35" i="17"/>
  <c r="E35" i="17"/>
  <c r="K34" i="17"/>
  <c r="G34" i="17"/>
  <c r="F34" i="17"/>
  <c r="E34" i="17"/>
  <c r="K33" i="17"/>
  <c r="G33" i="17"/>
  <c r="F33" i="17"/>
  <c r="E33" i="17"/>
  <c r="K32" i="17"/>
  <c r="G32" i="17"/>
  <c r="F32" i="17"/>
  <c r="E32" i="17"/>
  <c r="K31" i="17"/>
  <c r="G31" i="17"/>
  <c r="F31" i="17"/>
  <c r="E31" i="17"/>
  <c r="K30" i="17"/>
  <c r="G30" i="17"/>
  <c r="F30" i="17"/>
  <c r="E30" i="17"/>
  <c r="DJ169" i="17" l="1"/>
  <c r="DH169" i="17"/>
  <c r="DI169" i="17" s="1"/>
  <c r="DB168" i="17"/>
  <c r="CZ168" i="17"/>
  <c r="DA168" i="17" s="1"/>
  <c r="DJ167" i="17"/>
  <c r="DH167" i="17"/>
  <c r="DI167" i="17" s="1"/>
  <c r="BV165" i="17"/>
  <c r="DN153" i="17"/>
  <c r="DL153" i="17"/>
  <c r="DM153" i="17" s="1"/>
  <c r="DF145" i="17"/>
  <c r="DD145" i="17"/>
  <c r="DE145" i="17" s="1"/>
  <c r="DI143" i="17"/>
  <c r="ED143" i="17"/>
  <c r="DB166" i="17"/>
  <c r="CZ166" i="17"/>
  <c r="DA166" i="17" s="1"/>
  <c r="DN160" i="17"/>
  <c r="DL160" i="17"/>
  <c r="DM160" i="17" s="1"/>
  <c r="DF152" i="17"/>
  <c r="DD152" i="17"/>
  <c r="DE152" i="17" s="1"/>
  <c r="DI150" i="17"/>
  <c r="ED150" i="17"/>
  <c r="DN148" i="17"/>
  <c r="DL148" i="17"/>
  <c r="DM148" i="17" s="1"/>
  <c r="DN144" i="17"/>
  <c r="DL144" i="17"/>
  <c r="DM144" i="17" s="1"/>
  <c r="DJ174" i="17"/>
  <c r="DH174" i="17"/>
  <c r="DB173" i="17"/>
  <c r="CZ173" i="17"/>
  <c r="DA173" i="17" s="1"/>
  <c r="DJ172" i="17"/>
  <c r="DH172" i="17"/>
  <c r="ED171" i="17"/>
  <c r="ED164" i="17"/>
  <c r="DJ162" i="17"/>
  <c r="DH162" i="17"/>
  <c r="DI162" i="17" s="1"/>
  <c r="DF159" i="17"/>
  <c r="DD159" i="17"/>
  <c r="DE159" i="17" s="1"/>
  <c r="DI157" i="17"/>
  <c r="ED157" i="17"/>
  <c r="DN155" i="17"/>
  <c r="DL155" i="17"/>
  <c r="DM155" i="17" s="1"/>
  <c r="DN151" i="17"/>
  <c r="DL151" i="17"/>
  <c r="DM151" i="17" s="1"/>
  <c r="DF147" i="17"/>
  <c r="DD147" i="17"/>
  <c r="DE147" i="17" s="1"/>
  <c r="DJ165" i="17"/>
  <c r="DH165" i="17"/>
  <c r="DI165" i="17" s="1"/>
  <c r="BV162" i="17"/>
  <c r="DB161" i="17"/>
  <c r="CZ161" i="17"/>
  <c r="DN158" i="17"/>
  <c r="DL158" i="17"/>
  <c r="DM158" i="17" s="1"/>
  <c r="DF154" i="17"/>
  <c r="DD154" i="17"/>
  <c r="DE154" i="17" s="1"/>
  <c r="DN146" i="17"/>
  <c r="DL146" i="17"/>
  <c r="DM146" i="17" s="1"/>
  <c r="DN140" i="17"/>
  <c r="DL140" i="17"/>
  <c r="DM140" i="17" s="1"/>
  <c r="DH160" i="17"/>
  <c r="DI160" i="17" s="1"/>
  <c r="BV160" i="17"/>
  <c r="CZ159" i="17"/>
  <c r="DH158" i="17"/>
  <c r="DI158" i="17" s="1"/>
  <c r="BV158" i="17"/>
  <c r="DH155" i="17"/>
  <c r="DI155" i="17" s="1"/>
  <c r="BV155" i="17"/>
  <c r="CZ154" i="17"/>
  <c r="DH153" i="17"/>
  <c r="DI153" i="17" s="1"/>
  <c r="BV153" i="17"/>
  <c r="CZ152" i="17"/>
  <c r="DH151" i="17"/>
  <c r="DI151" i="17" s="1"/>
  <c r="BV151" i="17"/>
  <c r="DH148" i="17"/>
  <c r="DI148" i="17" s="1"/>
  <c r="BV148" i="17"/>
  <c r="CZ147" i="17"/>
  <c r="DH146" i="17"/>
  <c r="DI146" i="17" s="1"/>
  <c r="BV146" i="17"/>
  <c r="CZ145" i="17"/>
  <c r="DH144" i="17"/>
  <c r="DI144" i="17" s="1"/>
  <c r="BV144" i="17"/>
  <c r="DH140" i="17"/>
  <c r="DI140" i="17" s="1"/>
  <c r="DJ138" i="17"/>
  <c r="BV138" i="17"/>
  <c r="ED136" i="17"/>
  <c r="DN134" i="17"/>
  <c r="DD134" i="17"/>
  <c r="DE134" i="17" s="1"/>
  <c r="DJ133" i="17"/>
  <c r="DH133" i="17"/>
  <c r="DI133" i="17" s="1"/>
  <c r="DR139" i="17"/>
  <c r="DN137" i="17"/>
  <c r="DD137" i="17"/>
  <c r="DE137" i="17" s="1"/>
  <c r="EF135" i="17"/>
  <c r="EG135" i="17" s="1"/>
  <c r="BV133" i="17"/>
  <c r="DD132" i="17"/>
  <c r="DF132" i="17"/>
  <c r="DN127" i="17"/>
  <c r="DL127" i="17"/>
  <c r="DM127" i="17" s="1"/>
  <c r="DN141" i="17"/>
  <c r="DH134" i="17"/>
  <c r="DI134" i="17" s="1"/>
  <c r="DF131" i="17"/>
  <c r="DD131" i="17"/>
  <c r="DE131" i="17" s="1"/>
  <c r="DH127" i="17"/>
  <c r="DI127" i="17" s="1"/>
  <c r="DD124" i="17"/>
  <c r="DE124" i="17" s="1"/>
  <c r="DF124" i="17"/>
  <c r="DF123" i="17"/>
  <c r="DD123" i="17"/>
  <c r="DE123" i="17" s="1"/>
  <c r="DA117" i="17"/>
  <c r="ED115" i="17"/>
  <c r="BR115" i="17"/>
  <c r="DD112" i="17"/>
  <c r="DE112" i="17" s="1"/>
  <c r="DF112" i="17"/>
  <c r="DF111" i="17"/>
  <c r="DD111" i="17"/>
  <c r="DE111" i="17" s="1"/>
  <c r="DA105" i="17"/>
  <c r="DJ102" i="17"/>
  <c r="DH102" i="17"/>
  <c r="DI102" i="17" s="1"/>
  <c r="DF130" i="17"/>
  <c r="EE129" i="17"/>
  <c r="EF128" i="17"/>
  <c r="EG128" i="17" s="1"/>
  <c r="DA124" i="17"/>
  <c r="ED122" i="17"/>
  <c r="BR122" i="17"/>
  <c r="DD119" i="17"/>
  <c r="DE119" i="17" s="1"/>
  <c r="DF119" i="17"/>
  <c r="DF118" i="17"/>
  <c r="DD118" i="17"/>
  <c r="DE118" i="17" s="1"/>
  <c r="DA112" i="17"/>
  <c r="EF107" i="17"/>
  <c r="EG107" i="17" s="1"/>
  <c r="DF106" i="17"/>
  <c r="DD106" i="17"/>
  <c r="DE106" i="17" s="1"/>
  <c r="DD103" i="17"/>
  <c r="DE103" i="17" s="1"/>
  <c r="DF103" i="17"/>
  <c r="EJ100" i="17"/>
  <c r="EF100" i="17"/>
  <c r="EG100" i="17" s="1"/>
  <c r="DJ97" i="17"/>
  <c r="DH97" i="17"/>
  <c r="DI97" i="17" s="1"/>
  <c r="DD126" i="17"/>
  <c r="DE126" i="17" s="1"/>
  <c r="DF126" i="17"/>
  <c r="DF125" i="17"/>
  <c r="DD125" i="17"/>
  <c r="DE125" i="17" s="1"/>
  <c r="DA119" i="17"/>
  <c r="DF113" i="17"/>
  <c r="DD113" i="17"/>
  <c r="DE113" i="17" s="1"/>
  <c r="DD110" i="17"/>
  <c r="DE110" i="17" s="1"/>
  <c r="DF110" i="17"/>
  <c r="DF109" i="17"/>
  <c r="DD109" i="17"/>
  <c r="DE109" i="17" s="1"/>
  <c r="DA103" i="17"/>
  <c r="DJ99" i="17"/>
  <c r="DH99" i="17"/>
  <c r="DI99" i="17" s="1"/>
  <c r="DV92" i="17"/>
  <c r="DT92" i="17"/>
  <c r="DU92" i="17" s="1"/>
  <c r="DV85" i="17"/>
  <c r="DT85" i="17"/>
  <c r="DU85" i="17" s="1"/>
  <c r="DA126" i="17"/>
  <c r="EF121" i="17"/>
  <c r="EG121" i="17" s="1"/>
  <c r="DF120" i="17"/>
  <c r="DD120" i="17"/>
  <c r="DE120" i="17" s="1"/>
  <c r="DD117" i="17"/>
  <c r="DE117" i="17" s="1"/>
  <c r="DF117" i="17"/>
  <c r="DF116" i="17"/>
  <c r="DD116" i="17"/>
  <c r="DE116" i="17" s="1"/>
  <c r="DA110" i="17"/>
  <c r="ED108" i="17"/>
  <c r="BR108" i="17"/>
  <c r="DD105" i="17"/>
  <c r="DE105" i="17" s="1"/>
  <c r="DF105" i="17"/>
  <c r="DF104" i="17"/>
  <c r="DD104" i="17"/>
  <c r="DE104" i="17" s="1"/>
  <c r="ED101" i="17"/>
  <c r="DD102" i="17"/>
  <c r="DE102" i="17" s="1"/>
  <c r="BR101" i="17"/>
  <c r="DD99" i="17"/>
  <c r="DE99" i="17" s="1"/>
  <c r="DF98" i="17"/>
  <c r="DA98" i="17"/>
  <c r="DD97" i="17"/>
  <c r="DE97" i="17" s="1"/>
  <c r="DF96" i="17"/>
  <c r="ED94" i="17"/>
  <c r="EI93" i="17"/>
  <c r="DP92" i="17"/>
  <c r="DQ92" i="17" s="1"/>
  <c r="DJ90" i="17"/>
  <c r="DD90" i="17"/>
  <c r="DF89" i="17"/>
  <c r="ED87" i="17"/>
  <c r="EI86" i="17"/>
  <c r="DP85" i="17"/>
  <c r="DQ85" i="17" s="1"/>
  <c r="DJ83" i="17"/>
  <c r="DD83" i="17"/>
  <c r="DF82" i="17"/>
  <c r="ED80" i="17"/>
  <c r="DR95" i="17"/>
  <c r="EF93" i="17"/>
  <c r="EG93" i="17" s="1"/>
  <c r="EF86" i="17"/>
  <c r="EG86" i="17" s="1"/>
  <c r="DF91" i="17"/>
  <c r="DN88" i="17"/>
  <c r="DF84" i="17"/>
  <c r="DL81" i="17"/>
  <c r="DN81" i="17"/>
  <c r="BV78" i="17"/>
  <c r="DH67" i="17"/>
  <c r="DI67" i="17" s="1"/>
  <c r="DJ67" i="17"/>
  <c r="EI66" i="17"/>
  <c r="DH77" i="17"/>
  <c r="DI77" i="17" s="1"/>
  <c r="DP76" i="17"/>
  <c r="DQ76" i="17" s="1"/>
  <c r="EJ72" i="17"/>
  <c r="DP71" i="17"/>
  <c r="DQ71" i="17" s="1"/>
  <c r="DX68" i="17"/>
  <c r="DY68" i="17" s="1"/>
  <c r="EJ66" i="17"/>
  <c r="EF66" i="17"/>
  <c r="EG66" i="17" s="1"/>
  <c r="DI63" i="17"/>
  <c r="DI60" i="17"/>
  <c r="EJ79" i="17"/>
  <c r="DZ78" i="17"/>
  <c r="EB78" i="17" s="1"/>
  <c r="EC78" i="17" s="1"/>
  <c r="DP78" i="17"/>
  <c r="DQ78" i="17" s="1"/>
  <c r="DN77" i="17"/>
  <c r="DD77" i="17"/>
  <c r="DE77" i="17" s="1"/>
  <c r="DV76" i="17"/>
  <c r="DL76" i="17"/>
  <c r="DM76" i="17" s="1"/>
  <c r="DB75" i="17"/>
  <c r="DJ74" i="17"/>
  <c r="BV74" i="17"/>
  <c r="ED73" i="17"/>
  <c r="DV71" i="17"/>
  <c r="DL71" i="17"/>
  <c r="DM71" i="17" s="1"/>
  <c r="DB70" i="17"/>
  <c r="DJ69" i="17"/>
  <c r="BV69" i="17"/>
  <c r="DT68" i="17"/>
  <c r="DU68" i="17" s="1"/>
  <c r="BV67" i="17"/>
  <c r="BV76" i="17"/>
  <c r="BV71" i="17"/>
  <c r="DN60" i="17"/>
  <c r="ED59" i="17"/>
  <c r="DD55" i="17"/>
  <c r="DE55" i="17" s="1"/>
  <c r="DF55" i="17"/>
  <c r="CS53" i="17"/>
  <c r="EF51" i="17"/>
  <c r="EG51" i="17" s="1"/>
  <c r="EJ51" i="17"/>
  <c r="DJ64" i="17"/>
  <c r="DR62" i="17"/>
  <c r="DF61" i="17"/>
  <c r="DL56" i="17"/>
  <c r="DM56" i="17" s="1"/>
  <c r="DN56" i="17"/>
  <c r="DD53" i="17"/>
  <c r="DE53" i="17" s="1"/>
  <c r="DF53" i="17"/>
  <c r="CW52" i="17"/>
  <c r="ED52" i="17"/>
  <c r="DJ63" i="17"/>
  <c r="CS57" i="17"/>
  <c r="DL54" i="17"/>
  <c r="DM54" i="17" s="1"/>
  <c r="DN54" i="17"/>
  <c r="DD57" i="17"/>
  <c r="DE57" i="17" s="1"/>
  <c r="DF57" i="17"/>
  <c r="CS55" i="17"/>
  <c r="EI51" i="17"/>
  <c r="BV49" i="17"/>
  <c r="BV47" i="17"/>
  <c r="BV45" i="17"/>
  <c r="ED45" i="17"/>
  <c r="DN50" i="17"/>
  <c r="DJ49" i="17"/>
  <c r="DH49" i="17"/>
  <c r="DI49" i="17" s="1"/>
  <c r="DR48" i="17"/>
  <c r="DP48" i="17"/>
  <c r="DJ47" i="17"/>
  <c r="DH47" i="17"/>
  <c r="DI47" i="17" s="1"/>
  <c r="DD46" i="17"/>
  <c r="DF46" i="17"/>
  <c r="EE44" i="17"/>
  <c r="EI44" i="17"/>
  <c r="DF43" i="17"/>
  <c r="DD43" i="17"/>
  <c r="DE43" i="17" s="1"/>
  <c r="DD40" i="17"/>
  <c r="DE40" i="17" s="1"/>
  <c r="DF40" i="17"/>
  <c r="DF39" i="17"/>
  <c r="DD39" i="17"/>
  <c r="DE39" i="17" s="1"/>
  <c r="DA33" i="17"/>
  <c r="DF29" i="17"/>
  <c r="DD29" i="17"/>
  <c r="DE29" i="17" s="1"/>
  <c r="DA40" i="17"/>
  <c r="ED38" i="17"/>
  <c r="BR38" i="17"/>
  <c r="DD35" i="17"/>
  <c r="DE35" i="17" s="1"/>
  <c r="DF35" i="17"/>
  <c r="DF34" i="17"/>
  <c r="DD34" i="17"/>
  <c r="DE34" i="17" s="1"/>
  <c r="ED31" i="17"/>
  <c r="BR31" i="17"/>
  <c r="DD42" i="17"/>
  <c r="DE42" i="17" s="1"/>
  <c r="DF42" i="17"/>
  <c r="DF41" i="17"/>
  <c r="DD41" i="17"/>
  <c r="DE41" i="17" s="1"/>
  <c r="EI37" i="17"/>
  <c r="DA35" i="17"/>
  <c r="DA42" i="17"/>
  <c r="EF37" i="17"/>
  <c r="EG37" i="17" s="1"/>
  <c r="DF36" i="17"/>
  <c r="DD36" i="17"/>
  <c r="DE36" i="17" s="1"/>
  <c r="DD33" i="17"/>
  <c r="DE33" i="17" s="1"/>
  <c r="DF33" i="17"/>
  <c r="DF32" i="17"/>
  <c r="DD32" i="17"/>
  <c r="DE32" i="17" s="1"/>
  <c r="DJ27" i="17"/>
  <c r="DH27" i="17"/>
  <c r="DI27" i="17" s="1"/>
  <c r="DF28" i="17"/>
  <c r="DA28" i="17"/>
  <c r="DD27" i="17"/>
  <c r="DE27" i="17" s="1"/>
  <c r="CS25" i="17"/>
  <c r="EF23" i="17"/>
  <c r="EG23" i="17" s="1"/>
  <c r="DF22" i="17"/>
  <c r="DD22" i="17"/>
  <c r="DE22" i="17" s="1"/>
  <c r="DD19" i="17"/>
  <c r="DE19" i="17" s="1"/>
  <c r="DF19" i="17"/>
  <c r="DI17" i="17"/>
  <c r="ED17" i="17"/>
  <c r="DD26" i="17"/>
  <c r="DE26" i="17" s="1"/>
  <c r="DF26" i="17"/>
  <c r="DF25" i="17"/>
  <c r="DD25" i="17"/>
  <c r="DE25" i="17" s="1"/>
  <c r="DA26" i="17"/>
  <c r="ED24" i="17"/>
  <c r="BR24" i="17"/>
  <c r="DD21" i="17"/>
  <c r="DE21" i="17" s="1"/>
  <c r="DF21" i="17"/>
  <c r="DF20" i="17"/>
  <c r="DD20" i="17"/>
  <c r="DE20" i="17" s="1"/>
  <c r="BR19" i="17"/>
  <c r="EI23" i="17"/>
  <c r="CS22" i="17"/>
  <c r="DA21" i="17"/>
  <c r="DV18" i="17"/>
  <c r="DP18" i="17"/>
  <c r="DQ18" i="17" s="1"/>
  <c r="DH15" i="17"/>
  <c r="DI15" i="17" s="1"/>
  <c r="DJ15" i="17"/>
  <c r="CZ14" i="17"/>
  <c r="DB14" i="17"/>
  <c r="DH13" i="17"/>
  <c r="DI13" i="17" s="1"/>
  <c r="DJ13" i="17"/>
  <c r="CZ12" i="17"/>
  <c r="DB12" i="17"/>
  <c r="CS11" i="17"/>
  <c r="DI10" i="17"/>
  <c r="ED10" i="17"/>
  <c r="DJ11" i="17"/>
  <c r="P54" i="17"/>
  <c r="R54" i="17" s="1"/>
  <c r="P53" i="17"/>
  <c r="R53" i="17" s="1"/>
  <c r="P52" i="17"/>
  <c r="P57" i="17" s="1"/>
  <c r="R57" i="17" s="1"/>
  <c r="P51" i="17"/>
  <c r="R51" i="17" s="1"/>
  <c r="P50" i="17"/>
  <c r="R50" i="17" s="1"/>
  <c r="P49" i="17"/>
  <c r="R49" i="17" s="1"/>
  <c r="P48" i="17"/>
  <c r="R48" i="17" s="1"/>
  <c r="P47" i="17"/>
  <c r="R47" i="17" s="1"/>
  <c r="P46" i="17"/>
  <c r="R46" i="17" s="1"/>
  <c r="P45" i="17"/>
  <c r="R45" i="17" s="1"/>
  <c r="P44" i="17"/>
  <c r="R44" i="17" s="1"/>
  <c r="P43" i="17"/>
  <c r="R43" i="17" s="1"/>
  <c r="P42" i="17"/>
  <c r="R42" i="17" s="1"/>
  <c r="P41" i="17"/>
  <c r="R41" i="17" s="1"/>
  <c r="P40" i="17"/>
  <c r="R40" i="17" s="1"/>
  <c r="P39" i="17"/>
  <c r="R39" i="17" s="1"/>
  <c r="P38" i="17"/>
  <c r="R38" i="17" s="1"/>
  <c r="P37" i="17"/>
  <c r="R37" i="17" s="1"/>
  <c r="P36" i="17"/>
  <c r="R36" i="17" s="1"/>
  <c r="P35" i="17"/>
  <c r="R35" i="17" s="1"/>
  <c r="P34" i="17"/>
  <c r="R34" i="17" s="1"/>
  <c r="P32" i="17"/>
  <c r="R32" i="17" s="1"/>
  <c r="P31" i="17"/>
  <c r="P55" i="17" s="1"/>
  <c r="R55" i="17" s="1"/>
  <c r="P29" i="17"/>
  <c r="R29" i="17" s="1"/>
  <c r="L36" i="17"/>
  <c r="S22" i="17"/>
  <c r="F25" i="17"/>
  <c r="F24" i="17"/>
  <c r="D23" i="17"/>
  <c r="D22" i="17"/>
  <c r="K20" i="17"/>
  <c r="D20" i="17"/>
  <c r="O20" i="17"/>
  <c r="DA12" i="17" l="1"/>
  <c r="DA14" i="17"/>
  <c r="DJ20" i="17"/>
  <c r="DH20" i="17"/>
  <c r="DI20" i="17" s="1"/>
  <c r="EI24" i="17"/>
  <c r="EE24" i="17"/>
  <c r="DH25" i="17"/>
  <c r="DI25" i="17" s="1"/>
  <c r="DJ25" i="17"/>
  <c r="DH28" i="17"/>
  <c r="DJ28" i="17"/>
  <c r="DH32" i="17"/>
  <c r="DI32" i="17" s="1"/>
  <c r="DJ32" i="17"/>
  <c r="DJ41" i="17"/>
  <c r="DH41" i="17"/>
  <c r="DI41" i="17" s="1"/>
  <c r="DH34" i="17"/>
  <c r="DJ34" i="17"/>
  <c r="EJ44" i="17"/>
  <c r="EF44" i="17"/>
  <c r="EG44" i="17" s="1"/>
  <c r="DN47" i="17"/>
  <c r="DL47" i="17"/>
  <c r="DM47" i="17" s="1"/>
  <c r="DN49" i="17"/>
  <c r="DL49" i="17"/>
  <c r="DM49" i="17" s="1"/>
  <c r="DR54" i="17"/>
  <c r="DP54" i="17"/>
  <c r="DQ54" i="17" s="1"/>
  <c r="DJ55" i="17"/>
  <c r="DH55" i="17"/>
  <c r="ED68" i="17"/>
  <c r="DF70" i="17"/>
  <c r="DD70" i="17"/>
  <c r="DR81" i="17"/>
  <c r="DP81" i="17"/>
  <c r="DQ81" i="17" s="1"/>
  <c r="DP88" i="17"/>
  <c r="DR88" i="17"/>
  <c r="DH82" i="17"/>
  <c r="DJ82" i="17"/>
  <c r="DE90" i="17"/>
  <c r="DH104" i="17"/>
  <c r="DI104" i="17" s="1"/>
  <c r="DJ104" i="17"/>
  <c r="DZ85" i="17"/>
  <c r="EB85" i="17" s="1"/>
  <c r="EC85" i="17" s="1"/>
  <c r="DX85" i="17"/>
  <c r="DY85" i="17" s="1"/>
  <c r="DJ125" i="17"/>
  <c r="DH125" i="17"/>
  <c r="DI125" i="17" s="1"/>
  <c r="DH103" i="17"/>
  <c r="DI103" i="17" s="1"/>
  <c r="DJ103" i="17"/>
  <c r="DH106" i="17"/>
  <c r="DJ106" i="17"/>
  <c r="DJ130" i="17"/>
  <c r="DH130" i="17"/>
  <c r="DH111" i="17"/>
  <c r="DJ111" i="17"/>
  <c r="DJ131" i="17"/>
  <c r="DH131" i="17"/>
  <c r="DI131" i="17" s="1"/>
  <c r="DR127" i="17"/>
  <c r="DP127" i="17"/>
  <c r="DP137" i="17"/>
  <c r="DQ137" i="17" s="1"/>
  <c r="DR137" i="17"/>
  <c r="DN133" i="17"/>
  <c r="DL133" i="17"/>
  <c r="DA145" i="17"/>
  <c r="DA152" i="17"/>
  <c r="DA159" i="17"/>
  <c r="DR140" i="17"/>
  <c r="DP140" i="17"/>
  <c r="DQ140" i="17" s="1"/>
  <c r="DP158" i="17"/>
  <c r="DQ158" i="17" s="1"/>
  <c r="DR158" i="17"/>
  <c r="EE164" i="17"/>
  <c r="EI164" i="17"/>
  <c r="DN174" i="17"/>
  <c r="DL174" i="17"/>
  <c r="DM174" i="17" s="1"/>
  <c r="EI143" i="17"/>
  <c r="EE143" i="17"/>
  <c r="DD168" i="17"/>
  <c r="DF168" i="17"/>
  <c r="DL13" i="17"/>
  <c r="DN13" i="17"/>
  <c r="DL15" i="17"/>
  <c r="DM15" i="17" s="1"/>
  <c r="DN15" i="17"/>
  <c r="DJ21" i="17"/>
  <c r="DH21" i="17"/>
  <c r="DI21" i="17" s="1"/>
  <c r="DH26" i="17"/>
  <c r="DJ26" i="17"/>
  <c r="DH19" i="17"/>
  <c r="DJ19" i="17"/>
  <c r="DH22" i="17"/>
  <c r="DJ22" i="17"/>
  <c r="DH33" i="17"/>
  <c r="DJ33" i="17"/>
  <c r="DH36" i="17"/>
  <c r="DJ36" i="17"/>
  <c r="DJ42" i="17"/>
  <c r="DH42" i="17"/>
  <c r="DI42" i="17" s="1"/>
  <c r="EI31" i="17"/>
  <c r="EE31" i="17"/>
  <c r="DH35" i="17"/>
  <c r="DJ35" i="17"/>
  <c r="EI38" i="17"/>
  <c r="EE38" i="17"/>
  <c r="DJ29" i="17"/>
  <c r="DH29" i="17"/>
  <c r="DH39" i="17"/>
  <c r="DJ39" i="17"/>
  <c r="DH46" i="17"/>
  <c r="DI46" i="17" s="1"/>
  <c r="DJ46" i="17"/>
  <c r="DQ48" i="17"/>
  <c r="DR50" i="17"/>
  <c r="DP50" i="17"/>
  <c r="DN63" i="17"/>
  <c r="DL63" i="17"/>
  <c r="DJ53" i="17"/>
  <c r="DH53" i="17"/>
  <c r="DJ61" i="17"/>
  <c r="DH61" i="17"/>
  <c r="DX76" i="17"/>
  <c r="DZ76" i="17"/>
  <c r="EB76" i="17" s="1"/>
  <c r="EC76" i="17" s="1"/>
  <c r="DM81" i="17"/>
  <c r="DE83" i="17"/>
  <c r="DL90" i="17"/>
  <c r="DM90" i="17" s="1"/>
  <c r="DN90" i="17"/>
  <c r="EI94" i="17"/>
  <c r="EE94" i="17"/>
  <c r="DH98" i="17"/>
  <c r="DJ98" i="17"/>
  <c r="DH105" i="17"/>
  <c r="DI105" i="17" s="1"/>
  <c r="DJ105" i="17"/>
  <c r="EI108" i="17"/>
  <c r="EE108" i="17"/>
  <c r="DH116" i="17"/>
  <c r="DI116" i="17" s="1"/>
  <c r="DJ116" i="17"/>
  <c r="DL99" i="17"/>
  <c r="DM99" i="17" s="1"/>
  <c r="DN99" i="17"/>
  <c r="DJ126" i="17"/>
  <c r="DH126" i="17"/>
  <c r="DL97" i="17"/>
  <c r="DM97" i="17" s="1"/>
  <c r="DN97" i="17"/>
  <c r="DH112" i="17"/>
  <c r="DJ112" i="17"/>
  <c r="EI115" i="17"/>
  <c r="EE115" i="17"/>
  <c r="DH123" i="17"/>
  <c r="DJ123" i="17"/>
  <c r="DH132" i="17"/>
  <c r="DI132" i="17" s="1"/>
  <c r="DJ132" i="17"/>
  <c r="DV139" i="17"/>
  <c r="DT139" i="17"/>
  <c r="DH154" i="17"/>
  <c r="DI154" i="17" s="1"/>
  <c r="DJ154" i="17"/>
  <c r="DA161" i="17"/>
  <c r="DP155" i="17"/>
  <c r="DQ155" i="17" s="1"/>
  <c r="DR155" i="17"/>
  <c r="DH159" i="17"/>
  <c r="DI159" i="17" s="1"/>
  <c r="DJ159" i="17"/>
  <c r="EE171" i="17"/>
  <c r="EI171" i="17"/>
  <c r="DF173" i="17"/>
  <c r="DD173" i="17"/>
  <c r="DE173" i="17" s="1"/>
  <c r="DP160" i="17"/>
  <c r="DQ160" i="17" s="1"/>
  <c r="DR160" i="17"/>
  <c r="DL11" i="17"/>
  <c r="DN11" i="17"/>
  <c r="DX18" i="17"/>
  <c r="DZ18" i="17"/>
  <c r="EB18" i="17" s="1"/>
  <c r="EC18" i="17" s="1"/>
  <c r="DL27" i="17"/>
  <c r="DN27" i="17"/>
  <c r="DH40" i="17"/>
  <c r="DJ40" i="17"/>
  <c r="DH43" i="17"/>
  <c r="DJ43" i="17"/>
  <c r="DE46" i="17"/>
  <c r="DV48" i="17"/>
  <c r="DT48" i="17"/>
  <c r="DU48" i="17" s="1"/>
  <c r="EE45" i="17"/>
  <c r="EI45" i="17"/>
  <c r="DJ57" i="17"/>
  <c r="DH57" i="17"/>
  <c r="DI57" i="17" s="1"/>
  <c r="DV62" i="17"/>
  <c r="DT62" i="17"/>
  <c r="EI59" i="17"/>
  <c r="EE59" i="17"/>
  <c r="DX71" i="17"/>
  <c r="DZ71" i="17"/>
  <c r="EB71" i="17" s="1"/>
  <c r="EC71" i="17" s="1"/>
  <c r="DN74" i="17"/>
  <c r="DL74" i="17"/>
  <c r="ED78" i="17"/>
  <c r="DH91" i="17"/>
  <c r="DJ91" i="17"/>
  <c r="DV95" i="17"/>
  <c r="DT95" i="17"/>
  <c r="DL83" i="17"/>
  <c r="DM83" i="17" s="1"/>
  <c r="DN83" i="17"/>
  <c r="EI87" i="17"/>
  <c r="EE87" i="17"/>
  <c r="DH96" i="17"/>
  <c r="DJ96" i="17"/>
  <c r="EI101" i="17"/>
  <c r="EE101" i="17"/>
  <c r="DH117" i="17"/>
  <c r="DI117" i="17" s="1"/>
  <c r="DJ117" i="17"/>
  <c r="DH120" i="17"/>
  <c r="DI120" i="17" s="1"/>
  <c r="DJ120" i="17"/>
  <c r="DZ92" i="17"/>
  <c r="EB92" i="17" s="1"/>
  <c r="EC92" i="17" s="1"/>
  <c r="DX92" i="17"/>
  <c r="DJ109" i="17"/>
  <c r="DH109" i="17"/>
  <c r="DI109" i="17" s="1"/>
  <c r="DH118" i="17"/>
  <c r="DI118" i="17" s="1"/>
  <c r="DJ118" i="17"/>
  <c r="DH124" i="17"/>
  <c r="DJ124" i="17"/>
  <c r="DP141" i="17"/>
  <c r="DR141" i="17"/>
  <c r="DE132" i="17"/>
  <c r="DP134" i="17"/>
  <c r="DQ134" i="17" s="1"/>
  <c r="DR134" i="17"/>
  <c r="DF161" i="17"/>
  <c r="DD161" i="17"/>
  <c r="DE161" i="17" s="1"/>
  <c r="DN165" i="17"/>
  <c r="DL165" i="17"/>
  <c r="DM165" i="17" s="1"/>
  <c r="DP151" i="17"/>
  <c r="DQ151" i="17" s="1"/>
  <c r="DR151" i="17"/>
  <c r="EI157" i="17"/>
  <c r="EE157" i="17"/>
  <c r="DI172" i="17"/>
  <c r="DP148" i="17"/>
  <c r="DQ148" i="17" s="1"/>
  <c r="DR148" i="17"/>
  <c r="DH152" i="17"/>
  <c r="DI152" i="17" s="1"/>
  <c r="DJ152" i="17"/>
  <c r="DP153" i="17"/>
  <c r="DQ153" i="17" s="1"/>
  <c r="DR153" i="17"/>
  <c r="DL167" i="17"/>
  <c r="DN167" i="17"/>
  <c r="EI10" i="17"/>
  <c r="EE10" i="17"/>
  <c r="DD12" i="17"/>
  <c r="DE12" i="17" s="1"/>
  <c r="DF12" i="17"/>
  <c r="DD14" i="17"/>
  <c r="DE14" i="17" s="1"/>
  <c r="DF14" i="17"/>
  <c r="EE17" i="17"/>
  <c r="EI17" i="17"/>
  <c r="EE52" i="17"/>
  <c r="EI52" i="17"/>
  <c r="DR56" i="17"/>
  <c r="DP56" i="17"/>
  <c r="DN64" i="17"/>
  <c r="DL64" i="17"/>
  <c r="DP60" i="17"/>
  <c r="DR60" i="17"/>
  <c r="DN69" i="17"/>
  <c r="DL69" i="17"/>
  <c r="EE73" i="17"/>
  <c r="EI73" i="17"/>
  <c r="DF75" i="17"/>
  <c r="DD75" i="17"/>
  <c r="DP77" i="17"/>
  <c r="DQ77" i="17" s="1"/>
  <c r="DR77" i="17"/>
  <c r="DN67" i="17"/>
  <c r="DL67" i="17"/>
  <c r="DH84" i="17"/>
  <c r="DJ84" i="17"/>
  <c r="EI80" i="17"/>
  <c r="EE80" i="17"/>
  <c r="DH89" i="17"/>
  <c r="DJ89" i="17"/>
  <c r="DJ110" i="17"/>
  <c r="DH110" i="17"/>
  <c r="DJ113" i="17"/>
  <c r="DH113" i="17"/>
  <c r="DI113" i="17" s="1"/>
  <c r="DH119" i="17"/>
  <c r="DJ119" i="17"/>
  <c r="EI122" i="17"/>
  <c r="EE122" i="17"/>
  <c r="EF129" i="17"/>
  <c r="EG129" i="17" s="1"/>
  <c r="EJ129" i="17"/>
  <c r="DL102" i="17"/>
  <c r="DN102" i="17"/>
  <c r="EI136" i="17"/>
  <c r="EE136" i="17"/>
  <c r="DN138" i="17"/>
  <c r="DL138" i="17"/>
  <c r="DA147" i="17"/>
  <c r="DA154" i="17"/>
  <c r="DP146" i="17"/>
  <c r="DR146" i="17"/>
  <c r="DH147" i="17"/>
  <c r="DI147" i="17" s="1"/>
  <c r="DJ147" i="17"/>
  <c r="DN162" i="17"/>
  <c r="DL162" i="17"/>
  <c r="DN172" i="17"/>
  <c r="DL172" i="17"/>
  <c r="DM172" i="17" s="1"/>
  <c r="DI174" i="17"/>
  <c r="DP144" i="17"/>
  <c r="DQ144" i="17" s="1"/>
  <c r="DR144" i="17"/>
  <c r="EI150" i="17"/>
  <c r="EE150" i="17"/>
  <c r="DF166" i="17"/>
  <c r="DD166" i="17"/>
  <c r="DH145" i="17"/>
  <c r="DI145" i="17" s="1"/>
  <c r="DJ145" i="17"/>
  <c r="DL169" i="17"/>
  <c r="DN169" i="17"/>
  <c r="R31" i="17"/>
  <c r="R52" i="17"/>
  <c r="DP169" i="17" l="1"/>
  <c r="DQ169" i="17" s="1"/>
  <c r="DR169" i="17"/>
  <c r="EF150" i="17"/>
  <c r="EG150" i="17" s="1"/>
  <c r="EJ150" i="17"/>
  <c r="DI119" i="17"/>
  <c r="DN110" i="17"/>
  <c r="DL110" i="17"/>
  <c r="DM110" i="17" s="1"/>
  <c r="EJ80" i="17"/>
  <c r="EF80" i="17"/>
  <c r="EG80" i="17" s="1"/>
  <c r="DM67" i="17"/>
  <c r="DE75" i="17"/>
  <c r="DM69" i="17"/>
  <c r="DM64" i="17"/>
  <c r="DJ14" i="17"/>
  <c r="DH14" i="17"/>
  <c r="DI14" i="17" s="1"/>
  <c r="EJ10" i="17"/>
  <c r="EF10" i="17"/>
  <c r="EG10" i="17" s="1"/>
  <c r="DT153" i="17"/>
  <c r="DU153" i="17" s="1"/>
  <c r="DV153" i="17"/>
  <c r="DT148" i="17"/>
  <c r="DU148" i="17" s="1"/>
  <c r="DV148" i="17"/>
  <c r="DH161" i="17"/>
  <c r="DI161" i="17" s="1"/>
  <c r="DJ161" i="17"/>
  <c r="DL118" i="17"/>
  <c r="DM118" i="17" s="1"/>
  <c r="DN118" i="17"/>
  <c r="DL109" i="17"/>
  <c r="DN109" i="17"/>
  <c r="DX95" i="17"/>
  <c r="DY95" i="17" s="1"/>
  <c r="DZ95" i="17"/>
  <c r="EB95" i="17" s="1"/>
  <c r="EC95" i="17" s="1"/>
  <c r="DM74" i="17"/>
  <c r="EF59" i="17"/>
  <c r="EG59" i="17" s="1"/>
  <c r="EJ59" i="17"/>
  <c r="EF45" i="17"/>
  <c r="EG45" i="17" s="1"/>
  <c r="EJ45" i="17"/>
  <c r="DI40" i="17"/>
  <c r="DT160" i="17"/>
  <c r="DV160" i="17"/>
  <c r="DH173" i="17"/>
  <c r="DJ173" i="17"/>
  <c r="DZ139" i="17"/>
  <c r="EB139" i="17" s="1"/>
  <c r="EC139" i="17" s="1"/>
  <c r="DX139" i="17"/>
  <c r="DY139" i="17" s="1"/>
  <c r="DL123" i="17"/>
  <c r="DM123" i="17" s="1"/>
  <c r="DN123" i="17"/>
  <c r="DN112" i="17"/>
  <c r="DL112" i="17"/>
  <c r="DM112" i="17" s="1"/>
  <c r="DN126" i="17"/>
  <c r="DL126" i="17"/>
  <c r="DM126" i="17" s="1"/>
  <c r="DI53" i="17"/>
  <c r="DI39" i="17"/>
  <c r="DI36" i="17"/>
  <c r="DI22" i="17"/>
  <c r="DI26" i="17"/>
  <c r="DR15" i="17"/>
  <c r="DP15" i="17"/>
  <c r="DQ15" i="17" s="1"/>
  <c r="DH168" i="17"/>
  <c r="DI168" i="17" s="1"/>
  <c r="DJ168" i="17"/>
  <c r="DP133" i="17"/>
  <c r="DQ133" i="17" s="1"/>
  <c r="DR133" i="17"/>
  <c r="DT127" i="17"/>
  <c r="DU127" i="17" s="1"/>
  <c r="DV127" i="17"/>
  <c r="DL111" i="17"/>
  <c r="DM111" i="17" s="1"/>
  <c r="DN111" i="17"/>
  <c r="DN82" i="17"/>
  <c r="DL82" i="17"/>
  <c r="DM82" i="17" s="1"/>
  <c r="EE68" i="17"/>
  <c r="EI68" i="17"/>
  <c r="DV54" i="17"/>
  <c r="DT54" i="17"/>
  <c r="DP47" i="17"/>
  <c r="DR47" i="17"/>
  <c r="DL34" i="17"/>
  <c r="DM34" i="17" s="1"/>
  <c r="DN34" i="17"/>
  <c r="DI28" i="17"/>
  <c r="DM162" i="17"/>
  <c r="DP162" i="17"/>
  <c r="DQ162" i="17" s="1"/>
  <c r="DR162" i="17"/>
  <c r="DT146" i="17"/>
  <c r="DU146" i="17" s="1"/>
  <c r="DV146" i="17"/>
  <c r="EF136" i="17"/>
  <c r="EG136" i="17" s="1"/>
  <c r="EJ136" i="17"/>
  <c r="EF122" i="17"/>
  <c r="EG122" i="17" s="1"/>
  <c r="EJ122" i="17"/>
  <c r="DR67" i="17"/>
  <c r="DP67" i="17"/>
  <c r="DQ67" i="17" s="1"/>
  <c r="DJ75" i="17"/>
  <c r="DH75" i="17"/>
  <c r="DI75" i="17" s="1"/>
  <c r="DR69" i="17"/>
  <c r="DP69" i="17"/>
  <c r="DQ69" i="17" s="1"/>
  <c r="DR64" i="17"/>
  <c r="DP64" i="17"/>
  <c r="DQ64" i="17" s="1"/>
  <c r="EJ52" i="17"/>
  <c r="EF52" i="17"/>
  <c r="EG52" i="17" s="1"/>
  <c r="EF157" i="17"/>
  <c r="EG157" i="17" s="1"/>
  <c r="EJ157" i="17"/>
  <c r="DN124" i="17"/>
  <c r="DL124" i="17"/>
  <c r="DM124" i="17" s="1"/>
  <c r="DY92" i="17"/>
  <c r="ED92" i="17"/>
  <c r="DN117" i="17"/>
  <c r="DL117" i="17"/>
  <c r="DN96" i="17"/>
  <c r="DL96" i="17"/>
  <c r="DM96" i="17" s="1"/>
  <c r="DP83" i="17"/>
  <c r="DQ83" i="17" s="1"/>
  <c r="DR83" i="17"/>
  <c r="DN91" i="17"/>
  <c r="DL91" i="17"/>
  <c r="DM91" i="17" s="1"/>
  <c r="DR74" i="17"/>
  <c r="DP74" i="17"/>
  <c r="DQ74" i="17" s="1"/>
  <c r="DN57" i="17"/>
  <c r="DL57" i="17"/>
  <c r="DL43" i="17"/>
  <c r="DM43" i="17" s="1"/>
  <c r="DN43" i="17"/>
  <c r="DY18" i="17"/>
  <c r="ED18" i="17"/>
  <c r="DT155" i="17"/>
  <c r="DV155" i="17"/>
  <c r="DL154" i="17"/>
  <c r="DN154" i="17"/>
  <c r="DI123" i="17"/>
  <c r="DI112" i="17"/>
  <c r="DP97" i="17"/>
  <c r="DR97" i="17"/>
  <c r="DP99" i="17"/>
  <c r="DQ99" i="17" s="1"/>
  <c r="DR99" i="17"/>
  <c r="EF108" i="17"/>
  <c r="EG108" i="17" s="1"/>
  <c r="EJ108" i="17"/>
  <c r="DN98" i="17"/>
  <c r="DL98" i="17"/>
  <c r="DM98" i="17" s="1"/>
  <c r="DP90" i="17"/>
  <c r="DQ90" i="17" s="1"/>
  <c r="DR90" i="17"/>
  <c r="DY76" i="17"/>
  <c r="ED76" i="17"/>
  <c r="DN53" i="17"/>
  <c r="DL53" i="17"/>
  <c r="DM53" i="17" s="1"/>
  <c r="DQ50" i="17"/>
  <c r="DN46" i="17"/>
  <c r="DL46" i="17"/>
  <c r="DI29" i="17"/>
  <c r="DN35" i="17"/>
  <c r="DL35" i="17"/>
  <c r="DM35" i="17" s="1"/>
  <c r="DN33" i="17"/>
  <c r="DL33" i="17"/>
  <c r="DM33" i="17" s="1"/>
  <c r="DN19" i="17"/>
  <c r="DL19" i="17"/>
  <c r="DM19" i="17" s="1"/>
  <c r="DE168" i="17"/>
  <c r="EJ164" i="17"/>
  <c r="EF164" i="17"/>
  <c r="EG164" i="17" s="1"/>
  <c r="DV137" i="17"/>
  <c r="DT137" i="17"/>
  <c r="DI111" i="17"/>
  <c r="DL106" i="17"/>
  <c r="DM106" i="17" s="1"/>
  <c r="DN106" i="17"/>
  <c r="DI82" i="17"/>
  <c r="DV81" i="17"/>
  <c r="DT81" i="17"/>
  <c r="DI55" i="17"/>
  <c r="DI34" i="17"/>
  <c r="DL32" i="17"/>
  <c r="DN32" i="17"/>
  <c r="DL25" i="17"/>
  <c r="DN25" i="17"/>
  <c r="DE166" i="17"/>
  <c r="DP102" i="17"/>
  <c r="DQ102" i="17" s="1"/>
  <c r="DR102" i="17"/>
  <c r="DH166" i="17"/>
  <c r="DI166" i="17" s="1"/>
  <c r="DJ166" i="17"/>
  <c r="DT144" i="17"/>
  <c r="DU144" i="17" s="1"/>
  <c r="DV144" i="17"/>
  <c r="DQ146" i="17"/>
  <c r="DM102" i="17"/>
  <c r="DL113" i="17"/>
  <c r="DN113" i="17"/>
  <c r="DN89" i="17"/>
  <c r="DL89" i="17"/>
  <c r="DM89" i="17" s="1"/>
  <c r="DN84" i="17"/>
  <c r="DL84" i="17"/>
  <c r="DM84" i="17" s="1"/>
  <c r="DV77" i="17"/>
  <c r="DT77" i="17"/>
  <c r="DU77" i="17" s="1"/>
  <c r="DV60" i="17"/>
  <c r="DT60" i="17"/>
  <c r="DU60" i="17" s="1"/>
  <c r="DQ56" i="17"/>
  <c r="DJ12" i="17"/>
  <c r="DH12" i="17"/>
  <c r="DI12" i="17" s="1"/>
  <c r="DP167" i="17"/>
  <c r="DQ167" i="17" s="1"/>
  <c r="DR167" i="17"/>
  <c r="DL152" i="17"/>
  <c r="DM152" i="17" s="1"/>
  <c r="DN152" i="17"/>
  <c r="DP165" i="17"/>
  <c r="DR165" i="17"/>
  <c r="DV134" i="17"/>
  <c r="DT134" i="17"/>
  <c r="DU134" i="17" s="1"/>
  <c r="DV141" i="17"/>
  <c r="DT141" i="17"/>
  <c r="DU141" i="17" s="1"/>
  <c r="DI124" i="17"/>
  <c r="DI96" i="17"/>
  <c r="DI91" i="17"/>
  <c r="DU62" i="17"/>
  <c r="DX48" i="17"/>
  <c r="DY48" i="17" s="1"/>
  <c r="DZ48" i="17"/>
  <c r="EB48" i="17" s="1"/>
  <c r="EC48" i="17" s="1"/>
  <c r="DI43" i="17"/>
  <c r="DP27" i="17"/>
  <c r="DQ27" i="17" s="1"/>
  <c r="DR27" i="17"/>
  <c r="DR11" i="17"/>
  <c r="DP11" i="17"/>
  <c r="DQ11" i="17" s="1"/>
  <c r="EJ171" i="17"/>
  <c r="EF171" i="17"/>
  <c r="EG171" i="17" s="1"/>
  <c r="DL132" i="17"/>
  <c r="DN132" i="17"/>
  <c r="EF115" i="17"/>
  <c r="EG115" i="17" s="1"/>
  <c r="EJ115" i="17"/>
  <c r="DI98" i="17"/>
  <c r="DI61" i="17"/>
  <c r="DM63" i="17"/>
  <c r="DV50" i="17"/>
  <c r="DT50" i="17"/>
  <c r="DU50" i="17" s="1"/>
  <c r="DL29" i="17"/>
  <c r="DM29" i="17" s="1"/>
  <c r="DN29" i="17"/>
  <c r="DI35" i="17"/>
  <c r="DN42" i="17"/>
  <c r="DL42" i="17"/>
  <c r="DM42" i="17" s="1"/>
  <c r="DI33" i="17"/>
  <c r="DI19" i="17"/>
  <c r="DN21" i="17"/>
  <c r="DL21" i="17"/>
  <c r="DM21" i="17" s="1"/>
  <c r="DR13" i="17"/>
  <c r="DP13" i="17"/>
  <c r="DQ13" i="17" s="1"/>
  <c r="DT140" i="17"/>
  <c r="DU140" i="17" s="1"/>
  <c r="DV140" i="17"/>
  <c r="DL131" i="17"/>
  <c r="DN131" i="17"/>
  <c r="DI130" i="17"/>
  <c r="DI106" i="17"/>
  <c r="DL125" i="17"/>
  <c r="DM125" i="17" s="1"/>
  <c r="DN125" i="17"/>
  <c r="DV88" i="17"/>
  <c r="DT88" i="17"/>
  <c r="DU88" i="17" s="1"/>
  <c r="DE70" i="17"/>
  <c r="DN55" i="17"/>
  <c r="DL55" i="17"/>
  <c r="DM55" i="17" s="1"/>
  <c r="DP49" i="17"/>
  <c r="DR49" i="17"/>
  <c r="DL20" i="17"/>
  <c r="DN20" i="17"/>
  <c r="DR138" i="17"/>
  <c r="DP138" i="17"/>
  <c r="DQ138" i="17" s="1"/>
  <c r="DM169" i="17"/>
  <c r="DL145" i="17"/>
  <c r="DM145" i="17" s="1"/>
  <c r="DN145" i="17"/>
  <c r="DP172" i="17"/>
  <c r="DQ172" i="17" s="1"/>
  <c r="DR172" i="17"/>
  <c r="DL147" i="17"/>
  <c r="DM147" i="17" s="1"/>
  <c r="DN147" i="17"/>
  <c r="DM138" i="17"/>
  <c r="DN119" i="17"/>
  <c r="DL119" i="17"/>
  <c r="DM119" i="17" s="1"/>
  <c r="DI110" i="17"/>
  <c r="DI89" i="17"/>
  <c r="DI84" i="17"/>
  <c r="EJ73" i="17"/>
  <c r="EF73" i="17"/>
  <c r="EG73" i="17" s="1"/>
  <c r="DQ60" i="17"/>
  <c r="DV56" i="17"/>
  <c r="DT56" i="17"/>
  <c r="DU56" i="17" s="1"/>
  <c r="EJ17" i="17"/>
  <c r="EF17" i="17"/>
  <c r="EG17" i="17" s="1"/>
  <c r="DM167" i="17"/>
  <c r="DT151" i="17"/>
  <c r="DU151" i="17" s="1"/>
  <c r="DV151" i="17"/>
  <c r="DQ141" i="17"/>
  <c r="DL120" i="17"/>
  <c r="DM120" i="17" s="1"/>
  <c r="DN120" i="17"/>
  <c r="EJ101" i="17"/>
  <c r="EF101" i="17"/>
  <c r="EG101" i="17" s="1"/>
  <c r="EF87" i="17"/>
  <c r="EG87" i="17" s="1"/>
  <c r="EJ87" i="17"/>
  <c r="DU95" i="17"/>
  <c r="ED95" i="17"/>
  <c r="EI78" i="17"/>
  <c r="EE78" i="17"/>
  <c r="DY71" i="17"/>
  <c r="ED71" i="17"/>
  <c r="DX62" i="17"/>
  <c r="DY62" i="17" s="1"/>
  <c r="DZ62" i="17"/>
  <c r="EB62" i="17" s="1"/>
  <c r="EC62" i="17" s="1"/>
  <c r="DN40" i="17"/>
  <c r="DL40" i="17"/>
  <c r="DM40" i="17" s="1"/>
  <c r="DM27" i="17"/>
  <c r="DM11" i="17"/>
  <c r="DL159" i="17"/>
  <c r="DM159" i="17" s="1"/>
  <c r="DN159" i="17"/>
  <c r="DU139" i="17"/>
  <c r="ED139" i="17"/>
  <c r="DI126" i="17"/>
  <c r="DL116" i="17"/>
  <c r="DM116" i="17" s="1"/>
  <c r="DN116" i="17"/>
  <c r="DN105" i="17"/>
  <c r="DL105" i="17"/>
  <c r="DM105" i="17" s="1"/>
  <c r="EF94" i="17"/>
  <c r="EG94" i="17" s="1"/>
  <c r="EJ94" i="17"/>
  <c r="DN61" i="17"/>
  <c r="DL61" i="17"/>
  <c r="DM61" i="17" s="1"/>
  <c r="DP63" i="17"/>
  <c r="DQ63" i="17" s="1"/>
  <c r="DR63" i="17"/>
  <c r="ED48" i="17"/>
  <c r="DL39" i="17"/>
  <c r="DM39" i="17" s="1"/>
  <c r="DN39" i="17"/>
  <c r="EF38" i="17"/>
  <c r="EG38" i="17" s="1"/>
  <c r="EJ38" i="17"/>
  <c r="EF31" i="17"/>
  <c r="EG31" i="17" s="1"/>
  <c r="EJ31" i="17"/>
  <c r="DL36" i="17"/>
  <c r="DM36" i="17" s="1"/>
  <c r="DN36" i="17"/>
  <c r="DL22" i="17"/>
  <c r="DM22" i="17" s="1"/>
  <c r="DN22" i="17"/>
  <c r="DN26" i="17"/>
  <c r="DL26" i="17"/>
  <c r="DM26" i="17" s="1"/>
  <c r="DM13" i="17"/>
  <c r="EF143" i="17"/>
  <c r="EG143" i="17" s="1"/>
  <c r="EJ143" i="17"/>
  <c r="DP174" i="17"/>
  <c r="DR174" i="17"/>
  <c r="DT158" i="17"/>
  <c r="DV158" i="17"/>
  <c r="DM133" i="17"/>
  <c r="DQ127" i="17"/>
  <c r="DN130" i="17"/>
  <c r="DL130" i="17"/>
  <c r="DM130" i="17" s="1"/>
  <c r="DN103" i="17"/>
  <c r="DL103" i="17"/>
  <c r="DM103" i="17" s="1"/>
  <c r="DL104" i="17"/>
  <c r="DN104" i="17"/>
  <c r="ED85" i="17"/>
  <c r="DQ88" i="17"/>
  <c r="DJ70" i="17"/>
  <c r="DH70" i="17"/>
  <c r="DI70" i="17" s="1"/>
  <c r="DL41" i="17"/>
  <c r="DM41" i="17" s="1"/>
  <c r="DN41" i="17"/>
  <c r="DN28" i="17"/>
  <c r="DL28" i="17"/>
  <c r="DM28" i="17" s="1"/>
  <c r="EF24" i="17"/>
  <c r="EG24" i="17" s="1"/>
  <c r="EJ24" i="17"/>
  <c r="BZ2" i="17"/>
  <c r="CD2" i="17" s="1"/>
  <c r="CH2" i="17" s="1"/>
  <c r="CL2" i="17" s="1"/>
  <c r="CS2" i="17" s="1"/>
  <c r="CW2" i="17" s="1"/>
  <c r="DA2" i="17" s="1"/>
  <c r="DE2" i="17" s="1"/>
  <c r="DI2" i="17" s="1"/>
  <c r="DM2" i="17" s="1"/>
  <c r="DQ2" i="17" s="1"/>
  <c r="DU2" i="17" s="1"/>
  <c r="DY2" i="17" s="1"/>
  <c r="EC2" i="17" s="1"/>
  <c r="DP130" i="17" l="1"/>
  <c r="DQ130" i="17" s="1"/>
  <c r="DR130" i="17"/>
  <c r="DU158" i="17"/>
  <c r="DP36" i="17"/>
  <c r="DQ36" i="17" s="1"/>
  <c r="DR36" i="17"/>
  <c r="EE48" i="17"/>
  <c r="EI48" i="17"/>
  <c r="DR61" i="17"/>
  <c r="DP61" i="17"/>
  <c r="DQ61" i="17" s="1"/>
  <c r="EE139" i="17"/>
  <c r="EI139" i="17"/>
  <c r="DT172" i="17"/>
  <c r="DV172" i="17"/>
  <c r="DP20" i="17"/>
  <c r="DQ20" i="17" s="1"/>
  <c r="DR20" i="17"/>
  <c r="DV13" i="17"/>
  <c r="DT13" i="17"/>
  <c r="DP42" i="17"/>
  <c r="DQ42" i="17" s="1"/>
  <c r="DR42" i="17"/>
  <c r="DR132" i="17"/>
  <c r="DP132" i="17"/>
  <c r="DQ132" i="17" s="1"/>
  <c r="DZ134" i="17"/>
  <c r="EB134" i="17" s="1"/>
  <c r="EC134" i="17" s="1"/>
  <c r="DX134" i="17"/>
  <c r="DY134" i="17" s="1"/>
  <c r="DN12" i="17"/>
  <c r="DL12" i="17"/>
  <c r="DX60" i="17"/>
  <c r="DZ60" i="17"/>
  <c r="EB60" i="17" s="1"/>
  <c r="EC60" i="17" s="1"/>
  <c r="DP84" i="17"/>
  <c r="DR84" i="17"/>
  <c r="DM113" i="17"/>
  <c r="DM25" i="17"/>
  <c r="DX81" i="17"/>
  <c r="DY81" i="17" s="1"/>
  <c r="DZ81" i="17"/>
  <c r="EB81" i="17" s="1"/>
  <c r="EC81" i="17" s="1"/>
  <c r="DR106" i="17"/>
  <c r="DP106" i="17"/>
  <c r="DU137" i="17"/>
  <c r="DP33" i="17"/>
  <c r="DR33" i="17"/>
  <c r="DR98" i="17"/>
  <c r="DP98" i="17"/>
  <c r="DR154" i="17"/>
  <c r="DP154" i="17"/>
  <c r="DQ154" i="17" s="1"/>
  <c r="EE18" i="17"/>
  <c r="EI18" i="17"/>
  <c r="DM57" i="17"/>
  <c r="EE92" i="17"/>
  <c r="EI92" i="17"/>
  <c r="DZ146" i="17"/>
  <c r="EB146" i="17" s="1"/>
  <c r="EC146" i="17" s="1"/>
  <c r="DX146" i="17"/>
  <c r="DQ47" i="17"/>
  <c r="EJ68" i="17"/>
  <c r="EF68" i="17"/>
  <c r="EG68" i="17" s="1"/>
  <c r="DP111" i="17"/>
  <c r="DR111" i="17"/>
  <c r="DT133" i="17"/>
  <c r="DV133" i="17"/>
  <c r="DZ160" i="17"/>
  <c r="EB160" i="17" s="1"/>
  <c r="EC160" i="17" s="1"/>
  <c r="DX160" i="17"/>
  <c r="DY160" i="17" s="1"/>
  <c r="DP109" i="17"/>
  <c r="DQ109" i="17" s="1"/>
  <c r="DR109" i="17"/>
  <c r="DL161" i="17"/>
  <c r="DN161" i="17"/>
  <c r="DZ153" i="17"/>
  <c r="EB153" i="17" s="1"/>
  <c r="EC153" i="17" s="1"/>
  <c r="DX153" i="17"/>
  <c r="EE85" i="17"/>
  <c r="EI85" i="17"/>
  <c r="DV63" i="17"/>
  <c r="DT63" i="17"/>
  <c r="DU63" i="17" s="1"/>
  <c r="EI95" i="17"/>
  <c r="EE95" i="17"/>
  <c r="DM20" i="17"/>
  <c r="DP55" i="17"/>
  <c r="DQ55" i="17" s="1"/>
  <c r="DR55" i="17"/>
  <c r="DX88" i="17"/>
  <c r="DZ88" i="17"/>
  <c r="EB88" i="17" s="1"/>
  <c r="EC88" i="17" s="1"/>
  <c r="DP131" i="17"/>
  <c r="DQ131" i="17" s="1"/>
  <c r="DR131" i="17"/>
  <c r="DM132" i="17"/>
  <c r="ED62" i="17"/>
  <c r="DT165" i="17"/>
  <c r="DU165" i="17" s="1"/>
  <c r="DV165" i="17"/>
  <c r="DT167" i="17"/>
  <c r="DV167" i="17"/>
  <c r="DZ144" i="17"/>
  <c r="EB144" i="17" s="1"/>
  <c r="EC144" i="17" s="1"/>
  <c r="DX144" i="17"/>
  <c r="DV102" i="17"/>
  <c r="DT102" i="17"/>
  <c r="DP32" i="17"/>
  <c r="DQ32" i="17" s="1"/>
  <c r="DR32" i="17"/>
  <c r="DZ137" i="17"/>
  <c r="EB137" i="17" s="1"/>
  <c r="EC137" i="17" s="1"/>
  <c r="DX137" i="17"/>
  <c r="DY137" i="17" s="1"/>
  <c r="DM46" i="17"/>
  <c r="DV90" i="17"/>
  <c r="DT90" i="17"/>
  <c r="DV97" i="17"/>
  <c r="DT97" i="17"/>
  <c r="DU97" i="17" s="1"/>
  <c r="DM154" i="17"/>
  <c r="DP57" i="17"/>
  <c r="DQ57" i="17" s="1"/>
  <c r="DR57" i="17"/>
  <c r="DP91" i="17"/>
  <c r="DR91" i="17"/>
  <c r="DP96" i="17"/>
  <c r="DR96" i="17"/>
  <c r="DT64" i="17"/>
  <c r="DU64" i="17" s="1"/>
  <c r="DV64" i="17"/>
  <c r="DL75" i="17"/>
  <c r="DM75" i="17" s="1"/>
  <c r="DN75" i="17"/>
  <c r="DR34" i="17"/>
  <c r="DP34" i="17"/>
  <c r="DU54" i="17"/>
  <c r="DP112" i="17"/>
  <c r="DR112" i="17"/>
  <c r="DU160" i="17"/>
  <c r="DM109" i="17"/>
  <c r="DN14" i="17"/>
  <c r="DL14" i="17"/>
  <c r="DP110" i="17"/>
  <c r="DR110" i="17"/>
  <c r="DR28" i="17"/>
  <c r="DP28" i="17"/>
  <c r="DQ28" i="17" s="1"/>
  <c r="DT174" i="17"/>
  <c r="DU174" i="17" s="1"/>
  <c r="DV174" i="17"/>
  <c r="DR26" i="17"/>
  <c r="DP26" i="17"/>
  <c r="DQ26" i="17" s="1"/>
  <c r="EI71" i="17"/>
  <c r="EE71" i="17"/>
  <c r="DP41" i="17"/>
  <c r="DQ41" i="17" s="1"/>
  <c r="DR41" i="17"/>
  <c r="DL70" i="17"/>
  <c r="DM70" i="17" s="1"/>
  <c r="DN70" i="17"/>
  <c r="DP104" i="17"/>
  <c r="DQ104" i="17" s="1"/>
  <c r="DR104" i="17"/>
  <c r="DR103" i="17"/>
  <c r="DP103" i="17"/>
  <c r="DQ103" i="17" s="1"/>
  <c r="DQ174" i="17"/>
  <c r="DP22" i="17"/>
  <c r="DQ22" i="17" s="1"/>
  <c r="DR22" i="17"/>
  <c r="DP39" i="17"/>
  <c r="DQ39" i="17" s="1"/>
  <c r="DR39" i="17"/>
  <c r="DP105" i="17"/>
  <c r="DQ105" i="17" s="1"/>
  <c r="DR105" i="17"/>
  <c r="DP40" i="17"/>
  <c r="DQ40" i="17" s="1"/>
  <c r="DR40" i="17"/>
  <c r="DR147" i="17"/>
  <c r="DP147" i="17"/>
  <c r="DQ147" i="17" s="1"/>
  <c r="DR145" i="17"/>
  <c r="DP145" i="17"/>
  <c r="DT49" i="17"/>
  <c r="DU49" i="17" s="1"/>
  <c r="DV49" i="17"/>
  <c r="DM131" i="17"/>
  <c r="DP21" i="17"/>
  <c r="DR21" i="17"/>
  <c r="DX50" i="17"/>
  <c r="DY50" i="17" s="1"/>
  <c r="DZ50" i="17"/>
  <c r="EB50" i="17" s="1"/>
  <c r="EC50" i="17" s="1"/>
  <c r="DT11" i="17"/>
  <c r="DV11" i="17"/>
  <c r="DX141" i="17"/>
  <c r="DZ141" i="17"/>
  <c r="EB141" i="17" s="1"/>
  <c r="EC141" i="17" s="1"/>
  <c r="DQ165" i="17"/>
  <c r="DZ77" i="17"/>
  <c r="EB77" i="17" s="1"/>
  <c r="EC77" i="17" s="1"/>
  <c r="DX77" i="17"/>
  <c r="DP89" i="17"/>
  <c r="DR89" i="17"/>
  <c r="DM32" i="17"/>
  <c r="DP19" i="17"/>
  <c r="DR19" i="17"/>
  <c r="DR35" i="17"/>
  <c r="DP35" i="17"/>
  <c r="DP46" i="17"/>
  <c r="DQ46" i="17" s="1"/>
  <c r="DR46" i="17"/>
  <c r="DP53" i="17"/>
  <c r="DQ53" i="17" s="1"/>
  <c r="DR53" i="17"/>
  <c r="DQ97" i="17"/>
  <c r="DZ155" i="17"/>
  <c r="EB155" i="17" s="1"/>
  <c r="EC155" i="17" s="1"/>
  <c r="DX155" i="17"/>
  <c r="DY155" i="17" s="1"/>
  <c r="DP43" i="17"/>
  <c r="DR43" i="17"/>
  <c r="DV83" i="17"/>
  <c r="DT83" i="17"/>
  <c r="DM117" i="17"/>
  <c r="DT162" i="17"/>
  <c r="DU162" i="17" s="1"/>
  <c r="DV162" i="17"/>
  <c r="DX54" i="17"/>
  <c r="DY54" i="17" s="1"/>
  <c r="DZ54" i="17"/>
  <c r="EB54" i="17" s="1"/>
  <c r="EC54" i="17" s="1"/>
  <c r="DP82" i="17"/>
  <c r="DR82" i="17"/>
  <c r="DX127" i="17"/>
  <c r="DZ127" i="17"/>
  <c r="EB127" i="17" s="1"/>
  <c r="EC127" i="17" s="1"/>
  <c r="DV15" i="17"/>
  <c r="DT15" i="17"/>
  <c r="DP126" i="17"/>
  <c r="DR126" i="17"/>
  <c r="DP123" i="17"/>
  <c r="DR123" i="17"/>
  <c r="DL173" i="17"/>
  <c r="DM173" i="17" s="1"/>
  <c r="DN173" i="17"/>
  <c r="DR118" i="17"/>
  <c r="DP118" i="17"/>
  <c r="DZ148" i="17"/>
  <c r="EB148" i="17" s="1"/>
  <c r="EC148" i="17" s="1"/>
  <c r="DX148" i="17"/>
  <c r="DT169" i="17"/>
  <c r="DV169" i="17"/>
  <c r="DM104" i="17"/>
  <c r="DZ158" i="17"/>
  <c r="EB158" i="17" s="1"/>
  <c r="EC158" i="17" s="1"/>
  <c r="DX158" i="17"/>
  <c r="DY158" i="17" s="1"/>
  <c r="DP116" i="17"/>
  <c r="DQ116" i="17" s="1"/>
  <c r="DR116" i="17"/>
  <c r="DR159" i="17"/>
  <c r="DP159" i="17"/>
  <c r="DQ159" i="17" s="1"/>
  <c r="EF78" i="17"/>
  <c r="EG78" i="17" s="1"/>
  <c r="EJ78" i="17"/>
  <c r="DP120" i="17"/>
  <c r="DQ120" i="17" s="1"/>
  <c r="DR120" i="17"/>
  <c r="DZ151" i="17"/>
  <c r="EB151" i="17" s="1"/>
  <c r="EC151" i="17" s="1"/>
  <c r="DX151" i="17"/>
  <c r="DX56" i="17"/>
  <c r="DY56" i="17" s="1"/>
  <c r="DZ56" i="17"/>
  <c r="EB56" i="17" s="1"/>
  <c r="EC56" i="17" s="1"/>
  <c r="DR119" i="17"/>
  <c r="DP119" i="17"/>
  <c r="DQ119" i="17" s="1"/>
  <c r="DT138" i="17"/>
  <c r="DV138" i="17"/>
  <c r="DQ49" i="17"/>
  <c r="DP125" i="17"/>
  <c r="DR125" i="17"/>
  <c r="DX140" i="17"/>
  <c r="DY140" i="17" s="1"/>
  <c r="DZ140" i="17"/>
  <c r="EB140" i="17" s="1"/>
  <c r="EC140" i="17" s="1"/>
  <c r="DP29" i="17"/>
  <c r="DQ29" i="17" s="1"/>
  <c r="DR29" i="17"/>
  <c r="DV27" i="17"/>
  <c r="DT27" i="17"/>
  <c r="DR152" i="17"/>
  <c r="DP152" i="17"/>
  <c r="DP113" i="17"/>
  <c r="DQ113" i="17" s="1"/>
  <c r="DR113" i="17"/>
  <c r="DL166" i="17"/>
  <c r="DM166" i="17" s="1"/>
  <c r="DN166" i="17"/>
  <c r="DR25" i="17"/>
  <c r="DP25" i="17"/>
  <c r="DQ25" i="17" s="1"/>
  <c r="DU81" i="17"/>
  <c r="ED81" i="17"/>
  <c r="ED50" i="17"/>
  <c r="EI76" i="17"/>
  <c r="EE76" i="17"/>
  <c r="DV99" i="17"/>
  <c r="DT99" i="17"/>
  <c r="ED134" i="17"/>
  <c r="DU155" i="17"/>
  <c r="ED155" i="17"/>
  <c r="DT74" i="17"/>
  <c r="DU74" i="17" s="1"/>
  <c r="DV74" i="17"/>
  <c r="DP117" i="17"/>
  <c r="DQ117" i="17" s="1"/>
  <c r="DR117" i="17"/>
  <c r="DP124" i="17"/>
  <c r="DR124" i="17"/>
  <c r="DT69" i="17"/>
  <c r="DU69" i="17" s="1"/>
  <c r="DV69" i="17"/>
  <c r="DT67" i="17"/>
  <c r="DU67" i="17" s="1"/>
  <c r="DV67" i="17"/>
  <c r="DT47" i="17"/>
  <c r="DU47" i="17" s="1"/>
  <c r="DV47" i="17"/>
  <c r="DL168" i="17"/>
  <c r="DN168" i="17"/>
  <c r="DI173" i="17"/>
  <c r="ED2" i="17"/>
  <c r="DM168" i="17" l="1"/>
  <c r="DX67" i="17"/>
  <c r="DY67" i="17" s="1"/>
  <c r="DZ67" i="17"/>
  <c r="EB67" i="17" s="1"/>
  <c r="EC67" i="17" s="1"/>
  <c r="DT124" i="17"/>
  <c r="DU124" i="17" s="1"/>
  <c r="DV124" i="17"/>
  <c r="DX74" i="17"/>
  <c r="DY74" i="17" s="1"/>
  <c r="DZ74" i="17"/>
  <c r="EB74" i="17" s="1"/>
  <c r="EC74" i="17" s="1"/>
  <c r="DQ124" i="17"/>
  <c r="EE50" i="17"/>
  <c r="EI50" i="17"/>
  <c r="DV152" i="17"/>
  <c r="DT152" i="17"/>
  <c r="DU152" i="17" s="1"/>
  <c r="DV29" i="17"/>
  <c r="DT29" i="17"/>
  <c r="DT119" i="17"/>
  <c r="DU119" i="17" s="1"/>
  <c r="DV119" i="17"/>
  <c r="DQ118" i="17"/>
  <c r="DQ126" i="17"/>
  <c r="DZ83" i="17"/>
  <c r="EB83" i="17" s="1"/>
  <c r="EC83" i="17" s="1"/>
  <c r="DX83" i="17"/>
  <c r="DY83" i="17" s="1"/>
  <c r="DT35" i="17"/>
  <c r="DU35" i="17" s="1"/>
  <c r="DV35" i="17"/>
  <c r="DY77" i="17"/>
  <c r="ED77" i="17"/>
  <c r="DV147" i="17"/>
  <c r="DT147" i="17"/>
  <c r="DT103" i="17"/>
  <c r="DU103" i="17" s="1"/>
  <c r="DV103" i="17"/>
  <c r="DQ110" i="17"/>
  <c r="DQ112" i="17"/>
  <c r="DQ96" i="17"/>
  <c r="DZ97" i="17"/>
  <c r="EB97" i="17" s="1"/>
  <c r="EC97" i="17" s="1"/>
  <c r="DX97" i="17"/>
  <c r="DV32" i="17"/>
  <c r="DT32" i="17"/>
  <c r="DY144" i="17"/>
  <c r="ED144" i="17"/>
  <c r="DU167" i="17"/>
  <c r="DV131" i="17"/>
  <c r="DT131" i="17"/>
  <c r="DT55" i="17"/>
  <c r="DV55" i="17"/>
  <c r="EF95" i="17"/>
  <c r="EG95" i="17" s="1"/>
  <c r="EJ95" i="17"/>
  <c r="DY153" i="17"/>
  <c r="ED153" i="17"/>
  <c r="DV109" i="17"/>
  <c r="DT109" i="17"/>
  <c r="DQ111" i="17"/>
  <c r="DV154" i="17"/>
  <c r="DT154" i="17"/>
  <c r="DQ33" i="17"/>
  <c r="DV106" i="17"/>
  <c r="DT106" i="17"/>
  <c r="DU106" i="17" s="1"/>
  <c r="DT84" i="17"/>
  <c r="DU84" i="17" s="1"/>
  <c r="DV84" i="17"/>
  <c r="DM12" i="17"/>
  <c r="DU13" i="17"/>
  <c r="DZ172" i="17"/>
  <c r="EB172" i="17" s="1"/>
  <c r="EC172" i="17" s="1"/>
  <c r="DX172" i="17"/>
  <c r="DY172" i="17" s="1"/>
  <c r="DV36" i="17"/>
  <c r="DT36" i="17"/>
  <c r="DT130" i="17"/>
  <c r="DV130" i="17"/>
  <c r="DR168" i="17"/>
  <c r="DP168" i="17"/>
  <c r="DQ168" i="17" s="1"/>
  <c r="EF76" i="17"/>
  <c r="EG76" i="17" s="1"/>
  <c r="EJ76" i="17"/>
  <c r="EE134" i="17"/>
  <c r="EI134" i="17"/>
  <c r="DR166" i="17"/>
  <c r="DP166" i="17"/>
  <c r="DQ166" i="17" s="1"/>
  <c r="DU99" i="17"/>
  <c r="DZ47" i="17"/>
  <c r="EB47" i="17" s="1"/>
  <c r="EC47" i="17" s="1"/>
  <c r="DX47" i="17"/>
  <c r="DY47" i="17" s="1"/>
  <c r="DX69" i="17"/>
  <c r="DY69" i="17" s="1"/>
  <c r="DZ69" i="17"/>
  <c r="EB69" i="17" s="1"/>
  <c r="EC69" i="17" s="1"/>
  <c r="DT117" i="17"/>
  <c r="DU117" i="17" s="1"/>
  <c r="DV117" i="17"/>
  <c r="EI155" i="17"/>
  <c r="EE155" i="17"/>
  <c r="DZ99" i="17"/>
  <c r="EB99" i="17" s="1"/>
  <c r="EC99" i="17" s="1"/>
  <c r="DX99" i="17"/>
  <c r="DY99" i="17" s="1"/>
  <c r="DV25" i="17"/>
  <c r="DT25" i="17"/>
  <c r="DU25" i="17" s="1"/>
  <c r="DV113" i="17"/>
  <c r="DT113" i="17"/>
  <c r="DU113" i="17" s="1"/>
  <c r="DU27" i="17"/>
  <c r="DV125" i="17"/>
  <c r="DT125" i="17"/>
  <c r="DU125" i="17" s="1"/>
  <c r="DX138" i="17"/>
  <c r="DY138" i="17" s="1"/>
  <c r="DZ138" i="17"/>
  <c r="EB138" i="17" s="1"/>
  <c r="EC138" i="17" s="1"/>
  <c r="DV120" i="17"/>
  <c r="DT120" i="17"/>
  <c r="DZ169" i="17"/>
  <c r="EB169" i="17" s="1"/>
  <c r="EC169" i="17" s="1"/>
  <c r="DX169" i="17"/>
  <c r="DY169" i="17" s="1"/>
  <c r="DV118" i="17"/>
  <c r="DT118" i="17"/>
  <c r="DU118" i="17" s="1"/>
  <c r="DV123" i="17"/>
  <c r="DT123" i="17"/>
  <c r="DU123" i="17" s="1"/>
  <c r="DU15" i="17"/>
  <c r="DY127" i="17"/>
  <c r="ED127" i="17"/>
  <c r="DV43" i="17"/>
  <c r="DT43" i="17"/>
  <c r="DU43" i="17" s="1"/>
  <c r="DT46" i="17"/>
  <c r="DU46" i="17" s="1"/>
  <c r="DV46" i="17"/>
  <c r="DT19" i="17"/>
  <c r="DU19" i="17" s="1"/>
  <c r="DV19" i="17"/>
  <c r="DY141" i="17"/>
  <c r="ED141" i="17"/>
  <c r="DQ145" i="17"/>
  <c r="DT40" i="17"/>
  <c r="DV40" i="17"/>
  <c r="DV39" i="17"/>
  <c r="DT39" i="17"/>
  <c r="DU39" i="17" s="1"/>
  <c r="DV104" i="17"/>
  <c r="DT104" i="17"/>
  <c r="DV41" i="17"/>
  <c r="DT41" i="17"/>
  <c r="DU41" i="17" s="1"/>
  <c r="DM14" i="17"/>
  <c r="ED160" i="17"/>
  <c r="DQ34" i="17"/>
  <c r="DX64" i="17"/>
  <c r="DZ64" i="17"/>
  <c r="EB64" i="17" s="1"/>
  <c r="EC64" i="17" s="1"/>
  <c r="DT91" i="17"/>
  <c r="DU91" i="17" s="1"/>
  <c r="DV91" i="17"/>
  <c r="DU90" i="17"/>
  <c r="DZ165" i="17"/>
  <c r="EB165" i="17" s="1"/>
  <c r="EC165" i="17" s="1"/>
  <c r="DX165" i="17"/>
  <c r="EF85" i="17"/>
  <c r="EG85" i="17" s="1"/>
  <c r="EJ85" i="17"/>
  <c r="DZ133" i="17"/>
  <c r="EB133" i="17" s="1"/>
  <c r="EC133" i="17" s="1"/>
  <c r="DX133" i="17"/>
  <c r="DY133" i="17" s="1"/>
  <c r="DQ98" i="17"/>
  <c r="ED137" i="17"/>
  <c r="DQ84" i="17"/>
  <c r="DP12" i="17"/>
  <c r="DQ12" i="17" s="1"/>
  <c r="DR12" i="17"/>
  <c r="DV132" i="17"/>
  <c r="DT132" i="17"/>
  <c r="DX13" i="17"/>
  <c r="DY13" i="17" s="1"/>
  <c r="DZ13" i="17"/>
  <c r="EB13" i="17" s="1"/>
  <c r="EC13" i="17" s="1"/>
  <c r="DU172" i="17"/>
  <c r="ED172" i="17"/>
  <c r="DT61" i="17"/>
  <c r="DV61" i="17"/>
  <c r="EI81" i="17"/>
  <c r="EE81" i="17"/>
  <c r="DZ27" i="17"/>
  <c r="EB27" i="17" s="1"/>
  <c r="EC27" i="17" s="1"/>
  <c r="DX27" i="17"/>
  <c r="DY27" i="17" s="1"/>
  <c r="DQ125" i="17"/>
  <c r="DU138" i="17"/>
  <c r="ED138" i="17"/>
  <c r="DT159" i="17"/>
  <c r="DV159" i="17"/>
  <c r="DU169" i="17"/>
  <c r="ED169" i="17"/>
  <c r="DY148" i="17"/>
  <c r="ED148" i="17"/>
  <c r="DQ123" i="17"/>
  <c r="DX15" i="17"/>
  <c r="DY15" i="17" s="1"/>
  <c r="DZ15" i="17"/>
  <c r="EB15" i="17" s="1"/>
  <c r="EC15" i="17" s="1"/>
  <c r="DT82" i="17"/>
  <c r="DU82" i="17" s="1"/>
  <c r="DV82" i="17"/>
  <c r="DQ43" i="17"/>
  <c r="DQ19" i="17"/>
  <c r="DT89" i="17"/>
  <c r="DU89" i="17" s="1"/>
  <c r="DV89" i="17"/>
  <c r="DX11" i="17"/>
  <c r="DY11" i="17" s="1"/>
  <c r="DZ11" i="17"/>
  <c r="EB11" i="17" s="1"/>
  <c r="EC11" i="17" s="1"/>
  <c r="DT21" i="17"/>
  <c r="DU21" i="17" s="1"/>
  <c r="DV21" i="17"/>
  <c r="DV145" i="17"/>
  <c r="DT145" i="17"/>
  <c r="DU145" i="17" s="1"/>
  <c r="DT26" i="17"/>
  <c r="DV26" i="17"/>
  <c r="DT28" i="17"/>
  <c r="DV28" i="17"/>
  <c r="DP14" i="17"/>
  <c r="DQ14" i="17" s="1"/>
  <c r="DR14" i="17"/>
  <c r="DV34" i="17"/>
  <c r="DT34" i="17"/>
  <c r="DU34" i="17" s="1"/>
  <c r="DQ91" i="17"/>
  <c r="DZ90" i="17"/>
  <c r="EB90" i="17" s="1"/>
  <c r="EC90" i="17" s="1"/>
  <c r="DX90" i="17"/>
  <c r="DY90" i="17" s="1"/>
  <c r="DU102" i="17"/>
  <c r="ED56" i="17"/>
  <c r="ED67" i="17"/>
  <c r="DR161" i="17"/>
  <c r="DP161" i="17"/>
  <c r="DQ161" i="17" s="1"/>
  <c r="ED74" i="17"/>
  <c r="DU133" i="17"/>
  <c r="ED133" i="17"/>
  <c r="EF92" i="17"/>
  <c r="EG92" i="17" s="1"/>
  <c r="EJ92" i="17"/>
  <c r="EF18" i="17"/>
  <c r="EG18" i="17" s="1"/>
  <c r="EJ18" i="17"/>
  <c r="DT98" i="17"/>
  <c r="DU98" i="17" s="1"/>
  <c r="DV98" i="17"/>
  <c r="DT42" i="17"/>
  <c r="DU42" i="17" s="1"/>
  <c r="DV42" i="17"/>
  <c r="DV20" i="17"/>
  <c r="DT20" i="17"/>
  <c r="ED158" i="17"/>
  <c r="DQ152" i="17"/>
  <c r="DY151" i="17"/>
  <c r="ED151" i="17"/>
  <c r="DV116" i="17"/>
  <c r="DT116" i="17"/>
  <c r="DR173" i="17"/>
  <c r="DP173" i="17"/>
  <c r="DT126" i="17"/>
  <c r="DU126" i="17" s="1"/>
  <c r="DV126" i="17"/>
  <c r="DQ82" i="17"/>
  <c r="DZ162" i="17"/>
  <c r="EB162" i="17" s="1"/>
  <c r="EC162" i="17" s="1"/>
  <c r="DX162" i="17"/>
  <c r="DY162" i="17" s="1"/>
  <c r="DU83" i="17"/>
  <c r="ED83" i="17"/>
  <c r="DT53" i="17"/>
  <c r="DV53" i="17"/>
  <c r="DQ35" i="17"/>
  <c r="ED140" i="17"/>
  <c r="DQ89" i="17"/>
  <c r="DU11" i="17"/>
  <c r="ED11" i="17"/>
  <c r="DQ21" i="17"/>
  <c r="DZ49" i="17"/>
  <c r="EB49" i="17" s="1"/>
  <c r="EC49" i="17" s="1"/>
  <c r="DX49" i="17"/>
  <c r="DT105" i="17"/>
  <c r="DU105" i="17" s="1"/>
  <c r="DV105" i="17"/>
  <c r="DV22" i="17"/>
  <c r="DT22" i="17"/>
  <c r="DP70" i="17"/>
  <c r="DR70" i="17"/>
  <c r="EF71" i="17"/>
  <c r="EG71" i="17" s="1"/>
  <c r="EJ71" i="17"/>
  <c r="DZ174" i="17"/>
  <c r="EB174" i="17" s="1"/>
  <c r="EC174" i="17" s="1"/>
  <c r="DX174" i="17"/>
  <c r="DT110" i="17"/>
  <c r="DU110" i="17" s="1"/>
  <c r="DV110" i="17"/>
  <c r="DT112" i="17"/>
  <c r="DU112" i="17" s="1"/>
  <c r="DV112" i="17"/>
  <c r="ED54" i="17"/>
  <c r="DP75" i="17"/>
  <c r="DR75" i="17"/>
  <c r="DT96" i="17"/>
  <c r="DU96" i="17" s="1"/>
  <c r="DV96" i="17"/>
  <c r="DT57" i="17"/>
  <c r="DV57" i="17"/>
  <c r="DZ102" i="17"/>
  <c r="EB102" i="17" s="1"/>
  <c r="EC102" i="17" s="1"/>
  <c r="DX102" i="17"/>
  <c r="DY102" i="17" s="1"/>
  <c r="DZ167" i="17"/>
  <c r="EB167" i="17" s="1"/>
  <c r="EC167" i="17" s="1"/>
  <c r="DX167" i="17"/>
  <c r="DY167" i="17" s="1"/>
  <c r="EI62" i="17"/>
  <c r="EE62" i="17"/>
  <c r="DY88" i="17"/>
  <c r="ED88" i="17"/>
  <c r="DZ63" i="17"/>
  <c r="EB63" i="17" s="1"/>
  <c r="EC63" i="17" s="1"/>
  <c r="DX63" i="17"/>
  <c r="ED69" i="17"/>
  <c r="DM161" i="17"/>
  <c r="DV111" i="17"/>
  <c r="DT111" i="17"/>
  <c r="DU111" i="17" s="1"/>
  <c r="ED47" i="17"/>
  <c r="DY146" i="17"/>
  <c r="ED146" i="17"/>
  <c r="DT33" i="17"/>
  <c r="DU33" i="17" s="1"/>
  <c r="DV33" i="17"/>
  <c r="DQ106" i="17"/>
  <c r="DY60" i="17"/>
  <c r="ED60" i="17"/>
  <c r="EJ139" i="17"/>
  <c r="EF139" i="17"/>
  <c r="EG139" i="17" s="1"/>
  <c r="EF48" i="17"/>
  <c r="EG48" i="17" s="1"/>
  <c r="EJ48" i="17"/>
  <c r="EI2" i="17"/>
  <c r="EE2" i="17"/>
  <c r="EF2" i="17" s="1"/>
  <c r="EG2" i="17" s="1"/>
  <c r="CV4" i="17"/>
  <c r="CW4" i="17" s="1"/>
  <c r="CV6" i="17"/>
  <c r="CW6" i="17" s="1"/>
  <c r="CV8" i="17"/>
  <c r="CW8" i="17" s="1"/>
  <c r="CV3" i="17"/>
  <c r="CW3" i="17" s="1"/>
  <c r="DX33" i="17" l="1"/>
  <c r="DY33" i="17" s="1"/>
  <c r="DZ33" i="17"/>
  <c r="EB33" i="17" s="1"/>
  <c r="EC33" i="17" s="1"/>
  <c r="EI47" i="17"/>
  <c r="EE47" i="17"/>
  <c r="EI88" i="17"/>
  <c r="EE88" i="17"/>
  <c r="DZ112" i="17"/>
  <c r="EB112" i="17" s="1"/>
  <c r="EC112" i="17" s="1"/>
  <c r="DX112" i="17"/>
  <c r="DY112" i="17" s="1"/>
  <c r="DY174" i="17"/>
  <c r="ED174" i="17"/>
  <c r="DV70" i="17"/>
  <c r="DT70" i="17"/>
  <c r="DU70" i="17" s="1"/>
  <c r="DX105" i="17"/>
  <c r="DY105" i="17" s="1"/>
  <c r="DZ105" i="17"/>
  <c r="EB105" i="17" s="1"/>
  <c r="EC105" i="17" s="1"/>
  <c r="DT173" i="17"/>
  <c r="DU173" i="17" s="1"/>
  <c r="DV173" i="17"/>
  <c r="EI151" i="17"/>
  <c r="EE151" i="17"/>
  <c r="DX42" i="17"/>
  <c r="DY42" i="17" s="1"/>
  <c r="DZ42" i="17"/>
  <c r="EB42" i="17" s="1"/>
  <c r="EC42" i="17" s="1"/>
  <c r="EI74" i="17"/>
  <c r="EE74" i="17"/>
  <c r="DX28" i="17"/>
  <c r="DY28" i="17" s="1"/>
  <c r="DZ28" i="17"/>
  <c r="EB28" i="17" s="1"/>
  <c r="EC28" i="17" s="1"/>
  <c r="DX82" i="17"/>
  <c r="DZ82" i="17"/>
  <c r="EB82" i="17" s="1"/>
  <c r="EC82" i="17" s="1"/>
  <c r="EE169" i="17"/>
  <c r="EI169" i="17"/>
  <c r="EI138" i="17"/>
  <c r="EE138" i="17"/>
  <c r="DX61" i="17"/>
  <c r="DY61" i="17" s="1"/>
  <c r="DZ61" i="17"/>
  <c r="EB61" i="17" s="1"/>
  <c r="EC61" i="17" s="1"/>
  <c r="DT12" i="17"/>
  <c r="DU12" i="17" s="1"/>
  <c r="DV12" i="17"/>
  <c r="ED42" i="17"/>
  <c r="DY64" i="17"/>
  <c r="ED64" i="17"/>
  <c r="EE160" i="17"/>
  <c r="EI160" i="17"/>
  <c r="DX41" i="17"/>
  <c r="DZ41" i="17"/>
  <c r="EB41" i="17" s="1"/>
  <c r="EC41" i="17" s="1"/>
  <c r="DZ39" i="17"/>
  <c r="EB39" i="17" s="1"/>
  <c r="EC39" i="17" s="1"/>
  <c r="DX39" i="17"/>
  <c r="DZ43" i="17"/>
  <c r="EB43" i="17" s="1"/>
  <c r="EC43" i="17" s="1"/>
  <c r="DX43" i="17"/>
  <c r="ED15" i="17"/>
  <c r="DU120" i="17"/>
  <c r="DX117" i="17"/>
  <c r="DZ117" i="17"/>
  <c r="EB117" i="17" s="1"/>
  <c r="EC117" i="17" s="1"/>
  <c r="DX130" i="17"/>
  <c r="DY130" i="17" s="1"/>
  <c r="DZ130" i="17"/>
  <c r="EB130" i="17" s="1"/>
  <c r="EC130" i="17" s="1"/>
  <c r="DU154" i="17"/>
  <c r="DU109" i="17"/>
  <c r="DU131" i="17"/>
  <c r="EI144" i="17"/>
  <c r="EE144" i="17"/>
  <c r="DY97" i="17"/>
  <c r="ED97" i="17"/>
  <c r="ED112" i="17"/>
  <c r="DX103" i="17"/>
  <c r="DZ103" i="17"/>
  <c r="EB103" i="17" s="1"/>
  <c r="EC103" i="17" s="1"/>
  <c r="EE77" i="17"/>
  <c r="EI77" i="17"/>
  <c r="DU29" i="17"/>
  <c r="EI69" i="17"/>
  <c r="EE69" i="17"/>
  <c r="DV75" i="17"/>
  <c r="DT75" i="17"/>
  <c r="DU75" i="17" s="1"/>
  <c r="DQ70" i="17"/>
  <c r="DZ53" i="17"/>
  <c r="EB53" i="17" s="1"/>
  <c r="EC53" i="17" s="1"/>
  <c r="DX53" i="17"/>
  <c r="DY53" i="17" s="1"/>
  <c r="DX126" i="17"/>
  <c r="DY126" i="17" s="1"/>
  <c r="DZ126" i="17"/>
  <c r="EB126" i="17" s="1"/>
  <c r="EC126" i="17" s="1"/>
  <c r="EI158" i="17"/>
  <c r="EE158" i="17"/>
  <c r="ED162" i="17"/>
  <c r="EI56" i="17"/>
  <c r="EE56" i="17"/>
  <c r="DX34" i="17"/>
  <c r="DY34" i="17" s="1"/>
  <c r="DZ34" i="17"/>
  <c r="EB34" i="17" s="1"/>
  <c r="EC34" i="17" s="1"/>
  <c r="DU28" i="17"/>
  <c r="ED28" i="17"/>
  <c r="DX145" i="17"/>
  <c r="DY145" i="17" s="1"/>
  <c r="DZ145" i="17"/>
  <c r="EB145" i="17" s="1"/>
  <c r="EC145" i="17" s="1"/>
  <c r="DU61" i="17"/>
  <c r="ED61" i="17"/>
  <c r="EE137" i="17"/>
  <c r="EI137" i="17"/>
  <c r="DY165" i="17"/>
  <c r="ED165" i="17"/>
  <c r="DX91" i="17"/>
  <c r="DZ91" i="17"/>
  <c r="EB91" i="17" s="1"/>
  <c r="EC91" i="17" s="1"/>
  <c r="ED34" i="17"/>
  <c r="DU104" i="17"/>
  <c r="DZ40" i="17"/>
  <c r="EB40" i="17" s="1"/>
  <c r="EC40" i="17" s="1"/>
  <c r="DX40" i="17"/>
  <c r="DY40" i="17" s="1"/>
  <c r="EI141" i="17"/>
  <c r="EE141" i="17"/>
  <c r="DZ46" i="17"/>
  <c r="EB46" i="17" s="1"/>
  <c r="EC46" i="17" s="1"/>
  <c r="DX46" i="17"/>
  <c r="DX118" i="17"/>
  <c r="DY118" i="17" s="1"/>
  <c r="DZ118" i="17"/>
  <c r="EB118" i="17" s="1"/>
  <c r="EC118" i="17" s="1"/>
  <c r="DX120" i="17"/>
  <c r="DY120" i="17" s="1"/>
  <c r="DZ120" i="17"/>
  <c r="EB120" i="17" s="1"/>
  <c r="EC120" i="17" s="1"/>
  <c r="DX125" i="17"/>
  <c r="DZ125" i="17"/>
  <c r="EB125" i="17" s="1"/>
  <c r="EC125" i="17" s="1"/>
  <c r="DX113" i="17"/>
  <c r="DZ113" i="17"/>
  <c r="EB113" i="17" s="1"/>
  <c r="EC113" i="17" s="1"/>
  <c r="DV166" i="17"/>
  <c r="DT166" i="17"/>
  <c r="DU130" i="17"/>
  <c r="ED130" i="17"/>
  <c r="DX106" i="17"/>
  <c r="DZ106" i="17"/>
  <c r="EB106" i="17" s="1"/>
  <c r="EC106" i="17" s="1"/>
  <c r="DX154" i="17"/>
  <c r="DY154" i="17" s="1"/>
  <c r="DZ154" i="17"/>
  <c r="EB154" i="17" s="1"/>
  <c r="EC154" i="17" s="1"/>
  <c r="DX109" i="17"/>
  <c r="DY109" i="17" s="1"/>
  <c r="DZ109" i="17"/>
  <c r="EB109" i="17" s="1"/>
  <c r="EC109" i="17" s="1"/>
  <c r="DZ131" i="17"/>
  <c r="EB131" i="17" s="1"/>
  <c r="EC131" i="17" s="1"/>
  <c r="DX131" i="17"/>
  <c r="DY131" i="17" s="1"/>
  <c r="DZ29" i="17"/>
  <c r="EB29" i="17" s="1"/>
  <c r="EC29" i="17" s="1"/>
  <c r="DX29" i="17"/>
  <c r="DY29" i="17" s="1"/>
  <c r="EF50" i="17"/>
  <c r="EG50" i="17" s="1"/>
  <c r="EJ50" i="17"/>
  <c r="EE60" i="17"/>
  <c r="EI60" i="17"/>
  <c r="DZ57" i="17"/>
  <c r="EB57" i="17" s="1"/>
  <c r="EC57" i="17" s="1"/>
  <c r="DX57" i="17"/>
  <c r="DY57" i="17" s="1"/>
  <c r="EI146" i="17"/>
  <c r="EE146" i="17"/>
  <c r="DZ111" i="17"/>
  <c r="EB111" i="17" s="1"/>
  <c r="EC111" i="17" s="1"/>
  <c r="DX111" i="17"/>
  <c r="DY111" i="17" s="1"/>
  <c r="DY63" i="17"/>
  <c r="ED63" i="17"/>
  <c r="EF62" i="17"/>
  <c r="EG62" i="17" s="1"/>
  <c r="EJ62" i="17"/>
  <c r="DU57" i="17"/>
  <c r="DQ75" i="17"/>
  <c r="DX110" i="17"/>
  <c r="DY110" i="17" s="1"/>
  <c r="DZ110" i="17"/>
  <c r="EB110" i="17" s="1"/>
  <c r="EC110" i="17" s="1"/>
  <c r="DU22" i="17"/>
  <c r="DY49" i="17"/>
  <c r="ED49" i="17"/>
  <c r="EE11" i="17"/>
  <c r="EI11" i="17"/>
  <c r="EI140" i="17"/>
  <c r="EE140" i="17"/>
  <c r="DU53" i="17"/>
  <c r="ED53" i="17"/>
  <c r="DU116" i="17"/>
  <c r="DU20" i="17"/>
  <c r="EE133" i="17"/>
  <c r="EI133" i="17"/>
  <c r="DV161" i="17"/>
  <c r="DT161" i="17"/>
  <c r="ED102" i="17"/>
  <c r="DT14" i="17"/>
  <c r="DU14" i="17" s="1"/>
  <c r="DV14" i="17"/>
  <c r="DX26" i="17"/>
  <c r="DY26" i="17" s="1"/>
  <c r="DZ26" i="17"/>
  <c r="EB26" i="17" s="1"/>
  <c r="EC26" i="17" s="1"/>
  <c r="DX21" i="17"/>
  <c r="DZ21" i="17"/>
  <c r="EB21" i="17" s="1"/>
  <c r="EC21" i="17" s="1"/>
  <c r="DX89" i="17"/>
  <c r="DZ89" i="17"/>
  <c r="EB89" i="17" s="1"/>
  <c r="EC89" i="17" s="1"/>
  <c r="EI148" i="17"/>
  <c r="EE148" i="17"/>
  <c r="DX159" i="17"/>
  <c r="DY159" i="17" s="1"/>
  <c r="DZ159" i="17"/>
  <c r="EB159" i="17" s="1"/>
  <c r="EC159" i="17" s="1"/>
  <c r="EF81" i="17"/>
  <c r="EG81" i="17" s="1"/>
  <c r="EJ81" i="17"/>
  <c r="EE172" i="17"/>
  <c r="EI172" i="17"/>
  <c r="DU132" i="17"/>
  <c r="DX104" i="17"/>
  <c r="DY104" i="17" s="1"/>
  <c r="DZ104" i="17"/>
  <c r="EB104" i="17" s="1"/>
  <c r="EC104" i="17" s="1"/>
  <c r="DU40" i="17"/>
  <c r="ED40" i="17"/>
  <c r="EI127" i="17"/>
  <c r="EE127" i="17"/>
  <c r="ED27" i="17"/>
  <c r="EJ155" i="17"/>
  <c r="EF155" i="17"/>
  <c r="EG155" i="17" s="1"/>
  <c r="ED99" i="17"/>
  <c r="DU36" i="17"/>
  <c r="ED13" i="17"/>
  <c r="DX84" i="17"/>
  <c r="DZ84" i="17"/>
  <c r="EB84" i="17" s="1"/>
  <c r="EC84" i="17" s="1"/>
  <c r="ED33" i="17"/>
  <c r="ED111" i="17"/>
  <c r="EI153" i="17"/>
  <c r="EE153" i="17"/>
  <c r="DZ55" i="17"/>
  <c r="EB55" i="17" s="1"/>
  <c r="EC55" i="17" s="1"/>
  <c r="DX55" i="17"/>
  <c r="DY55" i="17" s="1"/>
  <c r="ED167" i="17"/>
  <c r="DU32" i="17"/>
  <c r="ED110" i="17"/>
  <c r="DU147" i="17"/>
  <c r="DX35" i="17"/>
  <c r="DZ35" i="17"/>
  <c r="EB35" i="17" s="1"/>
  <c r="EC35" i="17" s="1"/>
  <c r="ED126" i="17"/>
  <c r="DX119" i="17"/>
  <c r="DZ119" i="17"/>
  <c r="EB119" i="17" s="1"/>
  <c r="EC119" i="17" s="1"/>
  <c r="DZ124" i="17"/>
  <c r="EB124" i="17" s="1"/>
  <c r="EC124" i="17" s="1"/>
  <c r="DX124" i="17"/>
  <c r="DY124" i="17" s="1"/>
  <c r="DX96" i="17"/>
  <c r="DY96" i="17" s="1"/>
  <c r="DZ96" i="17"/>
  <c r="EB96" i="17" s="1"/>
  <c r="EC96" i="17" s="1"/>
  <c r="EI54" i="17"/>
  <c r="EE54" i="17"/>
  <c r="DZ22" i="17"/>
  <c r="EB22" i="17" s="1"/>
  <c r="EC22" i="17" s="1"/>
  <c r="DX22" i="17"/>
  <c r="DY22" i="17" s="1"/>
  <c r="EI83" i="17"/>
  <c r="EE83" i="17"/>
  <c r="DQ173" i="17"/>
  <c r="DX116" i="17"/>
  <c r="DY116" i="17" s="1"/>
  <c r="DZ116" i="17"/>
  <c r="EB116" i="17" s="1"/>
  <c r="EC116" i="17" s="1"/>
  <c r="DX20" i="17"/>
  <c r="DY20" i="17" s="1"/>
  <c r="DZ20" i="17"/>
  <c r="EB20" i="17" s="1"/>
  <c r="EC20" i="17" s="1"/>
  <c r="DX98" i="17"/>
  <c r="DY98" i="17" s="1"/>
  <c r="DZ98" i="17"/>
  <c r="EB98" i="17" s="1"/>
  <c r="EC98" i="17" s="1"/>
  <c r="EI67" i="17"/>
  <c r="EE67" i="17"/>
  <c r="DU26" i="17"/>
  <c r="ED26" i="17"/>
  <c r="DU159" i="17"/>
  <c r="ED159" i="17"/>
  <c r="DX132" i="17"/>
  <c r="DY132" i="17" s="1"/>
  <c r="DZ132" i="17"/>
  <c r="EB132" i="17" s="1"/>
  <c r="EC132" i="17" s="1"/>
  <c r="ED90" i="17"/>
  <c r="ED145" i="17"/>
  <c r="DZ19" i="17"/>
  <c r="EB19" i="17" s="1"/>
  <c r="EC19" i="17" s="1"/>
  <c r="DX19" i="17"/>
  <c r="DZ123" i="17"/>
  <c r="EB123" i="17" s="1"/>
  <c r="EC123" i="17" s="1"/>
  <c r="DX123" i="17"/>
  <c r="DX25" i="17"/>
  <c r="DZ25" i="17"/>
  <c r="EB25" i="17" s="1"/>
  <c r="EC25" i="17" s="1"/>
  <c r="EJ134" i="17"/>
  <c r="EF134" i="17"/>
  <c r="EG134" i="17" s="1"/>
  <c r="DV168" i="17"/>
  <c r="DT168" i="17"/>
  <c r="DU168" i="17" s="1"/>
  <c r="DX36" i="17"/>
  <c r="DY36" i="17" s="1"/>
  <c r="DZ36" i="17"/>
  <c r="EB36" i="17" s="1"/>
  <c r="EC36" i="17" s="1"/>
  <c r="DU55" i="17"/>
  <c r="ED55" i="17"/>
  <c r="DX32" i="17"/>
  <c r="DY32" i="17" s="1"/>
  <c r="DZ32" i="17"/>
  <c r="EB32" i="17" s="1"/>
  <c r="EC32" i="17" s="1"/>
  <c r="DX147" i="17"/>
  <c r="DY147" i="17" s="1"/>
  <c r="DZ147" i="17"/>
  <c r="EB147" i="17" s="1"/>
  <c r="EC147" i="17" s="1"/>
  <c r="DX152" i="17"/>
  <c r="DZ152" i="17"/>
  <c r="EB152" i="17" s="1"/>
  <c r="EC152" i="17" s="1"/>
  <c r="EJ2" i="17"/>
  <c r="EI145" i="17" l="1"/>
  <c r="EE145" i="17"/>
  <c r="DY19" i="17"/>
  <c r="ED19" i="17"/>
  <c r="EI26" i="17"/>
  <c r="EE26" i="17"/>
  <c r="EF83" i="17"/>
  <c r="EG83" i="17" s="1"/>
  <c r="EJ83" i="17"/>
  <c r="EF54" i="17"/>
  <c r="EG54" i="17" s="1"/>
  <c r="EJ54" i="17"/>
  <c r="DY35" i="17"/>
  <c r="ED35" i="17"/>
  <c r="ED96" i="17"/>
  <c r="EI111" i="17"/>
  <c r="EE111" i="17"/>
  <c r="EE13" i="17"/>
  <c r="EI13" i="17"/>
  <c r="EE102" i="17"/>
  <c r="EI102" i="17"/>
  <c r="EJ133" i="17"/>
  <c r="EF133" i="17"/>
  <c r="EG133" i="17" s="1"/>
  <c r="EF60" i="17"/>
  <c r="EG60" i="17" s="1"/>
  <c r="EJ60" i="17"/>
  <c r="DY106" i="17"/>
  <c r="ED106" i="17"/>
  <c r="DX166" i="17"/>
  <c r="DY166" i="17" s="1"/>
  <c r="DZ166" i="17"/>
  <c r="EB166" i="17" s="1"/>
  <c r="EC166" i="17" s="1"/>
  <c r="DY125" i="17"/>
  <c r="ED125" i="17"/>
  <c r="DY91" i="17"/>
  <c r="ED91" i="17"/>
  <c r="EJ137" i="17"/>
  <c r="EF137" i="17"/>
  <c r="EG137" i="17" s="1"/>
  <c r="EJ158" i="17"/>
  <c r="EF158" i="17"/>
  <c r="EG158" i="17" s="1"/>
  <c r="ED29" i="17"/>
  <c r="EJ77" i="17"/>
  <c r="EF77" i="17"/>
  <c r="EG77" i="17" s="1"/>
  <c r="EE97" i="17"/>
  <c r="EI97" i="17"/>
  <c r="ED131" i="17"/>
  <c r="ED154" i="17"/>
  <c r="DY39" i="17"/>
  <c r="ED39" i="17"/>
  <c r="EI42" i="17"/>
  <c r="EE42" i="17"/>
  <c r="EJ169" i="17"/>
  <c r="EF169" i="17"/>
  <c r="EG169" i="17" s="1"/>
  <c r="DX173" i="17"/>
  <c r="DZ173" i="17"/>
  <c r="EB173" i="17" s="1"/>
  <c r="EC173" i="17" s="1"/>
  <c r="EJ47" i="17"/>
  <c r="EF47" i="17"/>
  <c r="EG47" i="17" s="1"/>
  <c r="DY123" i="17"/>
  <c r="ED123" i="17"/>
  <c r="EI55" i="17"/>
  <c r="EE55" i="17"/>
  <c r="DX168" i="17"/>
  <c r="DY168" i="17" s="1"/>
  <c r="DZ168" i="17"/>
  <c r="EB168" i="17" s="1"/>
  <c r="EC168" i="17" s="1"/>
  <c r="DY25" i="17"/>
  <c r="ED25" i="17"/>
  <c r="DY119" i="17"/>
  <c r="ED119" i="17"/>
  <c r="ED147" i="17"/>
  <c r="ED32" i="17"/>
  <c r="EI33" i="17"/>
  <c r="EE33" i="17"/>
  <c r="ED36" i="17"/>
  <c r="EI40" i="17"/>
  <c r="EE40" i="17"/>
  <c r="ED98" i="17"/>
  <c r="EJ172" i="17"/>
  <c r="EF172" i="17"/>
  <c r="EG172" i="17" s="1"/>
  <c r="DY89" i="17"/>
  <c r="ED89" i="17"/>
  <c r="DU161" i="17"/>
  <c r="ED20" i="17"/>
  <c r="EI53" i="17"/>
  <c r="EE53" i="17"/>
  <c r="ED22" i="17"/>
  <c r="EI130" i="17"/>
  <c r="EE130" i="17"/>
  <c r="DY46" i="17"/>
  <c r="ED46" i="17"/>
  <c r="EI165" i="17"/>
  <c r="EE165" i="17"/>
  <c r="EI61" i="17"/>
  <c r="EE61" i="17"/>
  <c r="EI28" i="17"/>
  <c r="EE28" i="17"/>
  <c r="EF56" i="17"/>
  <c r="EG56" i="17" s="1"/>
  <c r="EJ56" i="17"/>
  <c r="DZ75" i="17"/>
  <c r="EB75" i="17" s="1"/>
  <c r="EC75" i="17" s="1"/>
  <c r="DX75" i="17"/>
  <c r="EE15" i="17"/>
  <c r="EI15" i="17"/>
  <c r="EJ160" i="17"/>
  <c r="EF160" i="17"/>
  <c r="EG160" i="17" s="1"/>
  <c r="DZ12" i="17"/>
  <c r="EB12" i="17" s="1"/>
  <c r="EC12" i="17" s="1"/>
  <c r="DX12" i="17"/>
  <c r="EF138" i="17"/>
  <c r="EG138" i="17" s="1"/>
  <c r="EJ138" i="17"/>
  <c r="ED105" i="17"/>
  <c r="DZ70" i="17"/>
  <c r="EB70" i="17" s="1"/>
  <c r="EC70" i="17" s="1"/>
  <c r="DX70" i="17"/>
  <c r="EI159" i="17"/>
  <c r="EE159" i="17"/>
  <c r="EJ67" i="17"/>
  <c r="EF67" i="17"/>
  <c r="EG67" i="17" s="1"/>
  <c r="EI126" i="17"/>
  <c r="EE126" i="17"/>
  <c r="EJ153" i="17"/>
  <c r="EF153" i="17"/>
  <c r="EG153" i="17" s="1"/>
  <c r="EE27" i="17"/>
  <c r="EI27" i="17"/>
  <c r="ED132" i="17"/>
  <c r="EJ148" i="17"/>
  <c r="EF148" i="17"/>
  <c r="EG148" i="17" s="1"/>
  <c r="DZ14" i="17"/>
  <c r="EB14" i="17" s="1"/>
  <c r="EC14" i="17" s="1"/>
  <c r="DX14" i="17"/>
  <c r="DY14" i="17" s="1"/>
  <c r="DX161" i="17"/>
  <c r="DY161" i="17" s="1"/>
  <c r="DZ161" i="17"/>
  <c r="EB161" i="17" s="1"/>
  <c r="EC161" i="17" s="1"/>
  <c r="EJ11" i="17"/>
  <c r="EF11" i="17"/>
  <c r="EG11" i="17" s="1"/>
  <c r="DY113" i="17"/>
  <c r="ED113" i="17"/>
  <c r="EI34" i="17"/>
  <c r="EE34" i="17"/>
  <c r="EF69" i="17"/>
  <c r="EG69" i="17" s="1"/>
  <c r="EJ69" i="17"/>
  <c r="ED118" i="17"/>
  <c r="DY103" i="17"/>
  <c r="ED103" i="17"/>
  <c r="EJ144" i="17"/>
  <c r="EF144" i="17"/>
  <c r="EG144" i="17" s="1"/>
  <c r="ED109" i="17"/>
  <c r="DY117" i="17"/>
  <c r="ED117" i="17"/>
  <c r="DY43" i="17"/>
  <c r="ED43" i="17"/>
  <c r="EI64" i="17"/>
  <c r="EE64" i="17"/>
  <c r="DY82" i="17"/>
  <c r="ED82" i="17"/>
  <c r="EF74" i="17"/>
  <c r="EG74" i="17" s="1"/>
  <c r="EJ74" i="17"/>
  <c r="EJ151" i="17"/>
  <c r="EF151" i="17"/>
  <c r="EG151" i="17" s="1"/>
  <c r="EE174" i="17"/>
  <c r="EI174" i="17"/>
  <c r="EF88" i="17"/>
  <c r="EG88" i="17" s="1"/>
  <c r="EJ88" i="17"/>
  <c r="DY152" i="17"/>
  <c r="ED152" i="17"/>
  <c r="EI90" i="17"/>
  <c r="EE90" i="17"/>
  <c r="ED124" i="17"/>
  <c r="EI110" i="17"/>
  <c r="EE110" i="17"/>
  <c r="EE167" i="17"/>
  <c r="EI167" i="17"/>
  <c r="DY84" i="17"/>
  <c r="ED84" i="17"/>
  <c r="EE99" i="17"/>
  <c r="EI99" i="17"/>
  <c r="EF127" i="17"/>
  <c r="EG127" i="17" s="1"/>
  <c r="EJ127" i="17"/>
  <c r="DY21" i="17"/>
  <c r="ED21" i="17"/>
  <c r="ED116" i="17"/>
  <c r="EF140" i="17"/>
  <c r="EG140" i="17" s="1"/>
  <c r="EJ140" i="17"/>
  <c r="EI49" i="17"/>
  <c r="EE49" i="17"/>
  <c r="ED57" i="17"/>
  <c r="EE63" i="17"/>
  <c r="EI63" i="17"/>
  <c r="EJ146" i="17"/>
  <c r="EF146" i="17"/>
  <c r="EG146" i="17" s="1"/>
  <c r="DU166" i="17"/>
  <c r="ED166" i="17"/>
  <c r="EF141" i="17"/>
  <c r="EG141" i="17" s="1"/>
  <c r="EJ141" i="17"/>
  <c r="ED104" i="17"/>
  <c r="EI162" i="17"/>
  <c r="EE162" i="17"/>
  <c r="EI112" i="17"/>
  <c r="EE112" i="17"/>
  <c r="ED120" i="17"/>
  <c r="DY41" i="17"/>
  <c r="ED41" i="17"/>
  <c r="BY4" i="17"/>
  <c r="BZ4" i="17" s="1"/>
  <c r="BY5" i="17"/>
  <c r="BZ5" i="17" s="1"/>
  <c r="BY6" i="17"/>
  <c r="BZ6" i="17" s="1"/>
  <c r="BY7" i="17"/>
  <c r="BZ7" i="17" s="1"/>
  <c r="BY8" i="17"/>
  <c r="BZ8" i="17" s="1"/>
  <c r="BY3" i="17"/>
  <c r="BZ3" i="17" s="1"/>
  <c r="BU4" i="17"/>
  <c r="BV4" i="17" s="1"/>
  <c r="BU5" i="17"/>
  <c r="BV5" i="17" s="1"/>
  <c r="BU6" i="17"/>
  <c r="BV6" i="17" s="1"/>
  <c r="BU7" i="17"/>
  <c r="BV7" i="17" s="1"/>
  <c r="BU8" i="17"/>
  <c r="BV8" i="17" s="1"/>
  <c r="BU3" i="17"/>
  <c r="BV3" i="17" s="1"/>
  <c r="CC4" i="17"/>
  <c r="CD4" i="17" s="1"/>
  <c r="CC5" i="17"/>
  <c r="CD5" i="17" s="1"/>
  <c r="CC6" i="17"/>
  <c r="CD6" i="17" s="1"/>
  <c r="CC7" i="17"/>
  <c r="CD7" i="17" s="1"/>
  <c r="CC8" i="17"/>
  <c r="CD8" i="17" s="1"/>
  <c r="CC3" i="17"/>
  <c r="CD3" i="17" s="1"/>
  <c r="CK4" i="17"/>
  <c r="CL4" i="17" s="1"/>
  <c r="CK5" i="17"/>
  <c r="CL5" i="17" s="1"/>
  <c r="CK6" i="17"/>
  <c r="CL6" i="17" s="1"/>
  <c r="CK7" i="17"/>
  <c r="CL7" i="17" s="1"/>
  <c r="CK8" i="17"/>
  <c r="CL8" i="17" s="1"/>
  <c r="CK3" i="17"/>
  <c r="CL3" i="17" s="1"/>
  <c r="DT1" i="17"/>
  <c r="CG4" i="17"/>
  <c r="CH4" i="17" s="1"/>
  <c r="CG5" i="17"/>
  <c r="CH5" i="17" s="1"/>
  <c r="CG6" i="17"/>
  <c r="CH6" i="17" s="1"/>
  <c r="CG7" i="17"/>
  <c r="CH7" i="17" s="1"/>
  <c r="CG8" i="17"/>
  <c r="CH8" i="17" s="1"/>
  <c r="CG3" i="17"/>
  <c r="CH3" i="17" s="1"/>
  <c r="BQ5" i="17"/>
  <c r="BR5" i="17" s="1"/>
  <c r="BQ6" i="17"/>
  <c r="BR6" i="17" s="1"/>
  <c r="BQ7" i="17"/>
  <c r="BR7" i="17" s="1"/>
  <c r="BQ8" i="17"/>
  <c r="BR8" i="17" s="1"/>
  <c r="BQ4" i="17"/>
  <c r="BR4" i="17" s="1"/>
  <c r="BQ3" i="17"/>
  <c r="BR3" i="17" s="1"/>
  <c r="CP4" i="17"/>
  <c r="CR4" i="17" s="1"/>
  <c r="CS4" i="17" s="1"/>
  <c r="CR5" i="17"/>
  <c r="CS5" i="17" s="1"/>
  <c r="CP6" i="17"/>
  <c r="CR6" i="17" s="1"/>
  <c r="CS6" i="17" s="1"/>
  <c r="CR7" i="17"/>
  <c r="CS7" i="17" s="1"/>
  <c r="CP8" i="17"/>
  <c r="CR8" i="17" s="1"/>
  <c r="CS8" i="17" s="1"/>
  <c r="CP3" i="17"/>
  <c r="CR3" i="17" s="1"/>
  <c r="CS3" i="17" s="1"/>
  <c r="BO1" i="17"/>
  <c r="EJ64" i="17" l="1"/>
  <c r="EF64" i="17"/>
  <c r="EG64" i="17" s="1"/>
  <c r="EJ27" i="17"/>
  <c r="EF27" i="17"/>
  <c r="EG27" i="17" s="1"/>
  <c r="DY75" i="17"/>
  <c r="ED75" i="17"/>
  <c r="EJ28" i="17"/>
  <c r="EF28" i="17"/>
  <c r="EG28" i="17" s="1"/>
  <c r="EJ165" i="17"/>
  <c r="EF165" i="17"/>
  <c r="EG165" i="17" s="1"/>
  <c r="EJ53" i="17"/>
  <c r="EF53" i="17"/>
  <c r="EG53" i="17" s="1"/>
  <c r="EI36" i="17"/>
  <c r="EE36" i="17"/>
  <c r="EI147" i="17"/>
  <c r="EE147" i="17"/>
  <c r="EJ97" i="17"/>
  <c r="EF97" i="17"/>
  <c r="EG97" i="17" s="1"/>
  <c r="EI91" i="17"/>
  <c r="EE91" i="17"/>
  <c r="EF111" i="17"/>
  <c r="EG111" i="17" s="1"/>
  <c r="EJ111" i="17"/>
  <c r="EI19" i="17"/>
  <c r="EE19" i="17"/>
  <c r="EJ162" i="17"/>
  <c r="EF162" i="17"/>
  <c r="EG162" i="17" s="1"/>
  <c r="EI120" i="17"/>
  <c r="EE120" i="17"/>
  <c r="EI124" i="17"/>
  <c r="EE124" i="17"/>
  <c r="DY70" i="17"/>
  <c r="ED70" i="17"/>
  <c r="EJ130" i="17"/>
  <c r="EF130" i="17"/>
  <c r="EG130" i="17" s="1"/>
  <c r="EI89" i="17"/>
  <c r="EE89" i="17"/>
  <c r="EI98" i="17"/>
  <c r="EE98" i="17"/>
  <c r="EF33" i="17"/>
  <c r="EG33" i="17" s="1"/>
  <c r="EJ33" i="17"/>
  <c r="EI119" i="17"/>
  <c r="EE119" i="17"/>
  <c r="EI123" i="17"/>
  <c r="EE123" i="17"/>
  <c r="EF42" i="17"/>
  <c r="EG42" i="17" s="1"/>
  <c r="EJ42" i="17"/>
  <c r="EI154" i="17"/>
  <c r="EE154" i="17"/>
  <c r="EJ102" i="17"/>
  <c r="EF102" i="17"/>
  <c r="EG102" i="17" s="1"/>
  <c r="ED168" i="17"/>
  <c r="EJ49" i="17"/>
  <c r="EF49" i="17"/>
  <c r="EG49" i="17" s="1"/>
  <c r="EI152" i="17"/>
  <c r="EE152" i="17"/>
  <c r="EI113" i="17"/>
  <c r="EE113" i="17"/>
  <c r="EI21" i="17"/>
  <c r="EE21" i="17"/>
  <c r="EJ174" i="17"/>
  <c r="EF174" i="17"/>
  <c r="EG174" i="17" s="1"/>
  <c r="EF112" i="17"/>
  <c r="EG112" i="17" s="1"/>
  <c r="EJ112" i="17"/>
  <c r="EI104" i="17"/>
  <c r="EE104" i="17"/>
  <c r="EJ63" i="17"/>
  <c r="EF63" i="17"/>
  <c r="EG63" i="17" s="1"/>
  <c r="EJ99" i="17"/>
  <c r="EF99" i="17"/>
  <c r="EG99" i="17" s="1"/>
  <c r="EJ167" i="17"/>
  <c r="EF167" i="17"/>
  <c r="EG167" i="17" s="1"/>
  <c r="EF90" i="17"/>
  <c r="EG90" i="17" s="1"/>
  <c r="EJ90" i="17"/>
  <c r="EI82" i="17"/>
  <c r="EE82" i="17"/>
  <c r="EI43" i="17"/>
  <c r="EE43" i="17"/>
  <c r="EI109" i="17"/>
  <c r="EE109" i="17"/>
  <c r="EF34" i="17"/>
  <c r="EG34" i="17" s="1"/>
  <c r="EJ34" i="17"/>
  <c r="EE132" i="17"/>
  <c r="EI132" i="17"/>
  <c r="DY12" i="17"/>
  <c r="ED12" i="17"/>
  <c r="EF61" i="17"/>
  <c r="EG61" i="17" s="1"/>
  <c r="EJ61" i="17"/>
  <c r="ED14" i="17"/>
  <c r="EI20" i="17"/>
  <c r="EE20" i="17"/>
  <c r="EF40" i="17"/>
  <c r="EG40" i="17" s="1"/>
  <c r="EJ40" i="17"/>
  <c r="DY173" i="17"/>
  <c r="ED173" i="17"/>
  <c r="EE131" i="17"/>
  <c r="EI131" i="17"/>
  <c r="EI125" i="17"/>
  <c r="EE125" i="17"/>
  <c r="EI106" i="17"/>
  <c r="EE106" i="17"/>
  <c r="EI96" i="17"/>
  <c r="EE96" i="17"/>
  <c r="EF26" i="17"/>
  <c r="EG26" i="17" s="1"/>
  <c r="EJ26" i="17"/>
  <c r="EF145" i="17"/>
  <c r="EG145" i="17" s="1"/>
  <c r="EJ145" i="17"/>
  <c r="EI116" i="17"/>
  <c r="EE116" i="17"/>
  <c r="EI117" i="17"/>
  <c r="EE117" i="17"/>
  <c r="EE166" i="17"/>
  <c r="EI166" i="17"/>
  <c r="EI103" i="17"/>
  <c r="EE103" i="17"/>
  <c r="EI41" i="17"/>
  <c r="EE41" i="17"/>
  <c r="EE57" i="17"/>
  <c r="EI57" i="17"/>
  <c r="EI84" i="17"/>
  <c r="EE84" i="17"/>
  <c r="EF110" i="17"/>
  <c r="EG110" i="17" s="1"/>
  <c r="EJ110" i="17"/>
  <c r="EI118" i="17"/>
  <c r="EE118" i="17"/>
  <c r="EF126" i="17"/>
  <c r="EG126" i="17" s="1"/>
  <c r="EJ126" i="17"/>
  <c r="EJ159" i="17"/>
  <c r="EF159" i="17"/>
  <c r="EG159" i="17" s="1"/>
  <c r="EI105" i="17"/>
  <c r="EE105" i="17"/>
  <c r="EJ15" i="17"/>
  <c r="EF15" i="17"/>
  <c r="EG15" i="17" s="1"/>
  <c r="EE46" i="17"/>
  <c r="EI46" i="17"/>
  <c r="EI22" i="17"/>
  <c r="EE22" i="17"/>
  <c r="ED161" i="17"/>
  <c r="EI32" i="17"/>
  <c r="EE32" i="17"/>
  <c r="EI25" i="17"/>
  <c r="EE25" i="17"/>
  <c r="EJ55" i="17"/>
  <c r="EF55" i="17"/>
  <c r="EG55" i="17" s="1"/>
  <c r="EI39" i="17"/>
  <c r="EE39" i="17"/>
  <c r="EE29" i="17"/>
  <c r="EI29" i="17"/>
  <c r="EJ13" i="17"/>
  <c r="EF13" i="17"/>
  <c r="EG13" i="17" s="1"/>
  <c r="EI35" i="17"/>
  <c r="EE35" i="17"/>
  <c r="CX7" i="17"/>
  <c r="CZ7" i="17" s="1"/>
  <c r="DA7" i="17" s="1"/>
  <c r="CV7" i="17"/>
  <c r="CW7" i="17" s="1"/>
  <c r="CX5" i="17"/>
  <c r="DB5" i="17" s="1"/>
  <c r="CV5" i="17"/>
  <c r="CW5" i="17" s="1"/>
  <c r="CZ3" i="17"/>
  <c r="DA3" i="17" s="1"/>
  <c r="CZ8" i="17"/>
  <c r="DA8" i="17" s="1"/>
  <c r="DB8" i="17"/>
  <c r="CZ4" i="17"/>
  <c r="DA4" i="17" s="1"/>
  <c r="DB4" i="17"/>
  <c r="CZ6" i="17"/>
  <c r="DA6" i="17" s="1"/>
  <c r="DB6" i="17"/>
  <c r="EE161" i="17" l="1"/>
  <c r="EI161" i="17"/>
  <c r="EF46" i="17"/>
  <c r="EG46" i="17" s="1"/>
  <c r="EJ46" i="17"/>
  <c r="EJ57" i="17"/>
  <c r="EF57" i="17"/>
  <c r="EG57" i="17" s="1"/>
  <c r="EE12" i="17"/>
  <c r="EI12" i="17"/>
  <c r="EF43" i="17"/>
  <c r="EG43" i="17" s="1"/>
  <c r="EJ43" i="17"/>
  <c r="EF22" i="17"/>
  <c r="EG22" i="17" s="1"/>
  <c r="EJ22" i="17"/>
  <c r="EF118" i="17"/>
  <c r="EG118" i="17" s="1"/>
  <c r="EJ118" i="17"/>
  <c r="EJ84" i="17"/>
  <c r="EF84" i="17"/>
  <c r="EG84" i="17" s="1"/>
  <c r="EF41" i="17"/>
  <c r="EG41" i="17" s="1"/>
  <c r="EJ41" i="17"/>
  <c r="EF116" i="17"/>
  <c r="EG116" i="17" s="1"/>
  <c r="EJ116" i="17"/>
  <c r="EF106" i="17"/>
  <c r="EG106" i="17" s="1"/>
  <c r="EJ106" i="17"/>
  <c r="EE14" i="17"/>
  <c r="EI14" i="17"/>
  <c r="EF154" i="17"/>
  <c r="EG154" i="17" s="1"/>
  <c r="EJ154" i="17"/>
  <c r="EF123" i="17"/>
  <c r="EG123" i="17" s="1"/>
  <c r="EJ123" i="17"/>
  <c r="EJ89" i="17"/>
  <c r="EF89" i="17"/>
  <c r="EG89" i="17" s="1"/>
  <c r="EE70" i="17"/>
  <c r="EI70" i="17"/>
  <c r="EF120" i="17"/>
  <c r="EG120" i="17" s="1"/>
  <c r="EJ120" i="17"/>
  <c r="EF19" i="17"/>
  <c r="EG19" i="17" s="1"/>
  <c r="EJ19" i="17"/>
  <c r="EJ91" i="17"/>
  <c r="EF91" i="17"/>
  <c r="EG91" i="17" s="1"/>
  <c r="EF147" i="17"/>
  <c r="EG147" i="17" s="1"/>
  <c r="EJ147" i="17"/>
  <c r="EF39" i="17"/>
  <c r="EG39" i="17" s="1"/>
  <c r="EJ39" i="17"/>
  <c r="EF25" i="17"/>
  <c r="EG25" i="17" s="1"/>
  <c r="EJ25" i="17"/>
  <c r="EF35" i="17"/>
  <c r="EG35" i="17" s="1"/>
  <c r="EJ35" i="17"/>
  <c r="EF131" i="17"/>
  <c r="EG131" i="17" s="1"/>
  <c r="EJ131" i="17"/>
  <c r="EF109" i="17"/>
  <c r="EG109" i="17" s="1"/>
  <c r="EJ109" i="17"/>
  <c r="EJ82" i="17"/>
  <c r="EF82" i="17"/>
  <c r="EG82" i="17" s="1"/>
  <c r="EF21" i="17"/>
  <c r="EG21" i="17" s="1"/>
  <c r="EJ21" i="17"/>
  <c r="EF152" i="17"/>
  <c r="EG152" i="17" s="1"/>
  <c r="EJ152" i="17"/>
  <c r="EE168" i="17"/>
  <c r="EI168" i="17"/>
  <c r="EF32" i="17"/>
  <c r="EG32" i="17" s="1"/>
  <c r="EJ32" i="17"/>
  <c r="EF166" i="17"/>
  <c r="EG166" i="17" s="1"/>
  <c r="EJ166" i="17"/>
  <c r="EJ29" i="17"/>
  <c r="EF29" i="17"/>
  <c r="EG29" i="17" s="1"/>
  <c r="EF105" i="17"/>
  <c r="EG105" i="17" s="1"/>
  <c r="EJ105" i="17"/>
  <c r="EF103" i="17"/>
  <c r="EG103" i="17" s="1"/>
  <c r="EJ103" i="17"/>
  <c r="EF117" i="17"/>
  <c r="EG117" i="17" s="1"/>
  <c r="EJ117" i="17"/>
  <c r="EJ96" i="17"/>
  <c r="EF96" i="17"/>
  <c r="EG96" i="17" s="1"/>
  <c r="EF125" i="17"/>
  <c r="EG125" i="17" s="1"/>
  <c r="EJ125" i="17"/>
  <c r="EE173" i="17"/>
  <c r="EI173" i="17"/>
  <c r="EF20" i="17"/>
  <c r="EG20" i="17" s="1"/>
  <c r="EJ20" i="17"/>
  <c r="EJ132" i="17"/>
  <c r="EF132" i="17"/>
  <c r="EG132" i="17" s="1"/>
  <c r="EF119" i="17"/>
  <c r="EG119" i="17" s="1"/>
  <c r="EJ119" i="17"/>
  <c r="EJ98" i="17"/>
  <c r="EF98" i="17"/>
  <c r="EG98" i="17" s="1"/>
  <c r="EF124" i="17"/>
  <c r="EG124" i="17" s="1"/>
  <c r="EJ124" i="17"/>
  <c r="EF36" i="17"/>
  <c r="EG36" i="17" s="1"/>
  <c r="EJ36" i="17"/>
  <c r="EE75" i="17"/>
  <c r="EI75" i="17"/>
  <c r="EF104" i="17"/>
  <c r="EG104" i="17" s="1"/>
  <c r="EJ104" i="17"/>
  <c r="EF113" i="17"/>
  <c r="EG113" i="17" s="1"/>
  <c r="EJ113" i="17"/>
  <c r="DB7" i="17"/>
  <c r="DD7" i="17" s="1"/>
  <c r="DE7" i="17" s="1"/>
  <c r="CZ5" i="17"/>
  <c r="DA5" i="17" s="1"/>
  <c r="DD6" i="17"/>
  <c r="DE6" i="17" s="1"/>
  <c r="DF6" i="17"/>
  <c r="DD3" i="17"/>
  <c r="DE3" i="17" s="1"/>
  <c r="DF3" i="17"/>
  <c r="DD5" i="17"/>
  <c r="DE5" i="17" s="1"/>
  <c r="DF5" i="17"/>
  <c r="DD4" i="17"/>
  <c r="DE4" i="17" s="1"/>
  <c r="DF4" i="17"/>
  <c r="DD8" i="17"/>
  <c r="DE8" i="17" s="1"/>
  <c r="DF8" i="17"/>
  <c r="FI22" i="13"/>
  <c r="EV37" i="13"/>
  <c r="EV38" i="13"/>
  <c r="EV39" i="13"/>
  <c r="EV40" i="13"/>
  <c r="EV60" i="13"/>
  <c r="EV61" i="13"/>
  <c r="EV62" i="13"/>
  <c r="EV63" i="13"/>
  <c r="EV64" i="13"/>
  <c r="EV65" i="13"/>
  <c r="EV66" i="13"/>
  <c r="EV67" i="13"/>
  <c r="EV68" i="13"/>
  <c r="EV69" i="13"/>
  <c r="EV70" i="13"/>
  <c r="EV71" i="13"/>
  <c r="EV72" i="13"/>
  <c r="EV73" i="13"/>
  <c r="EV74" i="13"/>
  <c r="EV75" i="13"/>
  <c r="EV76" i="13"/>
  <c r="EV77" i="13"/>
  <c r="EV78" i="13"/>
  <c r="EV79" i="13"/>
  <c r="EV80" i="13"/>
  <c r="EV81" i="13"/>
  <c r="EV82" i="13"/>
  <c r="EV83" i="13"/>
  <c r="EV84" i="13"/>
  <c r="EV85" i="13"/>
  <c r="EV86" i="13"/>
  <c r="EV87" i="13"/>
  <c r="EV88" i="13"/>
  <c r="EV89" i="13"/>
  <c r="EV90" i="13"/>
  <c r="EV91" i="13"/>
  <c r="EV92" i="13"/>
  <c r="EV93" i="13"/>
  <c r="EV94" i="13"/>
  <c r="EV95" i="13"/>
  <c r="EV96" i="13"/>
  <c r="EV97" i="13"/>
  <c r="EV98" i="13"/>
  <c r="EV99" i="13"/>
  <c r="EV100" i="13"/>
  <c r="EV101" i="13"/>
  <c r="EV102" i="13"/>
  <c r="EV103" i="13"/>
  <c r="EV104" i="13"/>
  <c r="EV105" i="13"/>
  <c r="EV106" i="13"/>
  <c r="EV107" i="13"/>
  <c r="EV108" i="13"/>
  <c r="EV109" i="13"/>
  <c r="ET30" i="13"/>
  <c r="ET31" i="13"/>
  <c r="ET32" i="13"/>
  <c r="ET33" i="13"/>
  <c r="ET34" i="13"/>
  <c r="ET35" i="13"/>
  <c r="ET36" i="13"/>
  <c r="ET37" i="13"/>
  <c r="ET38" i="13"/>
  <c r="ET39" i="13"/>
  <c r="ET40" i="13"/>
  <c r="ET60" i="13"/>
  <c r="ET61" i="13"/>
  <c r="ET62" i="13"/>
  <c r="ET63" i="13"/>
  <c r="ET64" i="13"/>
  <c r="ET65" i="13"/>
  <c r="ET66" i="13"/>
  <c r="ET67" i="13"/>
  <c r="ET68" i="13"/>
  <c r="ET69" i="13"/>
  <c r="ET70" i="13"/>
  <c r="ET71" i="13"/>
  <c r="ET72" i="13"/>
  <c r="ET73" i="13"/>
  <c r="ET74" i="13"/>
  <c r="ET75" i="13"/>
  <c r="ET76" i="13"/>
  <c r="ET77" i="13"/>
  <c r="ET78" i="13"/>
  <c r="ET79" i="13"/>
  <c r="ET80" i="13"/>
  <c r="ET81" i="13"/>
  <c r="ET82" i="13"/>
  <c r="ET83" i="13"/>
  <c r="ET84" i="13"/>
  <c r="ET85" i="13"/>
  <c r="ET86" i="13"/>
  <c r="ET87" i="13"/>
  <c r="ET88" i="13"/>
  <c r="ET89" i="13"/>
  <c r="ET90" i="13"/>
  <c r="ET91" i="13"/>
  <c r="ET92" i="13"/>
  <c r="ET93" i="13"/>
  <c r="ET94" i="13"/>
  <c r="ET95" i="13"/>
  <c r="ET96" i="13"/>
  <c r="ET97" i="13"/>
  <c r="ET98" i="13"/>
  <c r="ET99" i="13"/>
  <c r="ET100" i="13"/>
  <c r="ET101" i="13"/>
  <c r="ET102" i="13"/>
  <c r="ET103" i="13"/>
  <c r="ET104" i="13"/>
  <c r="ET105" i="13"/>
  <c r="ET106" i="13"/>
  <c r="ET107" i="13"/>
  <c r="ET108" i="13"/>
  <c r="ET109" i="13"/>
  <c r="ES37" i="13"/>
  <c r="ES38" i="13"/>
  <c r="ES39" i="13"/>
  <c r="ES40" i="13"/>
  <c r="ES60" i="13"/>
  <c r="ES61" i="13"/>
  <c r="ES62" i="13"/>
  <c r="ES63" i="13"/>
  <c r="ES64" i="13"/>
  <c r="ES65" i="13"/>
  <c r="ES66" i="13"/>
  <c r="ES67" i="13"/>
  <c r="ES68" i="13"/>
  <c r="ES69" i="13"/>
  <c r="ES70" i="13"/>
  <c r="ES71" i="13"/>
  <c r="ES72" i="13"/>
  <c r="ES73" i="13"/>
  <c r="ES74" i="13"/>
  <c r="ES75" i="13"/>
  <c r="ES76" i="13"/>
  <c r="ES77" i="13"/>
  <c r="ES78" i="13"/>
  <c r="ES79" i="13"/>
  <c r="ES80" i="13"/>
  <c r="ES81" i="13"/>
  <c r="ES82" i="13"/>
  <c r="ES83" i="13"/>
  <c r="ES84" i="13"/>
  <c r="ES85" i="13"/>
  <c r="ES86" i="13"/>
  <c r="ES87" i="13"/>
  <c r="ES88" i="13"/>
  <c r="ES89" i="13"/>
  <c r="ES90" i="13"/>
  <c r="ES91" i="13"/>
  <c r="ES92" i="13"/>
  <c r="ES93" i="13"/>
  <c r="ES94" i="13"/>
  <c r="ES95" i="13"/>
  <c r="ES96" i="13"/>
  <c r="ES97" i="13"/>
  <c r="ES98" i="13"/>
  <c r="ES99" i="13"/>
  <c r="ES100" i="13"/>
  <c r="ES101" i="13"/>
  <c r="ES102" i="13"/>
  <c r="ES103" i="13"/>
  <c r="ES104" i="13"/>
  <c r="ES105" i="13"/>
  <c r="ES106" i="13"/>
  <c r="ES107" i="13"/>
  <c r="ES108" i="13"/>
  <c r="ES109" i="13"/>
  <c r="EW61" i="13"/>
  <c r="EW62" i="13"/>
  <c r="EW63" i="13"/>
  <c r="EW64" i="13"/>
  <c r="EW65" i="13"/>
  <c r="EW66" i="13"/>
  <c r="EW67" i="13"/>
  <c r="EW68" i="13"/>
  <c r="EW69" i="13"/>
  <c r="EW70" i="13"/>
  <c r="EW71" i="13"/>
  <c r="EW72" i="13"/>
  <c r="EW73" i="13"/>
  <c r="EW74" i="13"/>
  <c r="EW75" i="13"/>
  <c r="EW76" i="13"/>
  <c r="EW77" i="13"/>
  <c r="EW78" i="13"/>
  <c r="EW79" i="13"/>
  <c r="EW80" i="13"/>
  <c r="EW81" i="13"/>
  <c r="EW82" i="13"/>
  <c r="EW83" i="13"/>
  <c r="EW84" i="13"/>
  <c r="EW85" i="13"/>
  <c r="EW86" i="13"/>
  <c r="EW87" i="13"/>
  <c r="EW88" i="13"/>
  <c r="EW89" i="13"/>
  <c r="EW90" i="13"/>
  <c r="EW91" i="13"/>
  <c r="EW92" i="13"/>
  <c r="EW93" i="13"/>
  <c r="EW94" i="13"/>
  <c r="EW95" i="13"/>
  <c r="EW96" i="13"/>
  <c r="EW97" i="13"/>
  <c r="EW98" i="13"/>
  <c r="EW99" i="13"/>
  <c r="EW100" i="13"/>
  <c r="EW101" i="13"/>
  <c r="EW102" i="13"/>
  <c r="EW103" i="13"/>
  <c r="EW104" i="13"/>
  <c r="EW105" i="13"/>
  <c r="EW106" i="13"/>
  <c r="EW107" i="13"/>
  <c r="EW108" i="13"/>
  <c r="EW109" i="13"/>
  <c r="EW60" i="13"/>
  <c r="EU60" i="13"/>
  <c r="ES9" i="13"/>
  <c r="ES10" i="13"/>
  <c r="ES11" i="13"/>
  <c r="ES12" i="13"/>
  <c r="ES13" i="13"/>
  <c r="ES14" i="13"/>
  <c r="ES15" i="13"/>
  <c r="ES16" i="13"/>
  <c r="ES17" i="13"/>
  <c r="ES18" i="13"/>
  <c r="ES19" i="13"/>
  <c r="ES20" i="13"/>
  <c r="ES21" i="13"/>
  <c r="ES22" i="13"/>
  <c r="ES23" i="13"/>
  <c r="ES24" i="13"/>
  <c r="ES25" i="13"/>
  <c r="ES26" i="13"/>
  <c r="ES27" i="13"/>
  <c r="ES28" i="13"/>
  <c r="ES29" i="13"/>
  <c r="ES30" i="13"/>
  <c r="ES31" i="13"/>
  <c r="ES32" i="13"/>
  <c r="ES33" i="13"/>
  <c r="ES34" i="13"/>
  <c r="ES35" i="13"/>
  <c r="ES36" i="13"/>
  <c r="EW11" i="13"/>
  <c r="EW12" i="13"/>
  <c r="EW13" i="13"/>
  <c r="EW14" i="13"/>
  <c r="EW15" i="13"/>
  <c r="EW16" i="13"/>
  <c r="EW17" i="13"/>
  <c r="EW18" i="13"/>
  <c r="EW19" i="13"/>
  <c r="EW20" i="13"/>
  <c r="EW21" i="13"/>
  <c r="EW22" i="13"/>
  <c r="EW23" i="13"/>
  <c r="EW24" i="13"/>
  <c r="EW25" i="13"/>
  <c r="EW26" i="13"/>
  <c r="EW27" i="13"/>
  <c r="EW28" i="13"/>
  <c r="EW29" i="13"/>
  <c r="EW30" i="13"/>
  <c r="EW31" i="13"/>
  <c r="EW32" i="13"/>
  <c r="EW33" i="13"/>
  <c r="EW34" i="13"/>
  <c r="EW35" i="13"/>
  <c r="EW36" i="13"/>
  <c r="EW37" i="13"/>
  <c r="EW38" i="13"/>
  <c r="EW39" i="13"/>
  <c r="EW40" i="13"/>
  <c r="EW9" i="13"/>
  <c r="EW10" i="13"/>
  <c r="EU29" i="13"/>
  <c r="EU30" i="13"/>
  <c r="EU31" i="13"/>
  <c r="EU32" i="13"/>
  <c r="EU33" i="13"/>
  <c r="EU34" i="13"/>
  <c r="EU35" i="13"/>
  <c r="EU36" i="13"/>
  <c r="EU37" i="13"/>
  <c r="EU38" i="13"/>
  <c r="EU39" i="13"/>
  <c r="EU40" i="13"/>
  <c r="EV30" i="13"/>
  <c r="EV31" i="13"/>
  <c r="EV32" i="13"/>
  <c r="EV33" i="13"/>
  <c r="EV34" i="13"/>
  <c r="EV35" i="13"/>
  <c r="EV36" i="13"/>
  <c r="EX31" i="13"/>
  <c r="EX32" i="13"/>
  <c r="EX33" i="13"/>
  <c r="EX34" i="13"/>
  <c r="EX35" i="13"/>
  <c r="EX36" i="13"/>
  <c r="EX37" i="13"/>
  <c r="EX38" i="13"/>
  <c r="EX39" i="13"/>
  <c r="EX40" i="13"/>
  <c r="EZ35" i="13"/>
  <c r="EZ36" i="13"/>
  <c r="EZ37" i="13"/>
  <c r="EZ38" i="13"/>
  <c r="EZ39" i="13"/>
  <c r="EZ40" i="13"/>
  <c r="EZ31" i="13"/>
  <c r="EZ32" i="13"/>
  <c r="EZ33" i="13"/>
  <c r="EZ34" i="13"/>
  <c r="EY29" i="13"/>
  <c r="EY30" i="13"/>
  <c r="EY31" i="13"/>
  <c r="EY32" i="13"/>
  <c r="EY33" i="13"/>
  <c r="EY34" i="13"/>
  <c r="EY35" i="13"/>
  <c r="EY36" i="13"/>
  <c r="EY37" i="13"/>
  <c r="EY38" i="13"/>
  <c r="EY39" i="13"/>
  <c r="EY40" i="13"/>
  <c r="FA29" i="13"/>
  <c r="FA30" i="13"/>
  <c r="FA31" i="13"/>
  <c r="FA32" i="13"/>
  <c r="FA33" i="13"/>
  <c r="FA34" i="13"/>
  <c r="FA35" i="13"/>
  <c r="FA36" i="13"/>
  <c r="FA37" i="13"/>
  <c r="FA38" i="13"/>
  <c r="FA39" i="13"/>
  <c r="FA40" i="13"/>
  <c r="FB29" i="13"/>
  <c r="FB30" i="13"/>
  <c r="FB31" i="13"/>
  <c r="FB32" i="13"/>
  <c r="FB33" i="13"/>
  <c r="FB34" i="13"/>
  <c r="FB35" i="13"/>
  <c r="FB36" i="13"/>
  <c r="FB37" i="13"/>
  <c r="FB38" i="13"/>
  <c r="FB39" i="13"/>
  <c r="FB40" i="13"/>
  <c r="FC29" i="13"/>
  <c r="FC30" i="13"/>
  <c r="FC31" i="13"/>
  <c r="FC32" i="13"/>
  <c r="FC33" i="13"/>
  <c r="FC34" i="13"/>
  <c r="FC35" i="13"/>
  <c r="FC36" i="13"/>
  <c r="FC37" i="13"/>
  <c r="FC38" i="13"/>
  <c r="FC39" i="13"/>
  <c r="FC40" i="13"/>
  <c r="FD29" i="13"/>
  <c r="FD30" i="13"/>
  <c r="FD31" i="13"/>
  <c r="FD32" i="13"/>
  <c r="FD33" i="13"/>
  <c r="FD34" i="13"/>
  <c r="FD35" i="13"/>
  <c r="FD36" i="13"/>
  <c r="FD37" i="13"/>
  <c r="FD38" i="13"/>
  <c r="FD39" i="13"/>
  <c r="FD40" i="13"/>
  <c r="FE35" i="13"/>
  <c r="FE36" i="13"/>
  <c r="FE37" i="13"/>
  <c r="FE38" i="13"/>
  <c r="FE39" i="13"/>
  <c r="FE40" i="13"/>
  <c r="FE29" i="13"/>
  <c r="FE30" i="13"/>
  <c r="FE31" i="13"/>
  <c r="FE32" i="13"/>
  <c r="FE33" i="13"/>
  <c r="FE34" i="13"/>
  <c r="EJ168" i="17" l="1"/>
  <c r="EF168" i="17"/>
  <c r="EG168" i="17" s="1"/>
  <c r="EJ173" i="17"/>
  <c r="EF173" i="17"/>
  <c r="EG173" i="17" s="1"/>
  <c r="EJ14" i="17"/>
  <c r="EF14" i="17"/>
  <c r="EG14" i="17" s="1"/>
  <c r="EJ12" i="17"/>
  <c r="EF12" i="17"/>
  <c r="EG12" i="17" s="1"/>
  <c r="EJ70" i="17"/>
  <c r="EF70" i="17"/>
  <c r="EG70" i="17" s="1"/>
  <c r="EJ75" i="17"/>
  <c r="EF75" i="17"/>
  <c r="EG75" i="17" s="1"/>
  <c r="EJ161" i="17"/>
  <c r="EF161" i="17"/>
  <c r="EG161" i="17" s="1"/>
  <c r="DF7" i="17"/>
  <c r="DJ7" i="17" s="1"/>
  <c r="DH8" i="17"/>
  <c r="DI8" i="17" s="1"/>
  <c r="DJ8" i="17"/>
  <c r="DH4" i="17"/>
  <c r="DI4" i="17" s="1"/>
  <c r="DJ4" i="17"/>
  <c r="DH5" i="17"/>
  <c r="DI5" i="17" s="1"/>
  <c r="DJ5" i="17"/>
  <c r="DH3" i="17"/>
  <c r="DI3" i="17" s="1"/>
  <c r="DH6" i="17"/>
  <c r="DI6" i="17" s="1"/>
  <c r="DJ6" i="17"/>
  <c r="EL1" i="17"/>
  <c r="EJ1" i="17"/>
  <c r="EI1" i="17"/>
  <c r="EH1" i="17"/>
  <c r="DX1" i="17"/>
  <c r="DP1" i="17"/>
  <c r="DL1" i="17"/>
  <c r="DH1" i="17"/>
  <c r="DD1" i="17"/>
  <c r="CZ1" i="17"/>
  <c r="CV1" i="17"/>
  <c r="CR1" i="17"/>
  <c r="CO1" i="17"/>
  <c r="CG1" i="17"/>
  <c r="CC1" i="17"/>
  <c r="CE2" i="17"/>
  <c r="BY1" i="17"/>
  <c r="BU1" i="17"/>
  <c r="BQ1" i="17"/>
  <c r="BM1" i="17"/>
  <c r="BL1" i="17"/>
  <c r="BK1" i="17"/>
  <c r="BJ1" i="17"/>
  <c r="BI1" i="17"/>
  <c r="BH1" i="17"/>
  <c r="BG1" i="17"/>
  <c r="BF1" i="17"/>
  <c r="BE1" i="17"/>
  <c r="BD1" i="17"/>
  <c r="BC1" i="17"/>
  <c r="BB1" i="17"/>
  <c r="BA1" i="17"/>
  <c r="AZ1" i="17"/>
  <c r="AY1" i="17"/>
  <c r="AX1" i="17"/>
  <c r="AW1" i="17"/>
  <c r="AV1" i="17"/>
  <c r="AH2" i="17"/>
  <c r="AG2" i="17"/>
  <c r="AF2" i="17"/>
  <c r="DH7" i="17" l="1"/>
  <c r="DI7" i="17" s="1"/>
  <c r="AO2" i="17"/>
  <c r="L30" i="17"/>
  <c r="L41" i="17"/>
  <c r="L40" i="17"/>
  <c r="L39" i="17"/>
  <c r="L38" i="17"/>
  <c r="L37" i="17"/>
  <c r="L35" i="17"/>
  <c r="L34" i="17"/>
  <c r="L33" i="17"/>
  <c r="L32" i="17"/>
  <c r="L31" i="17"/>
  <c r="DL7" i="17"/>
  <c r="DM7" i="17" s="1"/>
  <c r="DN7" i="17"/>
  <c r="DL6" i="17"/>
  <c r="DM6" i="17" s="1"/>
  <c r="DN6" i="17"/>
  <c r="DL3" i="17"/>
  <c r="DM3" i="17" s="1"/>
  <c r="L42" i="17" s="1"/>
  <c r="DL5" i="17"/>
  <c r="DM5" i="17" s="1"/>
  <c r="DN5" i="17"/>
  <c r="DL8" i="17"/>
  <c r="DM8" i="17" s="1"/>
  <c r="DN8" i="17"/>
  <c r="DL4" i="17"/>
  <c r="DM4" i="17" s="1"/>
  <c r="DN4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AA93" i="17"/>
  <c r="AA94" i="17"/>
  <c r="AA95" i="17"/>
  <c r="AA96" i="17"/>
  <c r="AA97" i="17"/>
  <c r="AA98" i="17"/>
  <c r="AA99" i="17"/>
  <c r="AA100" i="17"/>
  <c r="AA101" i="17"/>
  <c r="AA102" i="17"/>
  <c r="AA103" i="17"/>
  <c r="AA104" i="17"/>
  <c r="AA105" i="17"/>
  <c r="AA106" i="17"/>
  <c r="AA107" i="17"/>
  <c r="AA108" i="17"/>
  <c r="AA109" i="17"/>
  <c r="AA110" i="17"/>
  <c r="AA111" i="17"/>
  <c r="AA112" i="17"/>
  <c r="AA113" i="17"/>
  <c r="AA114" i="17"/>
  <c r="AA115" i="17"/>
  <c r="AA116" i="17"/>
  <c r="AA117" i="17"/>
  <c r="AA118" i="17"/>
  <c r="AA119" i="17"/>
  <c r="AA120" i="17"/>
  <c r="AA121" i="17"/>
  <c r="AA122" i="17"/>
  <c r="AA123" i="17"/>
  <c r="AA124" i="17"/>
  <c r="AA125" i="17"/>
  <c r="AA126" i="17"/>
  <c r="AA127" i="17"/>
  <c r="AA128" i="17"/>
  <c r="AA129" i="17"/>
  <c r="AA130" i="17"/>
  <c r="AA131" i="17"/>
  <c r="AA132" i="17"/>
  <c r="AA133" i="17"/>
  <c r="AA134" i="17"/>
  <c r="AA135" i="17"/>
  <c r="AA136" i="17"/>
  <c r="AA137" i="17"/>
  <c r="AA138" i="17"/>
  <c r="AA139" i="17"/>
  <c r="AA140" i="17"/>
  <c r="AA141" i="17"/>
  <c r="AA142" i="17"/>
  <c r="AA143" i="17"/>
  <c r="AA144" i="17"/>
  <c r="AA145" i="17"/>
  <c r="AA146" i="17"/>
  <c r="AA147" i="17"/>
  <c r="AA148" i="17"/>
  <c r="AA149" i="17"/>
  <c r="AA150" i="17"/>
  <c r="AA151" i="17"/>
  <c r="AA152" i="17"/>
  <c r="AA153" i="17"/>
  <c r="AA154" i="17"/>
  <c r="AA155" i="17"/>
  <c r="AA156" i="17"/>
  <c r="AA157" i="17"/>
  <c r="AA158" i="17"/>
  <c r="AA159" i="17"/>
  <c r="AA160" i="17"/>
  <c r="AA161" i="17"/>
  <c r="AA162" i="17"/>
  <c r="AA163" i="17"/>
  <c r="AA164" i="17"/>
  <c r="AA165" i="17"/>
  <c r="AA166" i="17"/>
  <c r="AA167" i="17"/>
  <c r="AA168" i="17"/>
  <c r="AA169" i="17"/>
  <c r="AA170" i="17"/>
  <c r="AA171" i="17"/>
  <c r="AA172" i="17"/>
  <c r="AA173" i="17"/>
  <c r="AA7" i="17"/>
  <c r="AA8" i="17"/>
  <c r="AA9" i="17"/>
  <c r="AA3" i="17"/>
  <c r="AA4" i="17"/>
  <c r="AA5" i="17"/>
  <c r="AA6" i="17"/>
  <c r="AA2" i="17"/>
  <c r="DP4" i="17" l="1"/>
  <c r="DQ4" i="17" s="1"/>
  <c r="DR4" i="17"/>
  <c r="DP8" i="17"/>
  <c r="DQ8" i="17" s="1"/>
  <c r="DR8" i="17"/>
  <c r="DP5" i="17"/>
  <c r="DQ5" i="17" s="1"/>
  <c r="DR5" i="17"/>
  <c r="DP3" i="17"/>
  <c r="DP6" i="17"/>
  <c r="DQ6" i="17" s="1"/>
  <c r="DR6" i="17"/>
  <c r="DP7" i="17"/>
  <c r="DQ7" i="17" s="1"/>
  <c r="DR7" i="17"/>
  <c r="DQ3" i="17" l="1"/>
  <c r="L43" i="17" s="1"/>
  <c r="DT6" i="17"/>
  <c r="DU6" i="17" s="1"/>
  <c r="DV6" i="17"/>
  <c r="DT3" i="17"/>
  <c r="DT5" i="17"/>
  <c r="DU5" i="17" s="1"/>
  <c r="DV5" i="17"/>
  <c r="DT4" i="17"/>
  <c r="DU4" i="17" s="1"/>
  <c r="DV4" i="17"/>
  <c r="DT7" i="17"/>
  <c r="DU7" i="17" s="1"/>
  <c r="DV7" i="17"/>
  <c r="DT8" i="17"/>
  <c r="DU8" i="17" s="1"/>
  <c r="DV8" i="17"/>
  <c r="AJ53" i="18"/>
  <c r="AI53" i="18"/>
  <c r="AJ52" i="18"/>
  <c r="AI52" i="18"/>
  <c r="AJ51" i="18"/>
  <c r="AI51" i="18"/>
  <c r="AJ50" i="18"/>
  <c r="AI50" i="18"/>
  <c r="AJ49" i="18"/>
  <c r="AI49" i="18"/>
  <c r="AJ48" i="18"/>
  <c r="AI48" i="18"/>
  <c r="AJ47" i="18"/>
  <c r="AI47" i="18"/>
  <c r="AJ46" i="18"/>
  <c r="AI46" i="18"/>
  <c r="AI45" i="18"/>
  <c r="AI44" i="18"/>
  <c r="AI43" i="18"/>
  <c r="AI42" i="18"/>
  <c r="AI41" i="18"/>
  <c r="AI40" i="18"/>
  <c r="AI39" i="18"/>
  <c r="AI38" i="18"/>
  <c r="AI37" i="18"/>
  <c r="AI36" i="18"/>
  <c r="AI35" i="18"/>
  <c r="AI34" i="18"/>
  <c r="AI33" i="18"/>
  <c r="AI32" i="18"/>
  <c r="AI31" i="18"/>
  <c r="AI30" i="18"/>
  <c r="AJ29" i="18"/>
  <c r="AI29" i="18"/>
  <c r="AJ28" i="18"/>
  <c r="AI28" i="18"/>
  <c r="AJ27" i="18"/>
  <c r="AI27" i="18"/>
  <c r="AJ26" i="18"/>
  <c r="AI26" i="18"/>
  <c r="AJ25" i="18"/>
  <c r="AI25" i="18"/>
  <c r="AJ24" i="18"/>
  <c r="AI24" i="18"/>
  <c r="AJ23" i="18"/>
  <c r="AI23" i="18"/>
  <c r="AJ22" i="18"/>
  <c r="AI22" i="18"/>
  <c r="AJ21" i="18"/>
  <c r="AI21" i="18"/>
  <c r="AJ20" i="18"/>
  <c r="AI20" i="18"/>
  <c r="AJ19" i="18"/>
  <c r="AI19" i="18"/>
  <c r="AJ18" i="18"/>
  <c r="AI18" i="18"/>
  <c r="AJ17" i="18"/>
  <c r="AI17" i="18"/>
  <c r="AJ16" i="18"/>
  <c r="AI16" i="18"/>
  <c r="AJ15" i="18"/>
  <c r="AI15" i="18"/>
  <c r="AJ14" i="18"/>
  <c r="AI14" i="18"/>
  <c r="AJ13" i="18"/>
  <c r="AI13" i="18"/>
  <c r="AJ12" i="18"/>
  <c r="AI12" i="18"/>
  <c r="AJ11" i="18"/>
  <c r="AI11" i="18"/>
  <c r="AJ10" i="18"/>
  <c r="AI10" i="18"/>
  <c r="AJ9" i="18"/>
  <c r="AI9" i="18"/>
  <c r="AJ8" i="18"/>
  <c r="AI8" i="18"/>
  <c r="AJ7" i="18"/>
  <c r="AI7" i="18"/>
  <c r="AJ6" i="18"/>
  <c r="AI6" i="18"/>
  <c r="DU3" i="17" l="1"/>
  <c r="L44" i="17" s="1"/>
  <c r="DZ8" i="17"/>
  <c r="DX8" i="17"/>
  <c r="DY8" i="17" s="1"/>
  <c r="DX3" i="17"/>
  <c r="DZ3" i="17"/>
  <c r="DX6" i="17"/>
  <c r="DY6" i="17" s="1"/>
  <c r="DZ6" i="17"/>
  <c r="DX7" i="17"/>
  <c r="DY7" i="17" s="1"/>
  <c r="DZ7" i="17"/>
  <c r="DZ4" i="17"/>
  <c r="EB4" i="17" s="1"/>
  <c r="EC4" i="17" s="1"/>
  <c r="DX4" i="17"/>
  <c r="DY4" i="17" s="1"/>
  <c r="DZ5" i="17"/>
  <c r="EB5" i="17" s="1"/>
  <c r="EC5" i="17" s="1"/>
  <c r="DX5" i="17"/>
  <c r="DY5" i="17" s="1"/>
  <c r="AI53" i="16"/>
  <c r="AJ53" i="16"/>
  <c r="AI52" i="16"/>
  <c r="AJ52" i="16"/>
  <c r="AI51" i="16"/>
  <c r="AJ51" i="16"/>
  <c r="AI50" i="16"/>
  <c r="AJ50" i="16"/>
  <c r="AI49" i="16"/>
  <c r="AJ49" i="16"/>
  <c r="AI48" i="16"/>
  <c r="AJ48" i="16"/>
  <c r="AI47" i="16"/>
  <c r="AJ47" i="16"/>
  <c r="AJ46" i="16"/>
  <c r="AI46" i="16"/>
  <c r="AI45" i="16"/>
  <c r="AI44" i="16"/>
  <c r="AI43" i="16"/>
  <c r="AI42" i="16"/>
  <c r="AI41" i="16"/>
  <c r="AI40" i="16"/>
  <c r="AI39" i="16"/>
  <c r="AI38" i="16"/>
  <c r="AI37" i="16"/>
  <c r="AI36" i="16"/>
  <c r="AI35" i="16"/>
  <c r="AI34" i="16"/>
  <c r="AI33" i="16"/>
  <c r="AI32" i="16"/>
  <c r="AI31" i="16"/>
  <c r="AI30" i="16"/>
  <c r="AJ29" i="16"/>
  <c r="AI29" i="16"/>
  <c r="AI28" i="16"/>
  <c r="AJ28" i="16"/>
  <c r="AI27" i="16"/>
  <c r="AJ27" i="16"/>
  <c r="AI26" i="16"/>
  <c r="AJ26" i="16"/>
  <c r="AI25" i="16"/>
  <c r="AJ25" i="16"/>
  <c r="AI24" i="16"/>
  <c r="AJ24" i="16"/>
  <c r="AI23" i="16"/>
  <c r="AJ23" i="16"/>
  <c r="AJ22" i="16"/>
  <c r="AI22" i="16"/>
  <c r="AJ21" i="16"/>
  <c r="AI21" i="16"/>
  <c r="AJ20" i="16"/>
  <c r="AI20" i="16"/>
  <c r="AJ19" i="16"/>
  <c r="AI19" i="16"/>
  <c r="AI18" i="16"/>
  <c r="AJ18" i="16"/>
  <c r="AJ17" i="16"/>
  <c r="AI17" i="16"/>
  <c r="AI16" i="16"/>
  <c r="AJ16" i="16"/>
  <c r="AI15" i="16"/>
  <c r="AJ15" i="16"/>
  <c r="AI14" i="16"/>
  <c r="AJ14" i="16"/>
  <c r="AJ13" i="16"/>
  <c r="AI13" i="16"/>
  <c r="AI12" i="16"/>
  <c r="AJ12" i="16"/>
  <c r="AI11" i="16"/>
  <c r="AJ11" i="16"/>
  <c r="AJ10" i="16"/>
  <c r="AI10" i="16"/>
  <c r="AI9" i="16"/>
  <c r="AJ9" i="16"/>
  <c r="AI8" i="16"/>
  <c r="AJ8" i="16"/>
  <c r="AI7" i="16"/>
  <c r="AJ7" i="16"/>
  <c r="AJ6" i="16"/>
  <c r="AI6" i="16"/>
  <c r="EB3" i="17" l="1"/>
  <c r="DY3" i="17"/>
  <c r="L45" i="17" s="1"/>
  <c r="EB6" i="17"/>
  <c r="EB7" i="17"/>
  <c r="EC7" i="17" s="1"/>
  <c r="EB8" i="17"/>
  <c r="EC8" i="17" s="1"/>
  <c r="ED4" i="17"/>
  <c r="EE4" i="17" s="1"/>
  <c r="ED7" i="17"/>
  <c r="ED8" i="17"/>
  <c r="ED3" i="17"/>
  <c r="ED5" i="17"/>
  <c r="EW9" i="14"/>
  <c r="EW10" i="14"/>
  <c r="EW11" i="14"/>
  <c r="EW12" i="14"/>
  <c r="EW13" i="14"/>
  <c r="EW14" i="14"/>
  <c r="EW15" i="14"/>
  <c r="EW16" i="14"/>
  <c r="EW17" i="14"/>
  <c r="EW18" i="14"/>
  <c r="EW19" i="14"/>
  <c r="EW20" i="14"/>
  <c r="EW21" i="14"/>
  <c r="EW22" i="14"/>
  <c r="EW23" i="14"/>
  <c r="EW24" i="14"/>
  <c r="EW25" i="14"/>
  <c r="EW26" i="14"/>
  <c r="EW27" i="14"/>
  <c r="EW28" i="14"/>
  <c r="EW29" i="14"/>
  <c r="EW30" i="14"/>
  <c r="EW31" i="14"/>
  <c r="EW32" i="14"/>
  <c r="EW33" i="14"/>
  <c r="EW34" i="14"/>
  <c r="EW35" i="14"/>
  <c r="EW36" i="14"/>
  <c r="EW37" i="14"/>
  <c r="EW38" i="14"/>
  <c r="EW39" i="14"/>
  <c r="EW40" i="14"/>
  <c r="EW41" i="14"/>
  <c r="EW42" i="14"/>
  <c r="EW43" i="14"/>
  <c r="EW44" i="14"/>
  <c r="EW45" i="14"/>
  <c r="EW46" i="14"/>
  <c r="EW47" i="14"/>
  <c r="EW48" i="14"/>
  <c r="EW49" i="14"/>
  <c r="EW50" i="14"/>
  <c r="EW51" i="14"/>
  <c r="EW52" i="14"/>
  <c r="EW53" i="14"/>
  <c r="EW54" i="14"/>
  <c r="EW55" i="14"/>
  <c r="EW56" i="14"/>
  <c r="FE9" i="14"/>
  <c r="FE10" i="14"/>
  <c r="FE11" i="14"/>
  <c r="FE12" i="14"/>
  <c r="FE13" i="14"/>
  <c r="FE14" i="14"/>
  <c r="FE15" i="14"/>
  <c r="FE16" i="14"/>
  <c r="FE17" i="14"/>
  <c r="FE18" i="14"/>
  <c r="FE19" i="14"/>
  <c r="FE20" i="14"/>
  <c r="FE21" i="14"/>
  <c r="FE22" i="14"/>
  <c r="FE23" i="14"/>
  <c r="FE24" i="14"/>
  <c r="FE25" i="14"/>
  <c r="FE26" i="14"/>
  <c r="FE27" i="14"/>
  <c r="FE28" i="14"/>
  <c r="FE29" i="14"/>
  <c r="FE30" i="14"/>
  <c r="FE31" i="14"/>
  <c r="FE32" i="14"/>
  <c r="FE33" i="14"/>
  <c r="FE34" i="14"/>
  <c r="FE35" i="14"/>
  <c r="FE36" i="14"/>
  <c r="FE37" i="14"/>
  <c r="FE38" i="14"/>
  <c r="FE39" i="14"/>
  <c r="FE40" i="14"/>
  <c r="FE41" i="14"/>
  <c r="FE42" i="14"/>
  <c r="FE43" i="14"/>
  <c r="FE44" i="14"/>
  <c r="FE45" i="14"/>
  <c r="FE46" i="14"/>
  <c r="FE47" i="14"/>
  <c r="FE48" i="14"/>
  <c r="FE49" i="14"/>
  <c r="FE50" i="14"/>
  <c r="FE51" i="14"/>
  <c r="FE52" i="14"/>
  <c r="FE53" i="14"/>
  <c r="FE54" i="14"/>
  <c r="FE55" i="14"/>
  <c r="FE56" i="14"/>
  <c r="FF9" i="14"/>
  <c r="FF10" i="14"/>
  <c r="FF11" i="14"/>
  <c r="FF12" i="14"/>
  <c r="FF13" i="14"/>
  <c r="FF14" i="14"/>
  <c r="FF15" i="14"/>
  <c r="FF16" i="14"/>
  <c r="FF17" i="14"/>
  <c r="FF18" i="14"/>
  <c r="FF19" i="14"/>
  <c r="FF20" i="14"/>
  <c r="FF21" i="14"/>
  <c r="FF22" i="14"/>
  <c r="FF23" i="14"/>
  <c r="FF24" i="14"/>
  <c r="FF25" i="14"/>
  <c r="FF26" i="14"/>
  <c r="FF27" i="14"/>
  <c r="FF28" i="14"/>
  <c r="FF29" i="14"/>
  <c r="FF30" i="14"/>
  <c r="FF31" i="14"/>
  <c r="FF32" i="14"/>
  <c r="FF33" i="14"/>
  <c r="FF34" i="14"/>
  <c r="FF35" i="14"/>
  <c r="FF36" i="14"/>
  <c r="FF37" i="14"/>
  <c r="FF38" i="14"/>
  <c r="FF39" i="14"/>
  <c r="FF40" i="14"/>
  <c r="FF41" i="14"/>
  <c r="FF42" i="14"/>
  <c r="FF43" i="14"/>
  <c r="FF44" i="14"/>
  <c r="FF45" i="14"/>
  <c r="FF46" i="14"/>
  <c r="FF47" i="14"/>
  <c r="FF48" i="14"/>
  <c r="FF49" i="14"/>
  <c r="FF50" i="14"/>
  <c r="FF51" i="14"/>
  <c r="FF52" i="14"/>
  <c r="FF53" i="14"/>
  <c r="FF54" i="14"/>
  <c r="FF55" i="14"/>
  <c r="FF56" i="14"/>
  <c r="ED6" i="17" l="1"/>
  <c r="EC6" i="17"/>
  <c r="EC3" i="17"/>
  <c r="L46" i="17" s="1"/>
  <c r="EI4" i="17"/>
  <c r="EE5" i="17"/>
  <c r="EI5" i="17"/>
  <c r="EE7" i="17"/>
  <c r="EI7" i="17"/>
  <c r="EE6" i="17"/>
  <c r="EI6" i="17"/>
  <c r="EE3" i="17"/>
  <c r="EI3" i="17"/>
  <c r="EF4" i="17"/>
  <c r="EG4" i="17" s="1"/>
  <c r="EJ4" i="17"/>
  <c r="EE8" i="17"/>
  <c r="EI8" i="17"/>
  <c r="FJ8" i="15"/>
  <c r="ES9" i="15"/>
  <c r="ES10" i="15"/>
  <c r="ES11" i="15"/>
  <c r="ES12" i="15"/>
  <c r="ES13" i="15"/>
  <c r="ES14" i="15"/>
  <c r="ES15" i="15"/>
  <c r="ES16" i="15"/>
  <c r="ES17" i="15"/>
  <c r="ES18" i="15"/>
  <c r="ES19" i="15"/>
  <c r="ES20" i="15"/>
  <c r="ES21" i="15"/>
  <c r="ES22" i="15"/>
  <c r="ES23" i="15"/>
  <c r="ES24" i="15"/>
  <c r="ES25" i="15"/>
  <c r="ES26" i="15"/>
  <c r="ES27" i="15"/>
  <c r="ES28" i="15"/>
  <c r="ES29" i="15"/>
  <c r="ES30" i="15"/>
  <c r="ES31" i="15"/>
  <c r="ES32" i="15"/>
  <c r="ES33" i="15"/>
  <c r="ES34" i="15"/>
  <c r="ES35" i="15"/>
  <c r="ES36" i="15"/>
  <c r="ET9" i="15"/>
  <c r="ET10" i="15"/>
  <c r="ET11" i="15"/>
  <c r="ET12" i="15"/>
  <c r="ET13" i="15"/>
  <c r="ET14" i="15"/>
  <c r="ET15" i="15"/>
  <c r="ET16" i="15"/>
  <c r="ET17" i="15"/>
  <c r="ET18" i="15"/>
  <c r="ET19" i="15"/>
  <c r="ET20" i="15"/>
  <c r="ET21" i="15"/>
  <c r="ET22" i="15"/>
  <c r="ET23" i="15"/>
  <c r="ET24" i="15"/>
  <c r="ET25" i="15"/>
  <c r="ET26" i="15"/>
  <c r="ET27" i="15"/>
  <c r="ET28" i="15"/>
  <c r="ET29" i="15"/>
  <c r="ET30" i="15"/>
  <c r="ET31" i="15"/>
  <c r="ET32" i="15"/>
  <c r="ET33" i="15"/>
  <c r="ET34" i="15"/>
  <c r="ET35" i="15"/>
  <c r="ET36" i="15"/>
  <c r="EU9" i="15"/>
  <c r="EU10" i="15"/>
  <c r="EU11" i="15"/>
  <c r="EU12" i="15"/>
  <c r="EU13" i="15"/>
  <c r="EU14" i="15"/>
  <c r="EU15" i="15"/>
  <c r="EU16" i="15"/>
  <c r="EU17" i="15"/>
  <c r="EU18" i="15"/>
  <c r="EU19" i="15"/>
  <c r="EU20" i="15"/>
  <c r="EU21" i="15"/>
  <c r="EU22" i="15"/>
  <c r="EU23" i="15"/>
  <c r="EU24" i="15"/>
  <c r="EU25" i="15"/>
  <c r="EU26" i="15"/>
  <c r="EU27" i="15"/>
  <c r="EU28" i="15"/>
  <c r="EU29" i="15"/>
  <c r="EU30" i="15"/>
  <c r="EU31" i="15"/>
  <c r="EU32" i="15"/>
  <c r="EU33" i="15"/>
  <c r="EU34" i="15"/>
  <c r="EU35" i="15"/>
  <c r="EU36" i="15"/>
  <c r="EV9" i="15"/>
  <c r="EV10" i="15"/>
  <c r="EV11" i="15"/>
  <c r="EV12" i="15"/>
  <c r="EV13" i="15"/>
  <c r="EV14" i="15"/>
  <c r="EV15" i="15"/>
  <c r="EV16" i="15"/>
  <c r="EV17" i="15"/>
  <c r="EV18" i="15"/>
  <c r="EV19" i="15"/>
  <c r="EV20" i="15"/>
  <c r="EV21" i="15"/>
  <c r="EV22" i="15"/>
  <c r="EV23" i="15"/>
  <c r="EV24" i="15"/>
  <c r="EV25" i="15"/>
  <c r="EV26" i="15"/>
  <c r="EV27" i="15"/>
  <c r="EV28" i="15"/>
  <c r="EV29" i="15"/>
  <c r="EV30" i="15"/>
  <c r="EV31" i="15"/>
  <c r="EV32" i="15"/>
  <c r="EV33" i="15"/>
  <c r="EV34" i="15"/>
  <c r="EV35" i="15"/>
  <c r="EV36" i="15"/>
  <c r="EW9" i="15"/>
  <c r="EW10" i="15"/>
  <c r="EW11" i="15"/>
  <c r="EW12" i="15"/>
  <c r="EW13" i="15"/>
  <c r="EW14" i="15"/>
  <c r="EW15" i="15"/>
  <c r="EW16" i="15"/>
  <c r="EW17" i="15"/>
  <c r="EW18" i="15"/>
  <c r="EW19" i="15"/>
  <c r="EW20" i="15"/>
  <c r="EW21" i="15"/>
  <c r="EW22" i="15"/>
  <c r="EW23" i="15"/>
  <c r="EW24" i="15"/>
  <c r="EW25" i="15"/>
  <c r="EW26" i="15"/>
  <c r="EW27" i="15"/>
  <c r="EW28" i="15"/>
  <c r="EW29" i="15"/>
  <c r="EW30" i="15"/>
  <c r="EW31" i="15"/>
  <c r="EW32" i="15"/>
  <c r="EW33" i="15"/>
  <c r="EW34" i="15"/>
  <c r="EW35" i="15"/>
  <c r="EW36" i="15"/>
  <c r="EX9" i="15"/>
  <c r="EX10" i="15"/>
  <c r="EX11" i="15"/>
  <c r="EX12" i="15"/>
  <c r="EX13" i="15"/>
  <c r="EX14" i="15"/>
  <c r="EX15" i="15"/>
  <c r="EX16" i="15"/>
  <c r="EX17" i="15"/>
  <c r="EX18" i="15"/>
  <c r="EX19" i="15"/>
  <c r="EX20" i="15"/>
  <c r="EX21" i="15"/>
  <c r="EX22" i="15"/>
  <c r="EX23" i="15"/>
  <c r="EX24" i="15"/>
  <c r="EX25" i="15"/>
  <c r="EX26" i="15"/>
  <c r="EX27" i="15"/>
  <c r="EX28" i="15"/>
  <c r="EX29" i="15"/>
  <c r="EX30" i="15"/>
  <c r="EX31" i="15"/>
  <c r="EX32" i="15"/>
  <c r="EX33" i="15"/>
  <c r="EX34" i="15"/>
  <c r="EX35" i="15"/>
  <c r="EX36" i="15"/>
  <c r="EY9" i="15"/>
  <c r="EY10" i="15"/>
  <c r="EY11" i="15"/>
  <c r="EY12" i="15"/>
  <c r="EY13" i="15"/>
  <c r="EY14" i="15"/>
  <c r="EY15" i="15"/>
  <c r="EY16" i="15"/>
  <c r="EY17" i="15"/>
  <c r="EY18" i="15"/>
  <c r="EY19" i="15"/>
  <c r="EY20" i="15"/>
  <c r="EY21" i="15"/>
  <c r="EY22" i="15"/>
  <c r="EY23" i="15"/>
  <c r="EY24" i="15"/>
  <c r="EY25" i="15"/>
  <c r="EY26" i="15"/>
  <c r="EY27" i="15"/>
  <c r="EY28" i="15"/>
  <c r="EY29" i="15"/>
  <c r="EY30" i="15"/>
  <c r="EY31" i="15"/>
  <c r="EY32" i="15"/>
  <c r="EY33" i="15"/>
  <c r="EY34" i="15"/>
  <c r="EY35" i="15"/>
  <c r="EY36" i="15"/>
  <c r="EZ9" i="15"/>
  <c r="EZ10" i="15"/>
  <c r="EZ11" i="15"/>
  <c r="EZ12" i="15"/>
  <c r="EZ13" i="15"/>
  <c r="EZ14" i="15"/>
  <c r="EZ15" i="15"/>
  <c r="EZ16" i="15"/>
  <c r="EZ17" i="15"/>
  <c r="EZ18" i="15"/>
  <c r="EZ19" i="15"/>
  <c r="EZ20" i="15"/>
  <c r="EZ21" i="15"/>
  <c r="EZ22" i="15"/>
  <c r="EZ23" i="15"/>
  <c r="EZ24" i="15"/>
  <c r="EZ25" i="15"/>
  <c r="EZ26" i="15"/>
  <c r="EZ27" i="15"/>
  <c r="EZ28" i="15"/>
  <c r="EZ29" i="15"/>
  <c r="EZ30" i="15"/>
  <c r="EZ31" i="15"/>
  <c r="EZ32" i="15"/>
  <c r="EZ33" i="15"/>
  <c r="EZ34" i="15"/>
  <c r="EZ35" i="15"/>
  <c r="EZ36" i="15"/>
  <c r="EZ37" i="15"/>
  <c r="FA9" i="15"/>
  <c r="FA10" i="15"/>
  <c r="FA11" i="15"/>
  <c r="FA12" i="15"/>
  <c r="FA13" i="15"/>
  <c r="FA14" i="15"/>
  <c r="FA15" i="15"/>
  <c r="FA16" i="15"/>
  <c r="FA17" i="15"/>
  <c r="FA18" i="15"/>
  <c r="FA19" i="15"/>
  <c r="FA20" i="15"/>
  <c r="FA21" i="15"/>
  <c r="FA22" i="15"/>
  <c r="FA23" i="15"/>
  <c r="FA24" i="15"/>
  <c r="FA25" i="15"/>
  <c r="FA26" i="15"/>
  <c r="FA27" i="15"/>
  <c r="FA28" i="15"/>
  <c r="FA29" i="15"/>
  <c r="FA30" i="15"/>
  <c r="FA31" i="15"/>
  <c r="FA32" i="15"/>
  <c r="FA33" i="15"/>
  <c r="FA34" i="15"/>
  <c r="FA35" i="15"/>
  <c r="FA36" i="15"/>
  <c r="FB9" i="15"/>
  <c r="FB10" i="15"/>
  <c r="FB11" i="15"/>
  <c r="FB12" i="15"/>
  <c r="FB13" i="15"/>
  <c r="FB14" i="15"/>
  <c r="FB15" i="15"/>
  <c r="FB16" i="15"/>
  <c r="FB17" i="15"/>
  <c r="FB18" i="15"/>
  <c r="FB19" i="15"/>
  <c r="FB20" i="15"/>
  <c r="FB21" i="15"/>
  <c r="FB22" i="15"/>
  <c r="FB23" i="15"/>
  <c r="FB24" i="15"/>
  <c r="FB25" i="15"/>
  <c r="FB26" i="15"/>
  <c r="FB27" i="15"/>
  <c r="FB28" i="15"/>
  <c r="FB29" i="15"/>
  <c r="FB30" i="15"/>
  <c r="FB31" i="15"/>
  <c r="FB32" i="15"/>
  <c r="FB33" i="15"/>
  <c r="FB34" i="15"/>
  <c r="FB35" i="15"/>
  <c r="FB36" i="15"/>
  <c r="FC9" i="15"/>
  <c r="FC10" i="15"/>
  <c r="FC11" i="15"/>
  <c r="FC12" i="15"/>
  <c r="FC13" i="15"/>
  <c r="FC14" i="15"/>
  <c r="FC15" i="15"/>
  <c r="FC16" i="15"/>
  <c r="FC17" i="15"/>
  <c r="FC18" i="15"/>
  <c r="FC19" i="15"/>
  <c r="FC20" i="15"/>
  <c r="FC21" i="15"/>
  <c r="FC22" i="15"/>
  <c r="FC23" i="15"/>
  <c r="FC24" i="15"/>
  <c r="FC25" i="15"/>
  <c r="FC26" i="15"/>
  <c r="FC27" i="15"/>
  <c r="FC28" i="15"/>
  <c r="FC29" i="15"/>
  <c r="FC30" i="15"/>
  <c r="FC31" i="15"/>
  <c r="FC32" i="15"/>
  <c r="FC33" i="15"/>
  <c r="FC34" i="15"/>
  <c r="FC35" i="15"/>
  <c r="FC36" i="15"/>
  <c r="FD9" i="15"/>
  <c r="FD10" i="15"/>
  <c r="FD11" i="15"/>
  <c r="FD12" i="15"/>
  <c r="FD13" i="15"/>
  <c r="FD14" i="15"/>
  <c r="FD15" i="15"/>
  <c r="FD16" i="15"/>
  <c r="FD17" i="15"/>
  <c r="FD18" i="15"/>
  <c r="FD19" i="15"/>
  <c r="FD20" i="15"/>
  <c r="FD21" i="15"/>
  <c r="FD22" i="15"/>
  <c r="FD23" i="15"/>
  <c r="FD24" i="15"/>
  <c r="FD25" i="15"/>
  <c r="FD26" i="15"/>
  <c r="FD27" i="15"/>
  <c r="FD28" i="15"/>
  <c r="FD29" i="15"/>
  <c r="FD30" i="15"/>
  <c r="FD31" i="15"/>
  <c r="FD32" i="15"/>
  <c r="FD33" i="15"/>
  <c r="FD34" i="15"/>
  <c r="FD35" i="15"/>
  <c r="FD36" i="15"/>
  <c r="FE9" i="15"/>
  <c r="FE10" i="15"/>
  <c r="FE11" i="15"/>
  <c r="FE12" i="15"/>
  <c r="FE13" i="15"/>
  <c r="FE14" i="15"/>
  <c r="FE15" i="15"/>
  <c r="FE16" i="15"/>
  <c r="FE17" i="15"/>
  <c r="FE18" i="15"/>
  <c r="FE19" i="15"/>
  <c r="FE20" i="15"/>
  <c r="FE21" i="15"/>
  <c r="FE22" i="15"/>
  <c r="FE23" i="15"/>
  <c r="FE24" i="15"/>
  <c r="FE25" i="15"/>
  <c r="FE26" i="15"/>
  <c r="FE27" i="15"/>
  <c r="FE28" i="15"/>
  <c r="FE29" i="15"/>
  <c r="FE30" i="15"/>
  <c r="FE31" i="15"/>
  <c r="FE32" i="15"/>
  <c r="FE33" i="15"/>
  <c r="FE34" i="15"/>
  <c r="FE35" i="15"/>
  <c r="FE36" i="15"/>
  <c r="FE37" i="15"/>
  <c r="FE38" i="15"/>
  <c r="FE39" i="15"/>
  <c r="FE40" i="15"/>
  <c r="FE41" i="15"/>
  <c r="FE42" i="15"/>
  <c r="FE43" i="15"/>
  <c r="FE44" i="15"/>
  <c r="FE45" i="15"/>
  <c r="FE46" i="15"/>
  <c r="FE47" i="15"/>
  <c r="FE48" i="15"/>
  <c r="FE49" i="15"/>
  <c r="FE50" i="15"/>
  <c r="FE51" i="15"/>
  <c r="FE52" i="15"/>
  <c r="FE53" i="15"/>
  <c r="FE54" i="15"/>
  <c r="FE55" i="15"/>
  <c r="FE56" i="15"/>
  <c r="FF17" i="15"/>
  <c r="FF18" i="15"/>
  <c r="FF19" i="15"/>
  <c r="FF20" i="15"/>
  <c r="FF21" i="15"/>
  <c r="FF22" i="15"/>
  <c r="FF23" i="15"/>
  <c r="FF24" i="15"/>
  <c r="FF25" i="15"/>
  <c r="FF26" i="15"/>
  <c r="FF27" i="15"/>
  <c r="FF28" i="15"/>
  <c r="FF29" i="15"/>
  <c r="FF30" i="15"/>
  <c r="FF31" i="15"/>
  <c r="FF32" i="15"/>
  <c r="FF33" i="15"/>
  <c r="FF34" i="15"/>
  <c r="FF35" i="15"/>
  <c r="FF36" i="15"/>
  <c r="FF37" i="15"/>
  <c r="FF38" i="15"/>
  <c r="FF39" i="15"/>
  <c r="FF40" i="15"/>
  <c r="FF41" i="15"/>
  <c r="FF42" i="15"/>
  <c r="FF43" i="15"/>
  <c r="FF44" i="15"/>
  <c r="FF45" i="15"/>
  <c r="FF46" i="15"/>
  <c r="FF47" i="15"/>
  <c r="FF48" i="15"/>
  <c r="FF49" i="15"/>
  <c r="FF50" i="15"/>
  <c r="FF51" i="15"/>
  <c r="FF52" i="15"/>
  <c r="FF53" i="15"/>
  <c r="FF54" i="15"/>
  <c r="FF55" i="15"/>
  <c r="FF56" i="15"/>
  <c r="FF60" i="15"/>
  <c r="FF61" i="15"/>
  <c r="FF62" i="15"/>
  <c r="FF63" i="15"/>
  <c r="FF64" i="15"/>
  <c r="FF65" i="15"/>
  <c r="FF66" i="15"/>
  <c r="FF67" i="15"/>
  <c r="FF68" i="15"/>
  <c r="FF69" i="15"/>
  <c r="FF70" i="15"/>
  <c r="FF71" i="15"/>
  <c r="FF72" i="15"/>
  <c r="FF73" i="15"/>
  <c r="FF74" i="15"/>
  <c r="FF75" i="15"/>
  <c r="FF76" i="15"/>
  <c r="FF77" i="15"/>
  <c r="FF78" i="15"/>
  <c r="FF79" i="15"/>
  <c r="FF80" i="15"/>
  <c r="FF81" i="15"/>
  <c r="FF82" i="15"/>
  <c r="FF83" i="15"/>
  <c r="FF84" i="15"/>
  <c r="FF85" i="15"/>
  <c r="FF86" i="15"/>
  <c r="FF87" i="15"/>
  <c r="FF88" i="15"/>
  <c r="FF89" i="15"/>
  <c r="FF90" i="15"/>
  <c r="FF91" i="15"/>
  <c r="FF92" i="15"/>
  <c r="FF93" i="15"/>
  <c r="FF94" i="15"/>
  <c r="FF95" i="15"/>
  <c r="FF96" i="15"/>
  <c r="FF97" i="15"/>
  <c r="FF98" i="15"/>
  <c r="FF99" i="15"/>
  <c r="FF100" i="15"/>
  <c r="FF101" i="15"/>
  <c r="FF102" i="15"/>
  <c r="FF103" i="15"/>
  <c r="FF104" i="15"/>
  <c r="FF105" i="15"/>
  <c r="FF106" i="15"/>
  <c r="FF107" i="15"/>
  <c r="FF108" i="15"/>
  <c r="FF109" i="15"/>
  <c r="EW37" i="15"/>
  <c r="EW38" i="15"/>
  <c r="EW39" i="15"/>
  <c r="EW40" i="15"/>
  <c r="EW41" i="15"/>
  <c r="EW42" i="15"/>
  <c r="EW43" i="15"/>
  <c r="EW44" i="15"/>
  <c r="EW45" i="15"/>
  <c r="EW46" i="15"/>
  <c r="EW47" i="15"/>
  <c r="EW48" i="15"/>
  <c r="EW49" i="15"/>
  <c r="EW50" i="15"/>
  <c r="EW51" i="15"/>
  <c r="EW52" i="15"/>
  <c r="EW53" i="15"/>
  <c r="EW54" i="15"/>
  <c r="EW55" i="15"/>
  <c r="EW56" i="15"/>
  <c r="EW60" i="15"/>
  <c r="EW61" i="15"/>
  <c r="EW62" i="15"/>
  <c r="EW63" i="15"/>
  <c r="EW64" i="15"/>
  <c r="EW65" i="15"/>
  <c r="EW66" i="15"/>
  <c r="EW67" i="15"/>
  <c r="EW68" i="15"/>
  <c r="EW69" i="15"/>
  <c r="EW70" i="15"/>
  <c r="EW71" i="15"/>
  <c r="EW72" i="15"/>
  <c r="EW73" i="15"/>
  <c r="EW74" i="15"/>
  <c r="EW75" i="15"/>
  <c r="EW76" i="15"/>
  <c r="EW77" i="15"/>
  <c r="EW78" i="15"/>
  <c r="EW79" i="15"/>
  <c r="EW80" i="15"/>
  <c r="EW81" i="15"/>
  <c r="EW82" i="15"/>
  <c r="EW83" i="15"/>
  <c r="EW84" i="15"/>
  <c r="EW85" i="15"/>
  <c r="EW86" i="15"/>
  <c r="EW87" i="15"/>
  <c r="EW88" i="15"/>
  <c r="EW89" i="15"/>
  <c r="EW90" i="15"/>
  <c r="EW91" i="15"/>
  <c r="EW92" i="15"/>
  <c r="EW93" i="15"/>
  <c r="EW94" i="15"/>
  <c r="EW95" i="15"/>
  <c r="EW96" i="15"/>
  <c r="EW97" i="15"/>
  <c r="EW98" i="15"/>
  <c r="EW99" i="15"/>
  <c r="EW100" i="15"/>
  <c r="EW101" i="15"/>
  <c r="EW102" i="15"/>
  <c r="EW103" i="15"/>
  <c r="EW104" i="15"/>
  <c r="EW105" i="15"/>
  <c r="EW106" i="15"/>
  <c r="EW107" i="15"/>
  <c r="EW108" i="15"/>
  <c r="EW109" i="15"/>
  <c r="EW110" i="15"/>
  <c r="EF8" i="17" l="1"/>
  <c r="EG8" i="17" s="1"/>
  <c r="EJ8" i="17"/>
  <c r="EF7" i="17"/>
  <c r="EG7" i="17" s="1"/>
  <c r="EJ7" i="17"/>
  <c r="EF3" i="17"/>
  <c r="EG3" i="17" s="1"/>
  <c r="EJ3" i="17"/>
  <c r="EF6" i="17"/>
  <c r="EG6" i="17" s="1"/>
  <c r="EJ6" i="17"/>
  <c r="EF5" i="17"/>
  <c r="EG5" i="17" s="1"/>
  <c r="EJ5" i="17"/>
  <c r="BQ112" i="15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9" i="13"/>
  <c r="B10" i="13"/>
  <c r="B11" i="13"/>
  <c r="B12" i="13"/>
  <c r="ES100" i="14" l="1"/>
  <c r="ET100" i="14"/>
  <c r="ES78" i="14"/>
  <c r="ET78" i="14"/>
  <c r="EU78" i="14"/>
  <c r="ES92" i="14"/>
  <c r="ES86" i="14"/>
  <c r="ES23" i="14"/>
  <c r="ES21" i="14"/>
  <c r="ES8" i="14"/>
  <c r="ET8" i="14"/>
  <c r="ES8" i="15"/>
  <c r="ET8" i="15"/>
  <c r="FI119" i="15" l="1"/>
  <c r="FH119" i="15"/>
  <c r="ES118" i="15"/>
  <c r="EI118" i="15"/>
  <c r="DY118" i="15"/>
  <c r="DO118" i="15"/>
  <c r="DE118" i="15"/>
  <c r="CU118" i="15"/>
  <c r="CK118" i="15"/>
  <c r="CA118" i="15"/>
  <c r="BQ118" i="15"/>
  <c r="BG118" i="15"/>
  <c r="AW118" i="15"/>
  <c r="AM118" i="15"/>
  <c r="AB118" i="15"/>
  <c r="S118" i="15"/>
  <c r="I118" i="15"/>
  <c r="BW117" i="15"/>
  <c r="AX117" i="15"/>
  <c r="AS117" i="15"/>
  <c r="AO117" i="15"/>
  <c r="T117" i="15"/>
  <c r="EN116" i="15"/>
  <c r="EI116" i="15"/>
  <c r="ED116" i="15"/>
  <c r="DY116" i="15"/>
  <c r="DT116" i="15"/>
  <c r="DO116" i="15"/>
  <c r="DJ116" i="15"/>
  <c r="DE116" i="15"/>
  <c r="CZ116" i="15"/>
  <c r="CU116" i="15"/>
  <c r="CP116" i="15"/>
  <c r="CK116" i="15"/>
  <c r="CF116" i="15"/>
  <c r="CA116" i="15"/>
  <c r="BV116" i="15"/>
  <c r="BQ116" i="15"/>
  <c r="BL116" i="15"/>
  <c r="BG116" i="15"/>
  <c r="BB116" i="15"/>
  <c r="AW116" i="15"/>
  <c r="AR116" i="15"/>
  <c r="AM116" i="15"/>
  <c r="AH116" i="15"/>
  <c r="AC116" i="15"/>
  <c r="X116" i="15"/>
  <c r="S116" i="15"/>
  <c r="N116" i="15"/>
  <c r="I116" i="15"/>
  <c r="FF115" i="15"/>
  <c r="FE115" i="15"/>
  <c r="FD115" i="15"/>
  <c r="FC115" i="15"/>
  <c r="FB115" i="15"/>
  <c r="FA115" i="15"/>
  <c r="EZ115" i="15"/>
  <c r="EY115" i="15"/>
  <c r="EX115" i="15"/>
  <c r="EW115" i="15"/>
  <c r="EV115" i="15"/>
  <c r="EU115" i="15"/>
  <c r="ET115" i="15"/>
  <c r="ES115" i="15"/>
  <c r="EN115" i="15"/>
  <c r="EI115" i="15"/>
  <c r="ED115" i="15"/>
  <c r="DY115" i="15"/>
  <c r="DT115" i="15"/>
  <c r="DO115" i="15"/>
  <c r="DJ115" i="15"/>
  <c r="DE115" i="15"/>
  <c r="CZ115" i="15"/>
  <c r="CU115" i="15"/>
  <c r="CP115" i="15"/>
  <c r="CK115" i="15"/>
  <c r="CF115" i="15"/>
  <c r="CA115" i="15"/>
  <c r="BV115" i="15"/>
  <c r="BQ115" i="15"/>
  <c r="BL115" i="15"/>
  <c r="BG115" i="15"/>
  <c r="BB115" i="15"/>
  <c r="AW115" i="15"/>
  <c r="AR115" i="15"/>
  <c r="AM115" i="15"/>
  <c r="AH115" i="15"/>
  <c r="AC115" i="15"/>
  <c r="X115" i="15"/>
  <c r="S115" i="15"/>
  <c r="N115" i="15"/>
  <c r="O117" i="15" s="1"/>
  <c r="I115" i="15"/>
  <c r="EN114" i="15"/>
  <c r="EI114" i="15"/>
  <c r="ED114" i="15"/>
  <c r="DY114" i="15"/>
  <c r="DT114" i="15"/>
  <c r="DO114" i="15"/>
  <c r="DJ114" i="15"/>
  <c r="DE114" i="15"/>
  <c r="CZ114" i="15"/>
  <c r="CU114" i="15"/>
  <c r="CP114" i="15"/>
  <c r="CK114" i="15"/>
  <c r="CF114" i="15"/>
  <c r="CA114" i="15"/>
  <c r="BV114" i="15"/>
  <c r="BQ114" i="15"/>
  <c r="BL114" i="15"/>
  <c r="BG114" i="15"/>
  <c r="BB114" i="15"/>
  <c r="AW114" i="15"/>
  <c r="AR114" i="15"/>
  <c r="AM114" i="15"/>
  <c r="AH114" i="15"/>
  <c r="AI117" i="15" s="1"/>
  <c r="AC114" i="15"/>
  <c r="AD117" i="15" s="1"/>
  <c r="X114" i="15"/>
  <c r="S114" i="15"/>
  <c r="N114" i="15"/>
  <c r="I114" i="15"/>
  <c r="J117" i="15" s="1"/>
  <c r="EN113" i="15"/>
  <c r="EI113" i="15"/>
  <c r="ED113" i="15"/>
  <c r="DY113" i="15"/>
  <c r="DT113" i="15"/>
  <c r="DO113" i="15"/>
  <c r="DJ113" i="15"/>
  <c r="DE113" i="15"/>
  <c r="CZ113" i="15"/>
  <c r="CU113" i="15"/>
  <c r="CP113" i="15"/>
  <c r="CK113" i="15"/>
  <c r="CF113" i="15"/>
  <c r="CA113" i="15"/>
  <c r="BV113" i="15"/>
  <c r="BQ113" i="15"/>
  <c r="BR117" i="15" s="1"/>
  <c r="BL113" i="15"/>
  <c r="BG113" i="15"/>
  <c r="BH117" i="15" s="1"/>
  <c r="BB113" i="15"/>
  <c r="AW113" i="15"/>
  <c r="AR113" i="15"/>
  <c r="AM113" i="15"/>
  <c r="AH113" i="15"/>
  <c r="AC113" i="15"/>
  <c r="X113" i="15"/>
  <c r="Y117" i="15" s="1"/>
  <c r="ET111" i="15" s="1"/>
  <c r="S113" i="15"/>
  <c r="N113" i="15"/>
  <c r="I113" i="15"/>
  <c r="EN112" i="15"/>
  <c r="EI112" i="15"/>
  <c r="ED112" i="15"/>
  <c r="DY112" i="15"/>
  <c r="DT112" i="15"/>
  <c r="DO112" i="15"/>
  <c r="DJ112" i="15"/>
  <c r="DE112" i="15"/>
  <c r="CZ112" i="15"/>
  <c r="CU112" i="15"/>
  <c r="CP112" i="15"/>
  <c r="CK112" i="15"/>
  <c r="CF112" i="15"/>
  <c r="CG117" i="15" s="1"/>
  <c r="CA112" i="15"/>
  <c r="BV112" i="15"/>
  <c r="BL112" i="15"/>
  <c r="BM117" i="15" s="1"/>
  <c r="BG112" i="15"/>
  <c r="BB112" i="15"/>
  <c r="BC117" i="15" s="1"/>
  <c r="EW111" i="15" s="1"/>
  <c r="AW112" i="15"/>
  <c r="AR112" i="15"/>
  <c r="AM112" i="15"/>
  <c r="AH112" i="15"/>
  <c r="AC112" i="15"/>
  <c r="X112" i="15"/>
  <c r="S112" i="15"/>
  <c r="N112" i="15"/>
  <c r="I112" i="15"/>
  <c r="EV111" i="15"/>
  <c r="FI110" i="15"/>
  <c r="FH110" i="15"/>
  <c r="FJ110" i="15" s="1"/>
  <c r="FG109" i="15"/>
  <c r="FE109" i="15"/>
  <c r="FD109" i="15"/>
  <c r="FC109" i="15"/>
  <c r="FB109" i="15"/>
  <c r="FA109" i="15"/>
  <c r="EZ109" i="15"/>
  <c r="FH109" i="15" s="1"/>
  <c r="EY109" i="15"/>
  <c r="EX109" i="15"/>
  <c r="EV109" i="15"/>
  <c r="EU109" i="15"/>
  <c r="ET109" i="15"/>
  <c r="ES109" i="15"/>
  <c r="C109" i="15"/>
  <c r="B109" i="15"/>
  <c r="FG108" i="15"/>
  <c r="FE108" i="15"/>
  <c r="FD108" i="15"/>
  <c r="FC108" i="15"/>
  <c r="FB108" i="15"/>
  <c r="FA108" i="15"/>
  <c r="EZ108" i="15"/>
  <c r="EY108" i="15"/>
  <c r="EX108" i="15"/>
  <c r="EV108" i="15"/>
  <c r="EU108" i="15"/>
  <c r="FI108" i="15" s="1"/>
  <c r="ET108" i="15"/>
  <c r="ES108" i="15"/>
  <c r="C108" i="15"/>
  <c r="B108" i="15"/>
  <c r="FG107" i="15"/>
  <c r="FE107" i="15"/>
  <c r="FD107" i="15"/>
  <c r="FC107" i="15"/>
  <c r="FB107" i="15"/>
  <c r="FA107" i="15"/>
  <c r="EZ107" i="15"/>
  <c r="EY107" i="15"/>
  <c r="EX107" i="15"/>
  <c r="EV107" i="15"/>
  <c r="EU107" i="15"/>
  <c r="FI107" i="15" s="1"/>
  <c r="ET107" i="15"/>
  <c r="ES107" i="15"/>
  <c r="C107" i="15"/>
  <c r="B107" i="15"/>
  <c r="FH106" i="15"/>
  <c r="FG106" i="15"/>
  <c r="FE106" i="15"/>
  <c r="FD106" i="15"/>
  <c r="FC106" i="15"/>
  <c r="FB106" i="15"/>
  <c r="FA106" i="15"/>
  <c r="EZ106" i="15"/>
  <c r="EY106" i="15"/>
  <c r="EX106" i="15"/>
  <c r="EV106" i="15"/>
  <c r="EU106" i="15"/>
  <c r="FI106" i="15" s="1"/>
  <c r="ET106" i="15"/>
  <c r="ES106" i="15"/>
  <c r="C106" i="15"/>
  <c r="B106" i="15"/>
  <c r="FH105" i="15"/>
  <c r="FG105" i="15"/>
  <c r="FE105" i="15"/>
  <c r="FD105" i="15"/>
  <c r="FC105" i="15"/>
  <c r="FB105" i="15"/>
  <c r="FA105" i="15"/>
  <c r="EZ105" i="15"/>
  <c r="EY105" i="15"/>
  <c r="EX105" i="15"/>
  <c r="EV105" i="15"/>
  <c r="EU105" i="15"/>
  <c r="FI105" i="15" s="1"/>
  <c r="ET105" i="15"/>
  <c r="ES105" i="15"/>
  <c r="C105" i="15"/>
  <c r="B105" i="15"/>
  <c r="FG104" i="15"/>
  <c r="FE104" i="15"/>
  <c r="FD104" i="15"/>
  <c r="FC104" i="15"/>
  <c r="FB104" i="15"/>
  <c r="FA104" i="15"/>
  <c r="EZ104" i="15"/>
  <c r="EY104" i="15"/>
  <c r="EX104" i="15"/>
  <c r="EV104" i="15"/>
  <c r="EU104" i="15"/>
  <c r="FI104" i="15" s="1"/>
  <c r="ET104" i="15"/>
  <c r="ES104" i="15"/>
  <c r="C104" i="15"/>
  <c r="B104" i="15"/>
  <c r="FG103" i="15"/>
  <c r="FE103" i="15"/>
  <c r="FD103" i="15"/>
  <c r="FC103" i="15"/>
  <c r="FB103" i="15"/>
  <c r="FA103" i="15"/>
  <c r="EZ103" i="15"/>
  <c r="EY103" i="15"/>
  <c r="EX103" i="15"/>
  <c r="EV103" i="15"/>
  <c r="EU103" i="15"/>
  <c r="FI103" i="15" s="1"/>
  <c r="ET103" i="15"/>
  <c r="ES103" i="15"/>
  <c r="C103" i="15"/>
  <c r="B103" i="15"/>
  <c r="FG102" i="15"/>
  <c r="FE102" i="15"/>
  <c r="FD102" i="15"/>
  <c r="FC102" i="15"/>
  <c r="FB102" i="15"/>
  <c r="FA102" i="15"/>
  <c r="EZ102" i="15"/>
  <c r="EY102" i="15"/>
  <c r="EX102" i="15"/>
  <c r="EV102" i="15"/>
  <c r="EU102" i="15"/>
  <c r="FH102" i="15" s="1"/>
  <c r="ET102" i="15"/>
  <c r="ES102" i="15"/>
  <c r="C102" i="15"/>
  <c r="B102" i="15"/>
  <c r="FG101" i="15"/>
  <c r="FE101" i="15"/>
  <c r="FD101" i="15"/>
  <c r="FC101" i="15"/>
  <c r="FB101" i="15"/>
  <c r="FA101" i="15"/>
  <c r="EZ101" i="15"/>
  <c r="FH101" i="15" s="1"/>
  <c r="EY101" i="15"/>
  <c r="EX101" i="15"/>
  <c r="EV101" i="15"/>
  <c r="EU101" i="15"/>
  <c r="FI101" i="15" s="1"/>
  <c r="ET101" i="15"/>
  <c r="ES101" i="15"/>
  <c r="C101" i="15"/>
  <c r="B101" i="15"/>
  <c r="FG100" i="15"/>
  <c r="FE100" i="15"/>
  <c r="FD100" i="15"/>
  <c r="FC100" i="15"/>
  <c r="FB100" i="15"/>
  <c r="FA100" i="15"/>
  <c r="EZ100" i="15"/>
  <c r="FH100" i="15" s="1"/>
  <c r="EY100" i="15"/>
  <c r="EX100" i="15"/>
  <c r="EV100" i="15"/>
  <c r="EU100" i="15"/>
  <c r="FI100" i="15" s="1"/>
  <c r="ET100" i="15"/>
  <c r="ES100" i="15"/>
  <c r="C100" i="15"/>
  <c r="B100" i="15"/>
  <c r="FG99" i="15"/>
  <c r="FE99" i="15"/>
  <c r="FD99" i="15"/>
  <c r="FC99" i="15"/>
  <c r="FB99" i="15"/>
  <c r="FA99" i="15"/>
  <c r="EZ99" i="15"/>
  <c r="EY99" i="15"/>
  <c r="EX99" i="15"/>
  <c r="EV99" i="15"/>
  <c r="EU99" i="15"/>
  <c r="FI99" i="15" s="1"/>
  <c r="ET99" i="15"/>
  <c r="ES99" i="15"/>
  <c r="C99" i="15"/>
  <c r="B99" i="15"/>
  <c r="FG98" i="15"/>
  <c r="FE98" i="15"/>
  <c r="FD98" i="15"/>
  <c r="FC98" i="15"/>
  <c r="FB98" i="15"/>
  <c r="FA98" i="15"/>
  <c r="EZ98" i="15"/>
  <c r="EY98" i="15"/>
  <c r="EX98" i="15"/>
  <c r="EV98" i="15"/>
  <c r="EU98" i="15"/>
  <c r="FI98" i="15" s="1"/>
  <c r="ET98" i="15"/>
  <c r="ES98" i="15"/>
  <c r="C98" i="15"/>
  <c r="B98" i="15"/>
  <c r="FH97" i="15"/>
  <c r="FG97" i="15"/>
  <c r="FE97" i="15"/>
  <c r="FD97" i="15"/>
  <c r="FC97" i="15"/>
  <c r="FB97" i="15"/>
  <c r="FA97" i="15"/>
  <c r="EZ97" i="15"/>
  <c r="EY97" i="15"/>
  <c r="EX97" i="15"/>
  <c r="EV97" i="15"/>
  <c r="EU97" i="15"/>
  <c r="FI97" i="15" s="1"/>
  <c r="ET97" i="15"/>
  <c r="ES97" i="15"/>
  <c r="C97" i="15"/>
  <c r="B97" i="15"/>
  <c r="FH96" i="15"/>
  <c r="FG96" i="15"/>
  <c r="FE96" i="15"/>
  <c r="FD96" i="15"/>
  <c r="FC96" i="15"/>
  <c r="FB96" i="15"/>
  <c r="FA96" i="15"/>
  <c r="EZ96" i="15"/>
  <c r="EY96" i="15"/>
  <c r="EX96" i="15"/>
  <c r="EV96" i="15"/>
  <c r="EU96" i="15"/>
  <c r="FI96" i="15" s="1"/>
  <c r="ET96" i="15"/>
  <c r="ES96" i="15"/>
  <c r="C96" i="15"/>
  <c r="B96" i="15"/>
  <c r="FG95" i="15"/>
  <c r="FE95" i="15"/>
  <c r="FD95" i="15"/>
  <c r="FC95" i="15"/>
  <c r="FB95" i="15"/>
  <c r="FA95" i="15"/>
  <c r="EZ95" i="15"/>
  <c r="EY95" i="15"/>
  <c r="EX95" i="15"/>
  <c r="EV95" i="15"/>
  <c r="EU95" i="15"/>
  <c r="FI95" i="15" s="1"/>
  <c r="ET95" i="15"/>
  <c r="ES95" i="15"/>
  <c r="C95" i="15"/>
  <c r="B95" i="15"/>
  <c r="FG94" i="15"/>
  <c r="FE94" i="15"/>
  <c r="FD94" i="15"/>
  <c r="FC94" i="15"/>
  <c r="FB94" i="15"/>
  <c r="FA94" i="15"/>
  <c r="EZ94" i="15"/>
  <c r="EY94" i="15"/>
  <c r="EX94" i="15"/>
  <c r="EV94" i="15"/>
  <c r="EU94" i="15"/>
  <c r="FI94" i="15" s="1"/>
  <c r="ET94" i="15"/>
  <c r="ES94" i="15"/>
  <c r="C94" i="15"/>
  <c r="B94" i="15"/>
  <c r="FG93" i="15"/>
  <c r="FE93" i="15"/>
  <c r="FD93" i="15"/>
  <c r="FC93" i="15"/>
  <c r="FB93" i="15"/>
  <c r="FA93" i="15"/>
  <c r="EZ93" i="15"/>
  <c r="FH93" i="15" s="1"/>
  <c r="EY93" i="15"/>
  <c r="EX93" i="15"/>
  <c r="EV93" i="15"/>
  <c r="EU93" i="15"/>
  <c r="FI93" i="15" s="1"/>
  <c r="ET93" i="15"/>
  <c r="ES93" i="15"/>
  <c r="C93" i="15"/>
  <c r="B93" i="15"/>
  <c r="FG92" i="15"/>
  <c r="FE92" i="15"/>
  <c r="FD92" i="15"/>
  <c r="FC92" i="15"/>
  <c r="FB92" i="15"/>
  <c r="FA92" i="15"/>
  <c r="EZ92" i="15"/>
  <c r="FH92" i="15" s="1"/>
  <c r="EY92" i="15"/>
  <c r="EX92" i="15"/>
  <c r="EV92" i="15"/>
  <c r="EU92" i="15"/>
  <c r="FI92" i="15" s="1"/>
  <c r="ET92" i="15"/>
  <c r="ES92" i="15"/>
  <c r="C92" i="15"/>
  <c r="B92" i="15"/>
  <c r="FG91" i="15"/>
  <c r="FE91" i="15"/>
  <c r="FD91" i="15"/>
  <c r="FC91" i="15"/>
  <c r="FB91" i="15"/>
  <c r="FA91" i="15"/>
  <c r="EZ91" i="15"/>
  <c r="EY91" i="15"/>
  <c r="EX91" i="15"/>
  <c r="EV91" i="15"/>
  <c r="EU91" i="15"/>
  <c r="FI91" i="15" s="1"/>
  <c r="ET91" i="15"/>
  <c r="ES91" i="15"/>
  <c r="C91" i="15"/>
  <c r="B91" i="15"/>
  <c r="FG90" i="15"/>
  <c r="FE90" i="15"/>
  <c r="FD90" i="15"/>
  <c r="FC90" i="15"/>
  <c r="FB90" i="15"/>
  <c r="FA90" i="15"/>
  <c r="EZ90" i="15"/>
  <c r="EY90" i="15"/>
  <c r="EX90" i="15"/>
  <c r="EV90" i="15"/>
  <c r="EU90" i="15"/>
  <c r="FI90" i="15" s="1"/>
  <c r="ET90" i="15"/>
  <c r="ES90" i="15"/>
  <c r="C90" i="15"/>
  <c r="B90" i="15"/>
  <c r="FH89" i="15"/>
  <c r="FG89" i="15"/>
  <c r="FE89" i="15"/>
  <c r="FD89" i="15"/>
  <c r="FC89" i="15"/>
  <c r="FB89" i="15"/>
  <c r="FA89" i="15"/>
  <c r="EZ89" i="15"/>
  <c r="EY89" i="15"/>
  <c r="EX89" i="15"/>
  <c r="EV89" i="15"/>
  <c r="EU89" i="15"/>
  <c r="FI89" i="15" s="1"/>
  <c r="ET89" i="15"/>
  <c r="ES89" i="15"/>
  <c r="C89" i="15"/>
  <c r="B89" i="15"/>
  <c r="FH88" i="15"/>
  <c r="FG88" i="15"/>
  <c r="FE88" i="15"/>
  <c r="FD88" i="15"/>
  <c r="FC88" i="15"/>
  <c r="FB88" i="15"/>
  <c r="FA88" i="15"/>
  <c r="EZ88" i="15"/>
  <c r="EY88" i="15"/>
  <c r="EX88" i="15"/>
  <c r="EV88" i="15"/>
  <c r="EU88" i="15"/>
  <c r="FI88" i="15" s="1"/>
  <c r="ET88" i="15"/>
  <c r="ES88" i="15"/>
  <c r="C88" i="15"/>
  <c r="B88" i="15"/>
  <c r="FG87" i="15"/>
  <c r="FE87" i="15"/>
  <c r="FD87" i="15"/>
  <c r="FC87" i="15"/>
  <c r="FB87" i="15"/>
  <c r="FA87" i="15"/>
  <c r="EZ87" i="15"/>
  <c r="EY87" i="15"/>
  <c r="EX87" i="15"/>
  <c r="EV87" i="15"/>
  <c r="EU87" i="15"/>
  <c r="FI87" i="15" s="1"/>
  <c r="ET87" i="15"/>
  <c r="ES87" i="15"/>
  <c r="C87" i="15"/>
  <c r="B87" i="15"/>
  <c r="FG86" i="15"/>
  <c r="FE86" i="15"/>
  <c r="FD86" i="15"/>
  <c r="FC86" i="15"/>
  <c r="FB86" i="15"/>
  <c r="FA86" i="15"/>
  <c r="EZ86" i="15"/>
  <c r="EY86" i="15"/>
  <c r="EX86" i="15"/>
  <c r="EV86" i="15"/>
  <c r="EU86" i="15"/>
  <c r="FI86" i="15" s="1"/>
  <c r="ET86" i="15"/>
  <c r="ES86" i="15"/>
  <c r="C86" i="15"/>
  <c r="B86" i="15"/>
  <c r="FG85" i="15"/>
  <c r="FE85" i="15"/>
  <c r="FD85" i="15"/>
  <c r="FC85" i="15"/>
  <c r="FB85" i="15"/>
  <c r="FA85" i="15"/>
  <c r="EZ85" i="15"/>
  <c r="FH85" i="15" s="1"/>
  <c r="EY85" i="15"/>
  <c r="EX85" i="15"/>
  <c r="EV85" i="15"/>
  <c r="EU85" i="15"/>
  <c r="FI85" i="15" s="1"/>
  <c r="ET85" i="15"/>
  <c r="ES85" i="15"/>
  <c r="C85" i="15"/>
  <c r="B85" i="15"/>
  <c r="FG84" i="15"/>
  <c r="FE84" i="15"/>
  <c r="FD84" i="15"/>
  <c r="FC84" i="15"/>
  <c r="FB84" i="15"/>
  <c r="FA84" i="15"/>
  <c r="EZ84" i="15"/>
  <c r="FH84" i="15" s="1"/>
  <c r="EY84" i="15"/>
  <c r="EX84" i="15"/>
  <c r="EV84" i="15"/>
  <c r="EU84" i="15"/>
  <c r="FI84" i="15" s="1"/>
  <c r="ET84" i="15"/>
  <c r="ES84" i="15"/>
  <c r="C84" i="15"/>
  <c r="B84" i="15"/>
  <c r="FG83" i="15"/>
  <c r="FE83" i="15"/>
  <c r="FD83" i="15"/>
  <c r="FC83" i="15"/>
  <c r="FB83" i="15"/>
  <c r="FA83" i="15"/>
  <c r="EZ83" i="15"/>
  <c r="EY83" i="15"/>
  <c r="EX83" i="15"/>
  <c r="EV83" i="15"/>
  <c r="EU83" i="15"/>
  <c r="FI83" i="15" s="1"/>
  <c r="ET83" i="15"/>
  <c r="ES83" i="15"/>
  <c r="C83" i="15"/>
  <c r="B83" i="15"/>
  <c r="FG82" i="15"/>
  <c r="FE82" i="15"/>
  <c r="FD82" i="15"/>
  <c r="FC82" i="15"/>
  <c r="FB82" i="15"/>
  <c r="FA82" i="15"/>
  <c r="EZ82" i="15"/>
  <c r="EY82" i="15"/>
  <c r="EX82" i="15"/>
  <c r="EV82" i="15"/>
  <c r="EU82" i="15"/>
  <c r="FI82" i="15" s="1"/>
  <c r="ET82" i="15"/>
  <c r="ES82" i="15"/>
  <c r="C82" i="15"/>
  <c r="B82" i="15"/>
  <c r="FH81" i="15"/>
  <c r="FG81" i="15"/>
  <c r="FE81" i="15"/>
  <c r="FD81" i="15"/>
  <c r="FC81" i="15"/>
  <c r="FB81" i="15"/>
  <c r="FA81" i="15"/>
  <c r="EZ81" i="15"/>
  <c r="EY81" i="15"/>
  <c r="EX81" i="15"/>
  <c r="EV81" i="15"/>
  <c r="EU81" i="15"/>
  <c r="FI81" i="15" s="1"/>
  <c r="ET81" i="15"/>
  <c r="ES81" i="15"/>
  <c r="C81" i="15"/>
  <c r="B81" i="15"/>
  <c r="FH80" i="15"/>
  <c r="FG80" i="15"/>
  <c r="FE80" i="15"/>
  <c r="FD80" i="15"/>
  <c r="FC80" i="15"/>
  <c r="FB80" i="15"/>
  <c r="FA80" i="15"/>
  <c r="EZ80" i="15"/>
  <c r="EY80" i="15"/>
  <c r="EX80" i="15"/>
  <c r="EV80" i="15"/>
  <c r="EU80" i="15"/>
  <c r="FI80" i="15" s="1"/>
  <c r="ET80" i="15"/>
  <c r="ES80" i="15"/>
  <c r="C80" i="15"/>
  <c r="B80" i="15"/>
  <c r="FG79" i="15"/>
  <c r="FE79" i="15"/>
  <c r="FD79" i="15"/>
  <c r="FC79" i="15"/>
  <c r="FB79" i="15"/>
  <c r="FA79" i="15"/>
  <c r="EZ79" i="15"/>
  <c r="EY79" i="15"/>
  <c r="EX79" i="15"/>
  <c r="EV79" i="15"/>
  <c r="EU79" i="15"/>
  <c r="FI79" i="15" s="1"/>
  <c r="ET79" i="15"/>
  <c r="ES79" i="15"/>
  <c r="C79" i="15"/>
  <c r="B79" i="15"/>
  <c r="FG78" i="15"/>
  <c r="FE78" i="15"/>
  <c r="FD78" i="15"/>
  <c r="FC78" i="15"/>
  <c r="FB78" i="15"/>
  <c r="FA78" i="15"/>
  <c r="EZ78" i="15"/>
  <c r="EY78" i="15"/>
  <c r="EX78" i="15"/>
  <c r="EV78" i="15"/>
  <c r="EU78" i="15"/>
  <c r="FI78" i="15" s="1"/>
  <c r="ET78" i="15"/>
  <c r="ES78" i="15"/>
  <c r="C78" i="15"/>
  <c r="B78" i="15"/>
  <c r="FG77" i="15"/>
  <c r="FE77" i="15"/>
  <c r="FD77" i="15"/>
  <c r="FC77" i="15"/>
  <c r="FB77" i="15"/>
  <c r="FA77" i="15"/>
  <c r="EZ77" i="15"/>
  <c r="FH77" i="15" s="1"/>
  <c r="EY77" i="15"/>
  <c r="EX77" i="15"/>
  <c r="EV77" i="15"/>
  <c r="EU77" i="15"/>
  <c r="FI77" i="15" s="1"/>
  <c r="ET77" i="15"/>
  <c r="ES77" i="15"/>
  <c r="C77" i="15"/>
  <c r="B77" i="15"/>
  <c r="FG76" i="15"/>
  <c r="FE76" i="15"/>
  <c r="FD76" i="15"/>
  <c r="FC76" i="15"/>
  <c r="FB76" i="15"/>
  <c r="FA76" i="15"/>
  <c r="EZ76" i="15"/>
  <c r="FH76" i="15" s="1"/>
  <c r="EY76" i="15"/>
  <c r="EX76" i="15"/>
  <c r="EV76" i="15"/>
  <c r="EU76" i="15"/>
  <c r="FI76" i="15" s="1"/>
  <c r="ET76" i="15"/>
  <c r="ES76" i="15"/>
  <c r="C76" i="15"/>
  <c r="B76" i="15"/>
  <c r="FG75" i="15"/>
  <c r="FE75" i="15"/>
  <c r="FD75" i="15"/>
  <c r="FC75" i="15"/>
  <c r="FB75" i="15"/>
  <c r="FA75" i="15"/>
  <c r="EZ75" i="15"/>
  <c r="EY75" i="15"/>
  <c r="EX75" i="15"/>
  <c r="EV75" i="15"/>
  <c r="EU75" i="15"/>
  <c r="FI75" i="15" s="1"/>
  <c r="ET75" i="15"/>
  <c r="ES75" i="15"/>
  <c r="C75" i="15"/>
  <c r="B75" i="15"/>
  <c r="FG74" i="15"/>
  <c r="FE74" i="15"/>
  <c r="FD74" i="15"/>
  <c r="FC74" i="15"/>
  <c r="FB74" i="15"/>
  <c r="FA74" i="15"/>
  <c r="EZ74" i="15"/>
  <c r="EY74" i="15"/>
  <c r="EX74" i="15"/>
  <c r="EV74" i="15"/>
  <c r="EU74" i="15"/>
  <c r="FI74" i="15" s="1"/>
  <c r="ET74" i="15"/>
  <c r="ES74" i="15"/>
  <c r="C74" i="15"/>
  <c r="B74" i="15"/>
  <c r="FH73" i="15"/>
  <c r="FG73" i="15"/>
  <c r="FE73" i="15"/>
  <c r="FD73" i="15"/>
  <c r="FC73" i="15"/>
  <c r="FB73" i="15"/>
  <c r="FA73" i="15"/>
  <c r="EZ73" i="15"/>
  <c r="EY73" i="15"/>
  <c r="EX73" i="15"/>
  <c r="EV73" i="15"/>
  <c r="EU73" i="15"/>
  <c r="FI73" i="15" s="1"/>
  <c r="ET73" i="15"/>
  <c r="ES73" i="15"/>
  <c r="C73" i="15"/>
  <c r="B73" i="15"/>
  <c r="FH72" i="15"/>
  <c r="FG72" i="15"/>
  <c r="FE72" i="15"/>
  <c r="FD72" i="15"/>
  <c r="FC72" i="15"/>
  <c r="FB72" i="15"/>
  <c r="FA72" i="15"/>
  <c r="EZ72" i="15"/>
  <c r="EY72" i="15"/>
  <c r="EX72" i="15"/>
  <c r="EV72" i="15"/>
  <c r="EU72" i="15"/>
  <c r="FI72" i="15" s="1"/>
  <c r="ET72" i="15"/>
  <c r="ES72" i="15"/>
  <c r="C72" i="15"/>
  <c r="B72" i="15"/>
  <c r="FG71" i="15"/>
  <c r="FE71" i="15"/>
  <c r="FD71" i="15"/>
  <c r="FC71" i="15"/>
  <c r="FB71" i="15"/>
  <c r="FA71" i="15"/>
  <c r="EZ71" i="15"/>
  <c r="EY71" i="15"/>
  <c r="EX71" i="15"/>
  <c r="EV71" i="15"/>
  <c r="EU71" i="15"/>
  <c r="ET71" i="15"/>
  <c r="ES71" i="15"/>
  <c r="C71" i="15"/>
  <c r="B71" i="15"/>
  <c r="FG70" i="15"/>
  <c r="FE70" i="15"/>
  <c r="FD70" i="15"/>
  <c r="FC70" i="15"/>
  <c r="FB70" i="15"/>
  <c r="FA70" i="15"/>
  <c r="EZ70" i="15"/>
  <c r="EY70" i="15"/>
  <c r="EX70" i="15"/>
  <c r="EV70" i="15"/>
  <c r="EU70" i="15"/>
  <c r="ET70" i="15"/>
  <c r="ES70" i="15"/>
  <c r="C70" i="15"/>
  <c r="B70" i="15"/>
  <c r="FG69" i="15"/>
  <c r="FE69" i="15"/>
  <c r="FD69" i="15"/>
  <c r="FC69" i="15"/>
  <c r="FB69" i="15"/>
  <c r="FA69" i="15"/>
  <c r="EZ69" i="15"/>
  <c r="EY69" i="15"/>
  <c r="EX69" i="15"/>
  <c r="EV69" i="15"/>
  <c r="EU69" i="15"/>
  <c r="ET69" i="15"/>
  <c r="ES69" i="15"/>
  <c r="C69" i="15"/>
  <c r="B69" i="15"/>
  <c r="FG68" i="15"/>
  <c r="FE68" i="15"/>
  <c r="FD68" i="15"/>
  <c r="FC68" i="15"/>
  <c r="FB68" i="15"/>
  <c r="FA68" i="15"/>
  <c r="EZ68" i="15"/>
  <c r="EY68" i="15"/>
  <c r="EX68" i="15"/>
  <c r="EV68" i="15"/>
  <c r="EU68" i="15"/>
  <c r="ET68" i="15"/>
  <c r="ES68" i="15"/>
  <c r="C68" i="15"/>
  <c r="B68" i="15"/>
  <c r="FG67" i="15"/>
  <c r="FE67" i="15"/>
  <c r="FD67" i="15"/>
  <c r="FC67" i="15"/>
  <c r="FB67" i="15"/>
  <c r="FI67" i="15" s="1"/>
  <c r="FA67" i="15"/>
  <c r="EZ67" i="15"/>
  <c r="EY67" i="15"/>
  <c r="EX67" i="15"/>
  <c r="EV67" i="15"/>
  <c r="EU67" i="15"/>
  <c r="ET67" i="15"/>
  <c r="ES67" i="15"/>
  <c r="C67" i="15"/>
  <c r="B67" i="15"/>
  <c r="FG66" i="15"/>
  <c r="FE66" i="15"/>
  <c r="FD66" i="15"/>
  <c r="FC66" i="15"/>
  <c r="FB66" i="15"/>
  <c r="FA66" i="15"/>
  <c r="EZ66" i="15"/>
  <c r="EY66" i="15"/>
  <c r="EX66" i="15"/>
  <c r="EV66" i="15"/>
  <c r="EU66" i="15"/>
  <c r="ET66" i="15"/>
  <c r="ES66" i="15"/>
  <c r="C66" i="15"/>
  <c r="B66" i="15"/>
  <c r="FG65" i="15"/>
  <c r="FE65" i="15"/>
  <c r="FD65" i="15"/>
  <c r="FC65" i="15"/>
  <c r="FB65" i="15"/>
  <c r="FA65" i="15"/>
  <c r="EZ65" i="15"/>
  <c r="EY65" i="15"/>
  <c r="EX65" i="15"/>
  <c r="EV65" i="15"/>
  <c r="EU65" i="15"/>
  <c r="ET65" i="15"/>
  <c r="ES65" i="15"/>
  <c r="C65" i="15"/>
  <c r="B65" i="15"/>
  <c r="FG64" i="15"/>
  <c r="FE64" i="15"/>
  <c r="FD64" i="15"/>
  <c r="FC64" i="15"/>
  <c r="FB64" i="15"/>
  <c r="FA64" i="15"/>
  <c r="EZ64" i="15"/>
  <c r="EY64" i="15"/>
  <c r="EX64" i="15"/>
  <c r="EV64" i="15"/>
  <c r="EU64" i="15"/>
  <c r="ET64" i="15"/>
  <c r="ES64" i="15"/>
  <c r="C64" i="15"/>
  <c r="B64" i="15"/>
  <c r="FG63" i="15"/>
  <c r="FE63" i="15"/>
  <c r="FD63" i="15"/>
  <c r="FC63" i="15"/>
  <c r="FB63" i="15"/>
  <c r="FI63" i="15" s="1"/>
  <c r="FA63" i="15"/>
  <c r="EZ63" i="15"/>
  <c r="EY63" i="15"/>
  <c r="EX63" i="15"/>
  <c r="EV63" i="15"/>
  <c r="EU63" i="15"/>
  <c r="ET63" i="15"/>
  <c r="ES63" i="15"/>
  <c r="C63" i="15"/>
  <c r="B63" i="15"/>
  <c r="FG62" i="15"/>
  <c r="FE62" i="15"/>
  <c r="FD62" i="15"/>
  <c r="FC62" i="15"/>
  <c r="FB62" i="15"/>
  <c r="FA62" i="15"/>
  <c r="EZ62" i="15"/>
  <c r="EY62" i="15"/>
  <c r="EX62" i="15"/>
  <c r="EV62" i="15"/>
  <c r="EU62" i="15"/>
  <c r="ET62" i="15"/>
  <c r="ES62" i="15"/>
  <c r="C62" i="15"/>
  <c r="B62" i="15"/>
  <c r="FG61" i="15"/>
  <c r="FE61" i="15"/>
  <c r="FD61" i="15"/>
  <c r="FC61" i="15"/>
  <c r="FB61" i="15"/>
  <c r="FA61" i="15"/>
  <c r="EZ61" i="15"/>
  <c r="EY61" i="15"/>
  <c r="EX61" i="15"/>
  <c r="EV61" i="15"/>
  <c r="EU61" i="15"/>
  <c r="ET61" i="15"/>
  <c r="ES61" i="15"/>
  <c r="C61" i="15"/>
  <c r="B61" i="15"/>
  <c r="FG60" i="15"/>
  <c r="FE60" i="15"/>
  <c r="FD60" i="15"/>
  <c r="FC60" i="15"/>
  <c r="FB60" i="15"/>
  <c r="FA60" i="15"/>
  <c r="EZ60" i="15"/>
  <c r="EY60" i="15"/>
  <c r="EX60" i="15"/>
  <c r="EV60" i="15"/>
  <c r="EU60" i="15"/>
  <c r="ET60" i="15"/>
  <c r="ES60" i="15"/>
  <c r="C60" i="15"/>
  <c r="B60" i="15"/>
  <c r="C57" i="15"/>
  <c r="B57" i="15"/>
  <c r="FI56" i="15"/>
  <c r="FH56" i="15"/>
  <c r="FG56" i="15"/>
  <c r="FD56" i="15"/>
  <c r="FC56" i="15"/>
  <c r="FB56" i="15"/>
  <c r="FA56" i="15"/>
  <c r="EZ56" i="15"/>
  <c r="EY56" i="15"/>
  <c r="EX56" i="15"/>
  <c r="EV56" i="15"/>
  <c r="EU56" i="15"/>
  <c r="ET56" i="15"/>
  <c r="ES56" i="15"/>
  <c r="C56" i="15"/>
  <c r="B56" i="15"/>
  <c r="FI55" i="15"/>
  <c r="FH55" i="15"/>
  <c r="FG55" i="15"/>
  <c r="FD55" i="15"/>
  <c r="FC55" i="15"/>
  <c r="FB55" i="15"/>
  <c r="FA55" i="15"/>
  <c r="EZ55" i="15"/>
  <c r="EY55" i="15"/>
  <c r="EX55" i="15"/>
  <c r="EV55" i="15"/>
  <c r="EU55" i="15"/>
  <c r="ET55" i="15"/>
  <c r="ES55" i="15"/>
  <c r="C55" i="15"/>
  <c r="B55" i="15"/>
  <c r="FI54" i="15"/>
  <c r="FJ54" i="15" s="1"/>
  <c r="FH54" i="15"/>
  <c r="FG54" i="15"/>
  <c r="FD54" i="15"/>
  <c r="FC54" i="15"/>
  <c r="FB54" i="15"/>
  <c r="FA54" i="15"/>
  <c r="EZ54" i="15"/>
  <c r="EY54" i="15"/>
  <c r="EX54" i="15"/>
  <c r="EV54" i="15"/>
  <c r="EU54" i="15"/>
  <c r="ET54" i="15"/>
  <c r="ES54" i="15"/>
  <c r="C54" i="15"/>
  <c r="B54" i="15"/>
  <c r="FI53" i="15"/>
  <c r="FH53" i="15"/>
  <c r="FG53" i="15"/>
  <c r="FD53" i="15"/>
  <c r="FC53" i="15"/>
  <c r="FB53" i="15"/>
  <c r="FA53" i="15"/>
  <c r="EZ53" i="15"/>
  <c r="EY53" i="15"/>
  <c r="EX53" i="15"/>
  <c r="EV53" i="15"/>
  <c r="EU53" i="15"/>
  <c r="ET53" i="15"/>
  <c r="ES53" i="15"/>
  <c r="C53" i="15"/>
  <c r="B53" i="15"/>
  <c r="FI52" i="15"/>
  <c r="FH52" i="15"/>
  <c r="FG52" i="15"/>
  <c r="FD52" i="15"/>
  <c r="FC52" i="15"/>
  <c r="FB52" i="15"/>
  <c r="FA52" i="15"/>
  <c r="EZ52" i="15"/>
  <c r="EY52" i="15"/>
  <c r="EX52" i="15"/>
  <c r="EV52" i="15"/>
  <c r="EU52" i="15"/>
  <c r="ET52" i="15"/>
  <c r="ES52" i="15"/>
  <c r="C52" i="15"/>
  <c r="B52" i="15"/>
  <c r="FI51" i="15"/>
  <c r="FJ51" i="15" s="1"/>
  <c r="FH51" i="15"/>
  <c r="FG51" i="15"/>
  <c r="FD51" i="15"/>
  <c r="FC51" i="15"/>
  <c r="FB51" i="15"/>
  <c r="FA51" i="15"/>
  <c r="EZ51" i="15"/>
  <c r="EY51" i="15"/>
  <c r="EX51" i="15"/>
  <c r="EV51" i="15"/>
  <c r="EU51" i="15"/>
  <c r="ET51" i="15"/>
  <c r="ES51" i="15"/>
  <c r="C51" i="15"/>
  <c r="B51" i="15"/>
  <c r="FI50" i="15"/>
  <c r="FJ50" i="15" s="1"/>
  <c r="FH50" i="15"/>
  <c r="FG50" i="15"/>
  <c r="FD50" i="15"/>
  <c r="FC50" i="15"/>
  <c r="FB50" i="15"/>
  <c r="FA50" i="15"/>
  <c r="EZ50" i="15"/>
  <c r="EY50" i="15"/>
  <c r="EX50" i="15"/>
  <c r="EV50" i="15"/>
  <c r="EU50" i="15"/>
  <c r="ET50" i="15"/>
  <c r="ES50" i="15"/>
  <c r="C50" i="15"/>
  <c r="B50" i="15"/>
  <c r="FI49" i="15"/>
  <c r="FH49" i="15"/>
  <c r="FG49" i="15"/>
  <c r="FD49" i="15"/>
  <c r="FC49" i="15"/>
  <c r="FB49" i="15"/>
  <c r="FA49" i="15"/>
  <c r="EZ49" i="15"/>
  <c r="EY49" i="15"/>
  <c r="EX49" i="15"/>
  <c r="EV49" i="15"/>
  <c r="EU49" i="15"/>
  <c r="ET49" i="15"/>
  <c r="ES49" i="15"/>
  <c r="C49" i="15"/>
  <c r="B49" i="15"/>
  <c r="FI48" i="15"/>
  <c r="FH48" i="15"/>
  <c r="FG48" i="15"/>
  <c r="FD48" i="15"/>
  <c r="FC48" i="15"/>
  <c r="FB48" i="15"/>
  <c r="FA48" i="15"/>
  <c r="EZ48" i="15"/>
  <c r="EY48" i="15"/>
  <c r="EX48" i="15"/>
  <c r="EV48" i="15"/>
  <c r="EU48" i="15"/>
  <c r="ET48" i="15"/>
  <c r="ES48" i="15"/>
  <c r="C48" i="15"/>
  <c r="B48" i="15"/>
  <c r="FI47" i="15"/>
  <c r="FJ47" i="15" s="1"/>
  <c r="FH47" i="15"/>
  <c r="FG47" i="15"/>
  <c r="FD47" i="15"/>
  <c r="FC47" i="15"/>
  <c r="FB47" i="15"/>
  <c r="FA47" i="15"/>
  <c r="EZ47" i="15"/>
  <c r="EY47" i="15"/>
  <c r="EX47" i="15"/>
  <c r="EV47" i="15"/>
  <c r="EU47" i="15"/>
  <c r="ET47" i="15"/>
  <c r="ES47" i="15"/>
  <c r="C47" i="15"/>
  <c r="B47" i="15"/>
  <c r="FI46" i="15"/>
  <c r="FJ46" i="15" s="1"/>
  <c r="FH46" i="15"/>
  <c r="FG46" i="15"/>
  <c r="FD46" i="15"/>
  <c r="FC46" i="15"/>
  <c r="FB46" i="15"/>
  <c r="FA46" i="15"/>
  <c r="EZ46" i="15"/>
  <c r="EY46" i="15"/>
  <c r="EX46" i="15"/>
  <c r="EV46" i="15"/>
  <c r="EU46" i="15"/>
  <c r="ET46" i="15"/>
  <c r="ES46" i="15"/>
  <c r="C46" i="15"/>
  <c r="B46" i="15"/>
  <c r="FI45" i="15"/>
  <c r="FH45" i="15"/>
  <c r="FG45" i="15"/>
  <c r="FD45" i="15"/>
  <c r="FC45" i="15"/>
  <c r="FB45" i="15"/>
  <c r="FA45" i="15"/>
  <c r="EZ45" i="15"/>
  <c r="EY45" i="15"/>
  <c r="EX45" i="15"/>
  <c r="EV45" i="15"/>
  <c r="EU45" i="15"/>
  <c r="ET45" i="15"/>
  <c r="ES45" i="15"/>
  <c r="C45" i="15"/>
  <c r="B45" i="15"/>
  <c r="FI44" i="15"/>
  <c r="FH44" i="15"/>
  <c r="FG44" i="15"/>
  <c r="FD44" i="15"/>
  <c r="FC44" i="15"/>
  <c r="FB44" i="15"/>
  <c r="FA44" i="15"/>
  <c r="EZ44" i="15"/>
  <c r="EY44" i="15"/>
  <c r="EX44" i="15"/>
  <c r="EV44" i="15"/>
  <c r="EU44" i="15"/>
  <c r="ET44" i="15"/>
  <c r="ES44" i="15"/>
  <c r="C44" i="15"/>
  <c r="B44" i="15"/>
  <c r="FI43" i="15"/>
  <c r="FJ43" i="15" s="1"/>
  <c r="FH43" i="15"/>
  <c r="FG43" i="15"/>
  <c r="FD43" i="15"/>
  <c r="FC43" i="15"/>
  <c r="FB43" i="15"/>
  <c r="FA43" i="15"/>
  <c r="EZ43" i="15"/>
  <c r="EY43" i="15"/>
  <c r="EX43" i="15"/>
  <c r="EV43" i="15"/>
  <c r="EU43" i="15"/>
  <c r="ET43" i="15"/>
  <c r="ES43" i="15"/>
  <c r="C43" i="15"/>
  <c r="B43" i="15"/>
  <c r="FI42" i="15"/>
  <c r="FJ42" i="15" s="1"/>
  <c r="FH42" i="15"/>
  <c r="FG42" i="15"/>
  <c r="FD42" i="15"/>
  <c r="FC42" i="15"/>
  <c r="FB42" i="15"/>
  <c r="FA42" i="15"/>
  <c r="EZ42" i="15"/>
  <c r="EY42" i="15"/>
  <c r="EX42" i="15"/>
  <c r="EV42" i="15"/>
  <c r="EU42" i="15"/>
  <c r="ET42" i="15"/>
  <c r="ES42" i="15"/>
  <c r="C42" i="15"/>
  <c r="B42" i="15"/>
  <c r="FI41" i="15"/>
  <c r="FH41" i="15"/>
  <c r="FG41" i="15"/>
  <c r="FD41" i="15"/>
  <c r="FC41" i="15"/>
  <c r="FB41" i="15"/>
  <c r="FA41" i="15"/>
  <c r="EZ41" i="15"/>
  <c r="EY41" i="15"/>
  <c r="EX41" i="15"/>
  <c r="EV41" i="15"/>
  <c r="EU41" i="15"/>
  <c r="ET41" i="15"/>
  <c r="ES41" i="15"/>
  <c r="C41" i="15"/>
  <c r="B41" i="15"/>
  <c r="FI40" i="15"/>
  <c r="FH40" i="15"/>
  <c r="FG40" i="15"/>
  <c r="FD40" i="15"/>
  <c r="FC40" i="15"/>
  <c r="FB40" i="15"/>
  <c r="FA40" i="15"/>
  <c r="EZ40" i="15"/>
  <c r="EY40" i="15"/>
  <c r="EX40" i="15"/>
  <c r="EV40" i="15"/>
  <c r="EU40" i="15"/>
  <c r="ET40" i="15"/>
  <c r="ES40" i="15"/>
  <c r="C40" i="15"/>
  <c r="B40" i="15"/>
  <c r="FI39" i="15"/>
  <c r="FJ39" i="15" s="1"/>
  <c r="FH39" i="15"/>
  <c r="FG39" i="15"/>
  <c r="FD39" i="15"/>
  <c r="FC39" i="15"/>
  <c r="FB39" i="15"/>
  <c r="FA39" i="15"/>
  <c r="EZ39" i="15"/>
  <c r="EY39" i="15"/>
  <c r="EX39" i="15"/>
  <c r="EV39" i="15"/>
  <c r="EU39" i="15"/>
  <c r="ET39" i="15"/>
  <c r="ES39" i="15"/>
  <c r="C39" i="15"/>
  <c r="B39" i="15"/>
  <c r="FI38" i="15"/>
  <c r="FJ38" i="15" s="1"/>
  <c r="FH38" i="15"/>
  <c r="FG38" i="15"/>
  <c r="FD38" i="15"/>
  <c r="FC38" i="15"/>
  <c r="FB38" i="15"/>
  <c r="FA38" i="15"/>
  <c r="EZ38" i="15"/>
  <c r="EY38" i="15"/>
  <c r="EX38" i="15"/>
  <c r="EV38" i="15"/>
  <c r="EU38" i="15"/>
  <c r="ET38" i="15"/>
  <c r="ES38" i="15"/>
  <c r="C38" i="15"/>
  <c r="B38" i="15"/>
  <c r="FI37" i="15"/>
  <c r="FH37" i="15"/>
  <c r="FG37" i="15"/>
  <c r="FD37" i="15"/>
  <c r="FC37" i="15"/>
  <c r="FB37" i="15"/>
  <c r="FA37" i="15"/>
  <c r="EY37" i="15"/>
  <c r="EX37" i="15"/>
  <c r="EV37" i="15"/>
  <c r="EU37" i="15"/>
  <c r="ET37" i="15"/>
  <c r="ES37" i="15"/>
  <c r="C37" i="15"/>
  <c r="B37" i="15"/>
  <c r="FI36" i="15"/>
  <c r="FH36" i="15"/>
  <c r="FG36" i="15"/>
  <c r="C36" i="15"/>
  <c r="B36" i="15"/>
  <c r="FI35" i="15"/>
  <c r="FH35" i="15"/>
  <c r="FG35" i="15"/>
  <c r="C35" i="15"/>
  <c r="B35" i="15"/>
  <c r="FI34" i="15"/>
  <c r="FH34" i="15"/>
  <c r="FG34" i="15"/>
  <c r="C34" i="15"/>
  <c r="B34" i="15"/>
  <c r="FI33" i="15"/>
  <c r="FH33" i="15"/>
  <c r="FG33" i="15"/>
  <c r="C33" i="15"/>
  <c r="B33" i="15"/>
  <c r="FG32" i="15"/>
  <c r="FI32" i="15"/>
  <c r="C32" i="15"/>
  <c r="B32" i="15"/>
  <c r="FI31" i="15"/>
  <c r="FH31" i="15"/>
  <c r="FG31" i="15"/>
  <c r="C31" i="15"/>
  <c r="B31" i="15"/>
  <c r="FG30" i="15"/>
  <c r="C30" i="15"/>
  <c r="B30" i="15"/>
  <c r="FG29" i="15"/>
  <c r="C29" i="15"/>
  <c r="B29" i="15"/>
  <c r="FG28" i="15"/>
  <c r="FI28" i="15"/>
  <c r="C28" i="15"/>
  <c r="B28" i="15"/>
  <c r="FG27" i="15"/>
  <c r="C27" i="15"/>
  <c r="B27" i="15"/>
  <c r="FG26" i="15"/>
  <c r="C26" i="15"/>
  <c r="B26" i="15"/>
  <c r="FG25" i="15"/>
  <c r="C25" i="15"/>
  <c r="B25" i="15"/>
  <c r="FI24" i="15"/>
  <c r="FG24" i="15"/>
  <c r="C24" i="15"/>
  <c r="B24" i="15"/>
  <c r="FG23" i="15"/>
  <c r="C23" i="15"/>
  <c r="B23" i="15"/>
  <c r="FG22" i="15"/>
  <c r="FI22" i="15"/>
  <c r="C22" i="15"/>
  <c r="B22" i="15"/>
  <c r="FG21" i="15"/>
  <c r="C21" i="15"/>
  <c r="B21" i="15"/>
  <c r="FG20" i="15"/>
  <c r="C20" i="15"/>
  <c r="B20" i="15"/>
  <c r="FG19" i="15"/>
  <c r="C19" i="15"/>
  <c r="B19" i="15"/>
  <c r="FG18" i="15"/>
  <c r="C18" i="15"/>
  <c r="B18" i="15"/>
  <c r="FG17" i="15"/>
  <c r="C17" i="15"/>
  <c r="B17" i="15"/>
  <c r="FG16" i="15"/>
  <c r="FF16" i="15"/>
  <c r="C16" i="15"/>
  <c r="B16" i="15"/>
  <c r="FG15" i="15"/>
  <c r="FF15" i="15"/>
  <c r="C15" i="15"/>
  <c r="B15" i="15"/>
  <c r="FG14" i="15"/>
  <c r="FF14" i="15"/>
  <c r="C14" i="15"/>
  <c r="B14" i="15"/>
  <c r="FG13" i="15"/>
  <c r="FF13" i="15"/>
  <c r="B13" i="15"/>
  <c r="FG12" i="15"/>
  <c r="FF12" i="15"/>
  <c r="C12" i="15"/>
  <c r="B12" i="15"/>
  <c r="FG11" i="15"/>
  <c r="FF11" i="15"/>
  <c r="C11" i="15"/>
  <c r="B11" i="15"/>
  <c r="FF10" i="15"/>
  <c r="C10" i="15"/>
  <c r="B10" i="15"/>
  <c r="FF9" i="15"/>
  <c r="C9" i="15"/>
  <c r="B9" i="15"/>
  <c r="FF8" i="15"/>
  <c r="FE8" i="15"/>
  <c r="FD8" i="15"/>
  <c r="FC8" i="15"/>
  <c r="FB8" i="15"/>
  <c r="FA8" i="15"/>
  <c r="EZ8" i="15"/>
  <c r="EY8" i="15"/>
  <c r="EX8" i="15"/>
  <c r="EW8" i="15"/>
  <c r="EV8" i="15"/>
  <c r="EU8" i="15"/>
  <c r="C8" i="15"/>
  <c r="B8" i="15"/>
  <c r="FI119" i="14"/>
  <c r="FH119" i="14"/>
  <c r="ES118" i="14"/>
  <c r="BM117" i="14"/>
  <c r="AS117" i="14"/>
  <c r="Y117" i="14"/>
  <c r="EN116" i="14"/>
  <c r="EI116" i="14"/>
  <c r="ED116" i="14"/>
  <c r="DY116" i="14"/>
  <c r="DT116" i="14"/>
  <c r="DO116" i="14"/>
  <c r="DJ116" i="14"/>
  <c r="DE116" i="14"/>
  <c r="CZ116" i="14"/>
  <c r="CU116" i="14"/>
  <c r="CP116" i="14"/>
  <c r="CK116" i="14"/>
  <c r="CF116" i="14"/>
  <c r="CA116" i="14"/>
  <c r="BV116" i="14"/>
  <c r="BQ116" i="14"/>
  <c r="BL116" i="14"/>
  <c r="BG116" i="14"/>
  <c r="BB116" i="14"/>
  <c r="AW116" i="14"/>
  <c r="AR116" i="14"/>
  <c r="AM116" i="14"/>
  <c r="AO117" i="14" s="1"/>
  <c r="AH116" i="14"/>
  <c r="AC116" i="14"/>
  <c r="X116" i="14"/>
  <c r="S116" i="14"/>
  <c r="N116" i="14"/>
  <c r="I116" i="14"/>
  <c r="FF115" i="14"/>
  <c r="FE115" i="14"/>
  <c r="FD115" i="14"/>
  <c r="FC115" i="14"/>
  <c r="FB115" i="14"/>
  <c r="FA115" i="14"/>
  <c r="EZ115" i="14"/>
  <c r="EY115" i="14"/>
  <c r="EX115" i="14"/>
  <c r="EW115" i="14"/>
  <c r="EV115" i="14"/>
  <c r="EU115" i="14"/>
  <c r="ET115" i="14"/>
  <c r="ES115" i="14"/>
  <c r="EN115" i="14"/>
  <c r="EI115" i="14"/>
  <c r="ED115" i="14"/>
  <c r="DY115" i="14"/>
  <c r="DT115" i="14"/>
  <c r="DO115" i="14"/>
  <c r="DJ115" i="14"/>
  <c r="DE115" i="14"/>
  <c r="CZ115" i="14"/>
  <c r="CU115" i="14"/>
  <c r="CP115" i="14"/>
  <c r="CK115" i="14"/>
  <c r="CF115" i="14"/>
  <c r="CA115" i="14"/>
  <c r="BV115" i="14"/>
  <c r="BQ115" i="14"/>
  <c r="BL115" i="14"/>
  <c r="BG115" i="14"/>
  <c r="BB115" i="14"/>
  <c r="AW115" i="14"/>
  <c r="AR115" i="14"/>
  <c r="AM115" i="14"/>
  <c r="AH115" i="14"/>
  <c r="AC115" i="14"/>
  <c r="X115" i="14"/>
  <c r="S115" i="14"/>
  <c r="N115" i="14"/>
  <c r="I115" i="14"/>
  <c r="EN114" i="14"/>
  <c r="EI114" i="14"/>
  <c r="ED114" i="14"/>
  <c r="DY114" i="14"/>
  <c r="DT114" i="14"/>
  <c r="DO114" i="14"/>
  <c r="DJ114" i="14"/>
  <c r="DE114" i="14"/>
  <c r="CZ114" i="14"/>
  <c r="CU114" i="14"/>
  <c r="CP114" i="14"/>
  <c r="CK114" i="14"/>
  <c r="CF114" i="14"/>
  <c r="CA114" i="14"/>
  <c r="BV114" i="14"/>
  <c r="BQ114" i="14"/>
  <c r="BL114" i="14"/>
  <c r="BG114" i="14"/>
  <c r="BB114" i="14"/>
  <c r="AW114" i="14"/>
  <c r="AR114" i="14"/>
  <c r="AM114" i="14"/>
  <c r="AH114" i="14"/>
  <c r="AC114" i="14"/>
  <c r="X114" i="14"/>
  <c r="S114" i="14"/>
  <c r="N114" i="14"/>
  <c r="I114" i="14"/>
  <c r="EN113" i="14"/>
  <c r="EI113" i="14"/>
  <c r="ED113" i="14"/>
  <c r="DY113" i="14"/>
  <c r="DT113" i="14"/>
  <c r="DO113" i="14"/>
  <c r="DJ113" i="14"/>
  <c r="DE113" i="14"/>
  <c r="CZ113" i="14"/>
  <c r="CU113" i="14"/>
  <c r="CP113" i="14"/>
  <c r="CK113" i="14"/>
  <c r="CF113" i="14"/>
  <c r="CA113" i="14"/>
  <c r="BV113" i="14"/>
  <c r="BQ113" i="14"/>
  <c r="BL113" i="14"/>
  <c r="BG113" i="14"/>
  <c r="BB113" i="14"/>
  <c r="AW113" i="14"/>
  <c r="AR113" i="14"/>
  <c r="AM113" i="14"/>
  <c r="AH113" i="14"/>
  <c r="AC113" i="14"/>
  <c r="X113" i="14"/>
  <c r="S113" i="14"/>
  <c r="N113" i="14"/>
  <c r="I113" i="14"/>
  <c r="EN112" i="14"/>
  <c r="EI112" i="14"/>
  <c r="ED112" i="14"/>
  <c r="DY112" i="14"/>
  <c r="DT112" i="14"/>
  <c r="DO112" i="14"/>
  <c r="DJ112" i="14"/>
  <c r="DE112" i="14"/>
  <c r="CZ112" i="14"/>
  <c r="CU112" i="14"/>
  <c r="CP112" i="14"/>
  <c r="CK112" i="14"/>
  <c r="CF112" i="14"/>
  <c r="CG117" i="14" s="1"/>
  <c r="CA112" i="14"/>
  <c r="CB117" i="14" s="1"/>
  <c r="BV112" i="14"/>
  <c r="BW117" i="14" s="1"/>
  <c r="BQ112" i="14"/>
  <c r="BL112" i="14"/>
  <c r="BG112" i="14"/>
  <c r="BB112" i="14"/>
  <c r="BC117" i="14" s="1"/>
  <c r="AW112" i="14"/>
  <c r="AX117" i="14" s="1"/>
  <c r="AR112" i="14"/>
  <c r="AM112" i="14"/>
  <c r="AH112" i="14"/>
  <c r="AC112" i="14"/>
  <c r="X112" i="14"/>
  <c r="S112" i="14"/>
  <c r="N112" i="14"/>
  <c r="I112" i="14"/>
  <c r="FJ110" i="14"/>
  <c r="FI110" i="14"/>
  <c r="FH110" i="14"/>
  <c r="FG109" i="14"/>
  <c r="FF109" i="14"/>
  <c r="FE109" i="14"/>
  <c r="FD109" i="14"/>
  <c r="FC109" i="14"/>
  <c r="FB109" i="14"/>
  <c r="FA109" i="14"/>
  <c r="EZ109" i="14"/>
  <c r="FH109" i="14" s="1"/>
  <c r="EY109" i="14"/>
  <c r="EX109" i="14"/>
  <c r="EW109" i="14"/>
  <c r="EV109" i="14"/>
  <c r="EU109" i="14"/>
  <c r="ET109" i="14"/>
  <c r="ES109" i="14"/>
  <c r="C109" i="14"/>
  <c r="B109" i="14"/>
  <c r="FG108" i="14"/>
  <c r="FF108" i="14"/>
  <c r="FE108" i="14"/>
  <c r="FD108" i="14"/>
  <c r="FC108" i="14"/>
  <c r="FB108" i="14"/>
  <c r="FA108" i="14"/>
  <c r="EZ108" i="14"/>
  <c r="EY108" i="14"/>
  <c r="EX108" i="14"/>
  <c r="EW108" i="14"/>
  <c r="EV108" i="14"/>
  <c r="EU108" i="14"/>
  <c r="ET108" i="14"/>
  <c r="ES108" i="14"/>
  <c r="C108" i="14"/>
  <c r="B108" i="14"/>
  <c r="FG107" i="14"/>
  <c r="FF107" i="14"/>
  <c r="FE107" i="14"/>
  <c r="FD107" i="14"/>
  <c r="FC107" i="14"/>
  <c r="FB107" i="14"/>
  <c r="FA107" i="14"/>
  <c r="EZ107" i="14"/>
  <c r="EY107" i="14"/>
  <c r="EX107" i="14"/>
  <c r="EW107" i="14"/>
  <c r="EV107" i="14"/>
  <c r="EU107" i="14"/>
  <c r="FI107" i="14" s="1"/>
  <c r="ET107" i="14"/>
  <c r="ES107" i="14"/>
  <c r="C107" i="14"/>
  <c r="B107" i="14"/>
  <c r="FG106" i="14"/>
  <c r="FF106" i="14"/>
  <c r="FE106" i="14"/>
  <c r="FD106" i="14"/>
  <c r="FC106" i="14"/>
  <c r="FB106" i="14"/>
  <c r="FA106" i="14"/>
  <c r="EZ106" i="14"/>
  <c r="EY106" i="14"/>
  <c r="EX106" i="14"/>
  <c r="EW106" i="14"/>
  <c r="EV106" i="14"/>
  <c r="EU106" i="14"/>
  <c r="FH106" i="14" s="1"/>
  <c r="ET106" i="14"/>
  <c r="ES106" i="14"/>
  <c r="C106" i="14"/>
  <c r="B106" i="14"/>
  <c r="FI105" i="14"/>
  <c r="FG105" i="14"/>
  <c r="FF105" i="14"/>
  <c r="FE105" i="14"/>
  <c r="FD105" i="14"/>
  <c r="FC105" i="14"/>
  <c r="FB105" i="14"/>
  <c r="FA105" i="14"/>
  <c r="EZ105" i="14"/>
  <c r="FH105" i="14" s="1"/>
  <c r="EY105" i="14"/>
  <c r="EX105" i="14"/>
  <c r="EW105" i="14"/>
  <c r="EV105" i="14"/>
  <c r="EU105" i="14"/>
  <c r="ET105" i="14"/>
  <c r="ES105" i="14"/>
  <c r="C105" i="14"/>
  <c r="B105" i="14"/>
  <c r="FG104" i="14"/>
  <c r="FF104" i="14"/>
  <c r="FE104" i="14"/>
  <c r="FD104" i="14"/>
  <c r="FC104" i="14"/>
  <c r="FB104" i="14"/>
  <c r="FA104" i="14"/>
  <c r="EZ104" i="14"/>
  <c r="EY104" i="14"/>
  <c r="EX104" i="14"/>
  <c r="EW104" i="14"/>
  <c r="EV104" i="14"/>
  <c r="EU104" i="14"/>
  <c r="FI104" i="14" s="1"/>
  <c r="ET104" i="14"/>
  <c r="ES104" i="14"/>
  <c r="C104" i="14"/>
  <c r="B104" i="14"/>
  <c r="FG103" i="14"/>
  <c r="FF103" i="14"/>
  <c r="FE103" i="14"/>
  <c r="FD103" i="14"/>
  <c r="FC103" i="14"/>
  <c r="FB103" i="14"/>
  <c r="FA103" i="14"/>
  <c r="EZ103" i="14"/>
  <c r="EY103" i="14"/>
  <c r="EX103" i="14"/>
  <c r="EW103" i="14"/>
  <c r="EV103" i="14"/>
  <c r="EU103" i="14"/>
  <c r="ET103" i="14"/>
  <c r="ES103" i="14"/>
  <c r="C103" i="14"/>
  <c r="B103" i="14"/>
  <c r="FG102" i="14"/>
  <c r="FF102" i="14"/>
  <c r="FE102" i="14"/>
  <c r="FD102" i="14"/>
  <c r="FC102" i="14"/>
  <c r="FB102" i="14"/>
  <c r="FA102" i="14"/>
  <c r="EZ102" i="14"/>
  <c r="FI102" i="14" s="1"/>
  <c r="EY102" i="14"/>
  <c r="EX102" i="14"/>
  <c r="EW102" i="14"/>
  <c r="EV102" i="14"/>
  <c r="EU102" i="14"/>
  <c r="ET102" i="14"/>
  <c r="ES102" i="14"/>
  <c r="C102" i="14"/>
  <c r="B102" i="14"/>
  <c r="FG101" i="14"/>
  <c r="FF101" i="14"/>
  <c r="FE101" i="14"/>
  <c r="FD101" i="14"/>
  <c r="FC101" i="14"/>
  <c r="FB101" i="14"/>
  <c r="FA101" i="14"/>
  <c r="EZ101" i="14"/>
  <c r="EY101" i="14"/>
  <c r="EX101" i="14"/>
  <c r="EW101" i="14"/>
  <c r="EV101" i="14"/>
  <c r="EU101" i="14"/>
  <c r="ET101" i="14"/>
  <c r="ES101" i="14"/>
  <c r="C101" i="14"/>
  <c r="B101" i="14"/>
  <c r="EN118" i="14" s="1"/>
  <c r="FG100" i="14"/>
  <c r="FF100" i="14"/>
  <c r="FE100" i="14"/>
  <c r="FD100" i="14"/>
  <c r="FC100" i="14"/>
  <c r="FB100" i="14"/>
  <c r="FA100" i="14"/>
  <c r="EZ100" i="14"/>
  <c r="EY100" i="14"/>
  <c r="EX100" i="14"/>
  <c r="EW100" i="14"/>
  <c r="EV100" i="14"/>
  <c r="EU100" i="14"/>
  <c r="C100" i="14"/>
  <c r="B100" i="14"/>
  <c r="FG99" i="14"/>
  <c r="FF99" i="14"/>
  <c r="FE99" i="14"/>
  <c r="FD99" i="14"/>
  <c r="FC99" i="14"/>
  <c r="FB99" i="14"/>
  <c r="FA99" i="14"/>
  <c r="EZ99" i="14"/>
  <c r="EY99" i="14"/>
  <c r="EX99" i="14"/>
  <c r="EW99" i="14"/>
  <c r="EV99" i="14"/>
  <c r="EU99" i="14"/>
  <c r="ET99" i="14"/>
  <c r="ES99" i="14"/>
  <c r="C99" i="14"/>
  <c r="B99" i="14"/>
  <c r="FG98" i="14"/>
  <c r="FF98" i="14"/>
  <c r="FE98" i="14"/>
  <c r="FD98" i="14"/>
  <c r="FC98" i="14"/>
  <c r="FB98" i="14"/>
  <c r="FA98" i="14"/>
  <c r="EZ98" i="14"/>
  <c r="EY98" i="14"/>
  <c r="EX98" i="14"/>
  <c r="EW98" i="14"/>
  <c r="EV98" i="14"/>
  <c r="EU98" i="14"/>
  <c r="ET98" i="14"/>
  <c r="ES98" i="14"/>
  <c r="C98" i="14"/>
  <c r="B98" i="14"/>
  <c r="FG97" i="14"/>
  <c r="FF97" i="14"/>
  <c r="FE97" i="14"/>
  <c r="FD97" i="14"/>
  <c r="FC97" i="14"/>
  <c r="FB97" i="14"/>
  <c r="FA97" i="14"/>
  <c r="EZ97" i="14"/>
  <c r="EY97" i="14"/>
  <c r="EX97" i="14"/>
  <c r="EW97" i="14"/>
  <c r="EV97" i="14"/>
  <c r="EU97" i="14"/>
  <c r="ET97" i="14"/>
  <c r="ES97" i="14"/>
  <c r="C97" i="14"/>
  <c r="B97" i="14"/>
  <c r="FG96" i="14"/>
  <c r="FF96" i="14"/>
  <c r="FE96" i="14"/>
  <c r="FD96" i="14"/>
  <c r="FC96" i="14"/>
  <c r="FB96" i="14"/>
  <c r="FA96" i="14"/>
  <c r="EZ96" i="14"/>
  <c r="EY96" i="14"/>
  <c r="EX96" i="14"/>
  <c r="EW96" i="14"/>
  <c r="EV96" i="14"/>
  <c r="EU96" i="14"/>
  <c r="ET96" i="14"/>
  <c r="ES96" i="14"/>
  <c r="C96" i="14"/>
  <c r="B96" i="14"/>
  <c r="FG95" i="14"/>
  <c r="FF95" i="14"/>
  <c r="FE95" i="14"/>
  <c r="FD95" i="14"/>
  <c r="FC95" i="14"/>
  <c r="FB95" i="14"/>
  <c r="FA95" i="14"/>
  <c r="EZ95" i="14"/>
  <c r="EY95" i="14"/>
  <c r="EX95" i="14"/>
  <c r="EW95" i="14"/>
  <c r="EV95" i="14"/>
  <c r="EU95" i="14"/>
  <c r="ET95" i="14"/>
  <c r="ES95" i="14"/>
  <c r="C95" i="14"/>
  <c r="B95" i="14"/>
  <c r="FG94" i="14"/>
  <c r="FF94" i="14"/>
  <c r="FE94" i="14"/>
  <c r="FD94" i="14"/>
  <c r="FC94" i="14"/>
  <c r="FB94" i="14"/>
  <c r="FA94" i="14"/>
  <c r="EZ94" i="14"/>
  <c r="EY94" i="14"/>
  <c r="EX94" i="14"/>
  <c r="EW94" i="14"/>
  <c r="EV94" i="14"/>
  <c r="EU94" i="14"/>
  <c r="ET94" i="14"/>
  <c r="ES94" i="14"/>
  <c r="C94" i="14"/>
  <c r="B94" i="14"/>
  <c r="FG93" i="14"/>
  <c r="FF93" i="14"/>
  <c r="FE93" i="14"/>
  <c r="FD93" i="14"/>
  <c r="FC93" i="14"/>
  <c r="FB93" i="14"/>
  <c r="FA93" i="14"/>
  <c r="EZ93" i="14"/>
  <c r="EY93" i="14"/>
  <c r="EX93" i="14"/>
  <c r="EW93" i="14"/>
  <c r="EV93" i="14"/>
  <c r="EU93" i="14"/>
  <c r="ET93" i="14"/>
  <c r="ES93" i="14"/>
  <c r="C93" i="14"/>
  <c r="B93" i="14"/>
  <c r="FG92" i="14"/>
  <c r="FF92" i="14"/>
  <c r="FE92" i="14"/>
  <c r="FD92" i="14"/>
  <c r="FC92" i="14"/>
  <c r="FB92" i="14"/>
  <c r="FA92" i="14"/>
  <c r="EZ92" i="14"/>
  <c r="EY92" i="14"/>
  <c r="EX92" i="14"/>
  <c r="EW92" i="14"/>
  <c r="EV92" i="14"/>
  <c r="EU92" i="14"/>
  <c r="ET92" i="14"/>
  <c r="C92" i="14"/>
  <c r="B92" i="14"/>
  <c r="FG91" i="14"/>
  <c r="FF91" i="14"/>
  <c r="FE91" i="14"/>
  <c r="FD91" i="14"/>
  <c r="FC91" i="14"/>
  <c r="FB91" i="14"/>
  <c r="FA91" i="14"/>
  <c r="EZ91" i="14"/>
  <c r="EY91" i="14"/>
  <c r="EX91" i="14"/>
  <c r="EW91" i="14"/>
  <c r="EV91" i="14"/>
  <c r="EU91" i="14"/>
  <c r="ET91" i="14"/>
  <c r="ES91" i="14"/>
  <c r="C91" i="14"/>
  <c r="B91" i="14"/>
  <c r="FG90" i="14"/>
  <c r="FF90" i="14"/>
  <c r="FE90" i="14"/>
  <c r="FD90" i="14"/>
  <c r="FC90" i="14"/>
  <c r="FB90" i="14"/>
  <c r="FA90" i="14"/>
  <c r="EZ90" i="14"/>
  <c r="EY90" i="14"/>
  <c r="EX90" i="14"/>
  <c r="EW90" i="14"/>
  <c r="EV90" i="14"/>
  <c r="EU90" i="14"/>
  <c r="ET90" i="14"/>
  <c r="ES90" i="14"/>
  <c r="C90" i="14"/>
  <c r="B90" i="14"/>
  <c r="FG89" i="14"/>
  <c r="FF89" i="14"/>
  <c r="FE89" i="14"/>
  <c r="FD89" i="14"/>
  <c r="FC89" i="14"/>
  <c r="FB89" i="14"/>
  <c r="FA89" i="14"/>
  <c r="EZ89" i="14"/>
  <c r="EY89" i="14"/>
  <c r="EX89" i="14"/>
  <c r="EW89" i="14"/>
  <c r="EV89" i="14"/>
  <c r="EU89" i="14"/>
  <c r="ET89" i="14"/>
  <c r="ES89" i="14"/>
  <c r="C89" i="14"/>
  <c r="B89" i="14"/>
  <c r="FG88" i="14"/>
  <c r="FF88" i="14"/>
  <c r="FE88" i="14"/>
  <c r="FD88" i="14"/>
  <c r="FC88" i="14"/>
  <c r="FB88" i="14"/>
  <c r="FA88" i="14"/>
  <c r="EZ88" i="14"/>
  <c r="EY88" i="14"/>
  <c r="EX88" i="14"/>
  <c r="EW88" i="14"/>
  <c r="EV88" i="14"/>
  <c r="EU88" i="14"/>
  <c r="ET88" i="14"/>
  <c r="ES88" i="14"/>
  <c r="C88" i="14"/>
  <c r="B88" i="14"/>
  <c r="FG87" i="14"/>
  <c r="FF87" i="14"/>
  <c r="FE87" i="14"/>
  <c r="FD87" i="14"/>
  <c r="FC87" i="14"/>
  <c r="FB87" i="14"/>
  <c r="FA87" i="14"/>
  <c r="EZ87" i="14"/>
  <c r="EY87" i="14"/>
  <c r="EX87" i="14"/>
  <c r="EW87" i="14"/>
  <c r="EV87" i="14"/>
  <c r="EU87" i="14"/>
  <c r="ET87" i="14"/>
  <c r="ES87" i="14"/>
  <c r="C87" i="14"/>
  <c r="B87" i="14"/>
  <c r="FG86" i="14"/>
  <c r="FF86" i="14"/>
  <c r="FE86" i="14"/>
  <c r="FD86" i="14"/>
  <c r="FC86" i="14"/>
  <c r="FB86" i="14"/>
  <c r="FA86" i="14"/>
  <c r="EZ86" i="14"/>
  <c r="EY86" i="14"/>
  <c r="EX86" i="14"/>
  <c r="EW86" i="14"/>
  <c r="EV86" i="14"/>
  <c r="EU86" i="14"/>
  <c r="ET86" i="14"/>
  <c r="C86" i="14"/>
  <c r="B86" i="14"/>
  <c r="FG85" i="14"/>
  <c r="FF85" i="14"/>
  <c r="FE85" i="14"/>
  <c r="FD85" i="14"/>
  <c r="FC85" i="14"/>
  <c r="FB85" i="14"/>
  <c r="FA85" i="14"/>
  <c r="EZ85" i="14"/>
  <c r="EY85" i="14"/>
  <c r="EX85" i="14"/>
  <c r="EW85" i="14"/>
  <c r="EV85" i="14"/>
  <c r="EU85" i="14"/>
  <c r="ET85" i="14"/>
  <c r="ES85" i="14"/>
  <c r="C85" i="14"/>
  <c r="B85" i="14"/>
  <c r="FG84" i="14"/>
  <c r="FF84" i="14"/>
  <c r="FE84" i="14"/>
  <c r="FD84" i="14"/>
  <c r="FC84" i="14"/>
  <c r="FB84" i="14"/>
  <c r="FA84" i="14"/>
  <c r="EZ84" i="14"/>
  <c r="EY84" i="14"/>
  <c r="EX84" i="14"/>
  <c r="EW84" i="14"/>
  <c r="EV84" i="14"/>
  <c r="EU84" i="14"/>
  <c r="ET84" i="14"/>
  <c r="ES84" i="14"/>
  <c r="C84" i="14"/>
  <c r="B84" i="14"/>
  <c r="FG83" i="14"/>
  <c r="FF83" i="14"/>
  <c r="FE83" i="14"/>
  <c r="FD83" i="14"/>
  <c r="FC83" i="14"/>
  <c r="FB83" i="14"/>
  <c r="FA83" i="14"/>
  <c r="EZ83" i="14"/>
  <c r="EY83" i="14"/>
  <c r="EX83" i="14"/>
  <c r="EW83" i="14"/>
  <c r="EV83" i="14"/>
  <c r="EU83" i="14"/>
  <c r="ET83" i="14"/>
  <c r="ES83" i="14"/>
  <c r="C83" i="14"/>
  <c r="B83" i="14"/>
  <c r="FG82" i="14"/>
  <c r="FF82" i="14"/>
  <c r="FE82" i="14"/>
  <c r="FD82" i="14"/>
  <c r="FC82" i="14"/>
  <c r="FB82" i="14"/>
  <c r="FA82" i="14"/>
  <c r="EZ82" i="14"/>
  <c r="EY82" i="14"/>
  <c r="EX82" i="14"/>
  <c r="EW82" i="14"/>
  <c r="EV82" i="14"/>
  <c r="EU82" i="14"/>
  <c r="ET82" i="14"/>
  <c r="ES82" i="14"/>
  <c r="C82" i="14"/>
  <c r="B82" i="14"/>
  <c r="FG81" i="14"/>
  <c r="FF81" i="14"/>
  <c r="FE81" i="14"/>
  <c r="FD81" i="14"/>
  <c r="FC81" i="14"/>
  <c r="FB81" i="14"/>
  <c r="FA81" i="14"/>
  <c r="EZ81" i="14"/>
  <c r="EY81" i="14"/>
  <c r="EX81" i="14"/>
  <c r="EW81" i="14"/>
  <c r="EV81" i="14"/>
  <c r="EU81" i="14"/>
  <c r="ET81" i="14"/>
  <c r="ES81" i="14"/>
  <c r="C81" i="14"/>
  <c r="B81" i="14"/>
  <c r="FG80" i="14"/>
  <c r="FF80" i="14"/>
  <c r="FE80" i="14"/>
  <c r="FD80" i="14"/>
  <c r="FC80" i="14"/>
  <c r="FB80" i="14"/>
  <c r="FA80" i="14"/>
  <c r="EZ80" i="14"/>
  <c r="EY80" i="14"/>
  <c r="EX80" i="14"/>
  <c r="EW80" i="14"/>
  <c r="EV80" i="14"/>
  <c r="EU80" i="14"/>
  <c r="ET80" i="14"/>
  <c r="ES80" i="14"/>
  <c r="C80" i="14"/>
  <c r="B80" i="14"/>
  <c r="FG79" i="14"/>
  <c r="FF79" i="14"/>
  <c r="FE79" i="14"/>
  <c r="FD79" i="14"/>
  <c r="FC79" i="14"/>
  <c r="FB79" i="14"/>
  <c r="FA79" i="14"/>
  <c r="EZ79" i="14"/>
  <c r="EY79" i="14"/>
  <c r="EX79" i="14"/>
  <c r="EW79" i="14"/>
  <c r="EV79" i="14"/>
  <c r="EU79" i="14"/>
  <c r="ET79" i="14"/>
  <c r="ES79" i="14"/>
  <c r="C79" i="14"/>
  <c r="B79" i="14"/>
  <c r="FG78" i="14"/>
  <c r="FF78" i="14"/>
  <c r="FE78" i="14"/>
  <c r="FD78" i="14"/>
  <c r="FC78" i="14"/>
  <c r="FB78" i="14"/>
  <c r="FA78" i="14"/>
  <c r="EZ78" i="14"/>
  <c r="EY78" i="14"/>
  <c r="EX78" i="14"/>
  <c r="EW78" i="14"/>
  <c r="EV78" i="14"/>
  <c r="C78" i="14"/>
  <c r="B78" i="14"/>
  <c r="FG77" i="14"/>
  <c r="FF77" i="14"/>
  <c r="FE77" i="14"/>
  <c r="FD77" i="14"/>
  <c r="FC77" i="14"/>
  <c r="FB77" i="14"/>
  <c r="FA77" i="14"/>
  <c r="EZ77" i="14"/>
  <c r="EY77" i="14"/>
  <c r="EX77" i="14"/>
  <c r="EW77" i="14"/>
  <c r="EV77" i="14"/>
  <c r="EU77" i="14"/>
  <c r="ET77" i="14"/>
  <c r="ES77" i="14"/>
  <c r="C77" i="14"/>
  <c r="B77" i="14"/>
  <c r="FG76" i="14"/>
  <c r="FF76" i="14"/>
  <c r="FE76" i="14"/>
  <c r="FD76" i="14"/>
  <c r="FC76" i="14"/>
  <c r="FB76" i="14"/>
  <c r="FA76" i="14"/>
  <c r="EZ76" i="14"/>
  <c r="EY76" i="14"/>
  <c r="EX76" i="14"/>
  <c r="EW76" i="14"/>
  <c r="EV76" i="14"/>
  <c r="EU76" i="14"/>
  <c r="ET76" i="14"/>
  <c r="ES76" i="14"/>
  <c r="C76" i="14"/>
  <c r="B76" i="14"/>
  <c r="FG75" i="14"/>
  <c r="FF75" i="14"/>
  <c r="FE75" i="14"/>
  <c r="FD75" i="14"/>
  <c r="FC75" i="14"/>
  <c r="FB75" i="14"/>
  <c r="FA75" i="14"/>
  <c r="EZ75" i="14"/>
  <c r="EY75" i="14"/>
  <c r="EX75" i="14"/>
  <c r="EW75" i="14"/>
  <c r="EV75" i="14"/>
  <c r="EU75" i="14"/>
  <c r="ET75" i="14"/>
  <c r="ES75" i="14"/>
  <c r="C75" i="14"/>
  <c r="B75" i="14"/>
  <c r="FG74" i="14"/>
  <c r="FF74" i="14"/>
  <c r="FE74" i="14"/>
  <c r="FD74" i="14"/>
  <c r="FC74" i="14"/>
  <c r="FB74" i="14"/>
  <c r="FA74" i="14"/>
  <c r="EZ74" i="14"/>
  <c r="EY74" i="14"/>
  <c r="EX74" i="14"/>
  <c r="EW74" i="14"/>
  <c r="EV74" i="14"/>
  <c r="EU74" i="14"/>
  <c r="ET74" i="14"/>
  <c r="ES74" i="14"/>
  <c r="C74" i="14"/>
  <c r="B74" i="14"/>
  <c r="FG73" i="14"/>
  <c r="FF73" i="14"/>
  <c r="FE73" i="14"/>
  <c r="FD73" i="14"/>
  <c r="FC73" i="14"/>
  <c r="FB73" i="14"/>
  <c r="FA73" i="14"/>
  <c r="EZ73" i="14"/>
  <c r="EY73" i="14"/>
  <c r="EX73" i="14"/>
  <c r="EW73" i="14"/>
  <c r="EV73" i="14"/>
  <c r="EU73" i="14"/>
  <c r="ET73" i="14"/>
  <c r="ES73" i="14"/>
  <c r="C73" i="14"/>
  <c r="B73" i="14"/>
  <c r="FG72" i="14"/>
  <c r="FF72" i="14"/>
  <c r="FE72" i="14"/>
  <c r="FD72" i="14"/>
  <c r="FC72" i="14"/>
  <c r="FB72" i="14"/>
  <c r="FA72" i="14"/>
  <c r="EZ72" i="14"/>
  <c r="EY72" i="14"/>
  <c r="EX72" i="14"/>
  <c r="EW72" i="14"/>
  <c r="EV72" i="14"/>
  <c r="EU72" i="14"/>
  <c r="ET72" i="14"/>
  <c r="ES72" i="14"/>
  <c r="C72" i="14"/>
  <c r="B72" i="14"/>
  <c r="FG71" i="14"/>
  <c r="FF71" i="14"/>
  <c r="FE71" i="14"/>
  <c r="FD71" i="14"/>
  <c r="FC71" i="14"/>
  <c r="FB71" i="14"/>
  <c r="FA71" i="14"/>
  <c r="EZ71" i="14"/>
  <c r="EY71" i="14"/>
  <c r="EX71" i="14"/>
  <c r="EW71" i="14"/>
  <c r="EV71" i="14"/>
  <c r="EU71" i="14"/>
  <c r="ET71" i="14"/>
  <c r="ES71" i="14"/>
  <c r="C71" i="14"/>
  <c r="B71" i="14"/>
  <c r="FG70" i="14"/>
  <c r="FF70" i="14"/>
  <c r="FE70" i="14"/>
  <c r="FD70" i="14"/>
  <c r="FC70" i="14"/>
  <c r="FB70" i="14"/>
  <c r="FA70" i="14"/>
  <c r="EZ70" i="14"/>
  <c r="EY70" i="14"/>
  <c r="EX70" i="14"/>
  <c r="EW70" i="14"/>
  <c r="EV70" i="14"/>
  <c r="EU70" i="14"/>
  <c r="ET70" i="14"/>
  <c r="ES70" i="14"/>
  <c r="C70" i="14"/>
  <c r="B70" i="14"/>
  <c r="FG69" i="14"/>
  <c r="FF69" i="14"/>
  <c r="FE69" i="14"/>
  <c r="FD69" i="14"/>
  <c r="FC69" i="14"/>
  <c r="FB69" i="14"/>
  <c r="FA69" i="14"/>
  <c r="EZ69" i="14"/>
  <c r="EY69" i="14"/>
  <c r="EX69" i="14"/>
  <c r="EW69" i="14"/>
  <c r="EV69" i="14"/>
  <c r="EU69" i="14"/>
  <c r="ET69" i="14"/>
  <c r="ES69" i="14"/>
  <c r="C69" i="14"/>
  <c r="B69" i="14"/>
  <c r="FG68" i="14"/>
  <c r="FF68" i="14"/>
  <c r="FE68" i="14"/>
  <c r="FD68" i="14"/>
  <c r="FC68" i="14"/>
  <c r="FB68" i="14"/>
  <c r="FA68" i="14"/>
  <c r="EZ68" i="14"/>
  <c r="EY68" i="14"/>
  <c r="EX68" i="14"/>
  <c r="EW68" i="14"/>
  <c r="EV68" i="14"/>
  <c r="EU68" i="14"/>
  <c r="ET68" i="14"/>
  <c r="ES68" i="14"/>
  <c r="C68" i="14"/>
  <c r="B68" i="14"/>
  <c r="FG67" i="14"/>
  <c r="FF67" i="14"/>
  <c r="FE67" i="14"/>
  <c r="FD67" i="14"/>
  <c r="FC67" i="14"/>
  <c r="FB67" i="14"/>
  <c r="FA67" i="14"/>
  <c r="EZ67" i="14"/>
  <c r="EY67" i="14"/>
  <c r="EX67" i="14"/>
  <c r="EW67" i="14"/>
  <c r="EV67" i="14"/>
  <c r="EU67" i="14"/>
  <c r="ET67" i="14"/>
  <c r="ES67" i="14"/>
  <c r="C67" i="14"/>
  <c r="B67" i="14"/>
  <c r="FG66" i="14"/>
  <c r="FF66" i="14"/>
  <c r="FE66" i="14"/>
  <c r="FD66" i="14"/>
  <c r="FC66" i="14"/>
  <c r="FB66" i="14"/>
  <c r="FA66" i="14"/>
  <c r="EZ66" i="14"/>
  <c r="EY66" i="14"/>
  <c r="EX66" i="14"/>
  <c r="EW66" i="14"/>
  <c r="EV66" i="14"/>
  <c r="EU66" i="14"/>
  <c r="ET66" i="14"/>
  <c r="ES66" i="14"/>
  <c r="C66" i="14"/>
  <c r="B66" i="14"/>
  <c r="FG65" i="14"/>
  <c r="FF65" i="14"/>
  <c r="FE65" i="14"/>
  <c r="FD65" i="14"/>
  <c r="FC65" i="14"/>
  <c r="FB65" i="14"/>
  <c r="FA65" i="14"/>
  <c r="EZ65" i="14"/>
  <c r="EY65" i="14"/>
  <c r="EX65" i="14"/>
  <c r="EW65" i="14"/>
  <c r="EV65" i="14"/>
  <c r="EU65" i="14"/>
  <c r="ET65" i="14"/>
  <c r="ES65" i="14"/>
  <c r="C65" i="14"/>
  <c r="B65" i="14"/>
  <c r="FG64" i="14"/>
  <c r="FF64" i="14"/>
  <c r="FE64" i="14"/>
  <c r="FD64" i="14"/>
  <c r="FC64" i="14"/>
  <c r="FB64" i="14"/>
  <c r="FA64" i="14"/>
  <c r="EZ64" i="14"/>
  <c r="EY64" i="14"/>
  <c r="EX64" i="14"/>
  <c r="EW64" i="14"/>
  <c r="EV64" i="14"/>
  <c r="EU64" i="14"/>
  <c r="ET64" i="14"/>
  <c r="ES64" i="14"/>
  <c r="C64" i="14"/>
  <c r="B64" i="14"/>
  <c r="FG63" i="14"/>
  <c r="FF63" i="14"/>
  <c r="FE63" i="14"/>
  <c r="FD63" i="14"/>
  <c r="FC63" i="14"/>
  <c r="FB63" i="14"/>
  <c r="FA63" i="14"/>
  <c r="EZ63" i="14"/>
  <c r="EY63" i="14"/>
  <c r="EX63" i="14"/>
  <c r="EW63" i="14"/>
  <c r="EV63" i="14"/>
  <c r="EU63" i="14"/>
  <c r="ET63" i="14"/>
  <c r="ES63" i="14"/>
  <c r="C63" i="14"/>
  <c r="B63" i="14"/>
  <c r="FG62" i="14"/>
  <c r="FF62" i="14"/>
  <c r="FE62" i="14"/>
  <c r="FD62" i="14"/>
  <c r="FC62" i="14"/>
  <c r="FB62" i="14"/>
  <c r="FA62" i="14"/>
  <c r="EZ62" i="14"/>
  <c r="EY62" i="14"/>
  <c r="EX62" i="14"/>
  <c r="EW62" i="14"/>
  <c r="EV62" i="14"/>
  <c r="EU62" i="14"/>
  <c r="ET62" i="14"/>
  <c r="ES62" i="14"/>
  <c r="C62" i="14"/>
  <c r="B62" i="14"/>
  <c r="FG61" i="14"/>
  <c r="FF61" i="14"/>
  <c r="FE61" i="14"/>
  <c r="FD61" i="14"/>
  <c r="FC61" i="14"/>
  <c r="FB61" i="14"/>
  <c r="FA61" i="14"/>
  <c r="EZ61" i="14"/>
  <c r="EY61" i="14"/>
  <c r="EX61" i="14"/>
  <c r="EW61" i="14"/>
  <c r="EV61" i="14"/>
  <c r="EU61" i="14"/>
  <c r="ET61" i="14"/>
  <c r="ES61" i="14"/>
  <c r="C61" i="14"/>
  <c r="B61" i="14"/>
  <c r="FG60" i="14"/>
  <c r="FF60" i="14"/>
  <c r="FE60" i="14"/>
  <c r="FD60" i="14"/>
  <c r="FC60" i="14"/>
  <c r="FB60" i="14"/>
  <c r="FA60" i="14"/>
  <c r="EZ60" i="14"/>
  <c r="EY60" i="14"/>
  <c r="EX60" i="14"/>
  <c r="EW60" i="14"/>
  <c r="EV60" i="14"/>
  <c r="EU60" i="14"/>
  <c r="ET60" i="14"/>
  <c r="ES60" i="14"/>
  <c r="C60" i="14"/>
  <c r="B60" i="14"/>
  <c r="C57" i="14"/>
  <c r="B57" i="14"/>
  <c r="FI56" i="14"/>
  <c r="FJ56" i="14" s="1"/>
  <c r="FH56" i="14"/>
  <c r="FG56" i="14"/>
  <c r="FD56" i="14"/>
  <c r="FC56" i="14"/>
  <c r="FB56" i="14"/>
  <c r="FA56" i="14"/>
  <c r="EZ56" i="14"/>
  <c r="EY56" i="14"/>
  <c r="EX56" i="14"/>
  <c r="EV56" i="14"/>
  <c r="EU56" i="14"/>
  <c r="ET56" i="14"/>
  <c r="ES56" i="14"/>
  <c r="C56" i="14"/>
  <c r="B56" i="14"/>
  <c r="FI55" i="14"/>
  <c r="FJ55" i="14" s="1"/>
  <c r="FH55" i="14"/>
  <c r="FG55" i="14"/>
  <c r="FD55" i="14"/>
  <c r="FC55" i="14"/>
  <c r="FB55" i="14"/>
  <c r="FA55" i="14"/>
  <c r="EZ55" i="14"/>
  <c r="EY55" i="14"/>
  <c r="EX55" i="14"/>
  <c r="EV55" i="14"/>
  <c r="EU55" i="14"/>
  <c r="ET55" i="14"/>
  <c r="ES55" i="14"/>
  <c r="C55" i="14"/>
  <c r="B55" i="14"/>
  <c r="FI54" i="14"/>
  <c r="FJ54" i="14" s="1"/>
  <c r="FH54" i="14"/>
  <c r="FG54" i="14"/>
  <c r="FD54" i="14"/>
  <c r="FC54" i="14"/>
  <c r="FB54" i="14"/>
  <c r="FA54" i="14"/>
  <c r="EZ54" i="14"/>
  <c r="EY54" i="14"/>
  <c r="EX54" i="14"/>
  <c r="EV54" i="14"/>
  <c r="EU54" i="14"/>
  <c r="ET54" i="14"/>
  <c r="ES54" i="14"/>
  <c r="C54" i="14"/>
  <c r="B54" i="14"/>
  <c r="FI53" i="14"/>
  <c r="FJ53" i="14" s="1"/>
  <c r="FH53" i="14"/>
  <c r="FG53" i="14"/>
  <c r="FD53" i="14"/>
  <c r="FC53" i="14"/>
  <c r="FB53" i="14"/>
  <c r="FA53" i="14"/>
  <c r="EZ53" i="14"/>
  <c r="EY53" i="14"/>
  <c r="EX53" i="14"/>
  <c r="EV53" i="14"/>
  <c r="EU53" i="14"/>
  <c r="ET53" i="14"/>
  <c r="ES53" i="14"/>
  <c r="C53" i="14"/>
  <c r="B53" i="14"/>
  <c r="FI52" i="14"/>
  <c r="FJ52" i="14" s="1"/>
  <c r="FH52" i="14"/>
  <c r="FG52" i="14"/>
  <c r="FD52" i="14"/>
  <c r="FC52" i="14"/>
  <c r="FB52" i="14"/>
  <c r="FA52" i="14"/>
  <c r="EZ52" i="14"/>
  <c r="EY52" i="14"/>
  <c r="EX52" i="14"/>
  <c r="EV52" i="14"/>
  <c r="EU52" i="14"/>
  <c r="ET52" i="14"/>
  <c r="ES52" i="14"/>
  <c r="C52" i="14"/>
  <c r="B52" i="14"/>
  <c r="FI51" i="14"/>
  <c r="FJ51" i="14" s="1"/>
  <c r="FH51" i="14"/>
  <c r="FG51" i="14"/>
  <c r="FD51" i="14"/>
  <c r="FC51" i="14"/>
  <c r="FB51" i="14"/>
  <c r="FA51" i="14"/>
  <c r="EZ51" i="14"/>
  <c r="EY51" i="14"/>
  <c r="EX51" i="14"/>
  <c r="EV51" i="14"/>
  <c r="EU51" i="14"/>
  <c r="ET51" i="14"/>
  <c r="ES51" i="14"/>
  <c r="C51" i="14"/>
  <c r="B51" i="14"/>
  <c r="FI50" i="14"/>
  <c r="FJ50" i="14" s="1"/>
  <c r="FH50" i="14"/>
  <c r="FG50" i="14"/>
  <c r="FD50" i="14"/>
  <c r="FC50" i="14"/>
  <c r="FB50" i="14"/>
  <c r="FA50" i="14"/>
  <c r="EZ50" i="14"/>
  <c r="EY50" i="14"/>
  <c r="EX50" i="14"/>
  <c r="EV50" i="14"/>
  <c r="EU50" i="14"/>
  <c r="ET50" i="14"/>
  <c r="ES50" i="14"/>
  <c r="C50" i="14"/>
  <c r="B50" i="14"/>
  <c r="FI49" i="14"/>
  <c r="FJ49" i="14" s="1"/>
  <c r="FH49" i="14"/>
  <c r="FG49" i="14"/>
  <c r="FD49" i="14"/>
  <c r="FC49" i="14"/>
  <c r="FB49" i="14"/>
  <c r="FA49" i="14"/>
  <c r="EZ49" i="14"/>
  <c r="EY49" i="14"/>
  <c r="EX49" i="14"/>
  <c r="EV49" i="14"/>
  <c r="EU49" i="14"/>
  <c r="ET49" i="14"/>
  <c r="ES49" i="14"/>
  <c r="C49" i="14"/>
  <c r="B49" i="14"/>
  <c r="FI48" i="14"/>
  <c r="FJ48" i="14" s="1"/>
  <c r="FH48" i="14"/>
  <c r="FG48" i="14"/>
  <c r="FD48" i="14"/>
  <c r="FC48" i="14"/>
  <c r="FB48" i="14"/>
  <c r="FA48" i="14"/>
  <c r="EZ48" i="14"/>
  <c r="EY48" i="14"/>
  <c r="EX48" i="14"/>
  <c r="EV48" i="14"/>
  <c r="EU48" i="14"/>
  <c r="ET48" i="14"/>
  <c r="ES48" i="14"/>
  <c r="C48" i="14"/>
  <c r="B48" i="14"/>
  <c r="FI47" i="14"/>
  <c r="FJ47" i="14" s="1"/>
  <c r="FH47" i="14"/>
  <c r="FG47" i="14"/>
  <c r="FD47" i="14"/>
  <c r="FC47" i="14"/>
  <c r="FB47" i="14"/>
  <c r="FA47" i="14"/>
  <c r="EZ47" i="14"/>
  <c r="EY47" i="14"/>
  <c r="EX47" i="14"/>
  <c r="EV47" i="14"/>
  <c r="EU47" i="14"/>
  <c r="ET47" i="14"/>
  <c r="ES47" i="14"/>
  <c r="C47" i="14"/>
  <c r="B47" i="14"/>
  <c r="FI46" i="14"/>
  <c r="FJ46" i="14" s="1"/>
  <c r="FH46" i="14"/>
  <c r="FG46" i="14"/>
  <c r="FD46" i="14"/>
  <c r="FC46" i="14"/>
  <c r="FB46" i="14"/>
  <c r="FA46" i="14"/>
  <c r="EZ46" i="14"/>
  <c r="EY46" i="14"/>
  <c r="EX46" i="14"/>
  <c r="EV46" i="14"/>
  <c r="EU46" i="14"/>
  <c r="ET46" i="14"/>
  <c r="ES46" i="14"/>
  <c r="C46" i="14"/>
  <c r="B46" i="14"/>
  <c r="FI45" i="14"/>
  <c r="FJ45" i="14" s="1"/>
  <c r="FH45" i="14"/>
  <c r="FG45" i="14"/>
  <c r="FD45" i="14"/>
  <c r="FC45" i="14"/>
  <c r="FB45" i="14"/>
  <c r="FA45" i="14"/>
  <c r="EZ45" i="14"/>
  <c r="EY45" i="14"/>
  <c r="EX45" i="14"/>
  <c r="EV45" i="14"/>
  <c r="EU45" i="14"/>
  <c r="ET45" i="14"/>
  <c r="ES45" i="14"/>
  <c r="C45" i="14"/>
  <c r="B45" i="14"/>
  <c r="FI44" i="14"/>
  <c r="FJ44" i="14" s="1"/>
  <c r="FH44" i="14"/>
  <c r="FG44" i="14"/>
  <c r="FD44" i="14"/>
  <c r="FC44" i="14"/>
  <c r="FB44" i="14"/>
  <c r="FA44" i="14"/>
  <c r="EZ44" i="14"/>
  <c r="EY44" i="14"/>
  <c r="EX44" i="14"/>
  <c r="EV44" i="14"/>
  <c r="EU44" i="14"/>
  <c r="ET44" i="14"/>
  <c r="ES44" i="14"/>
  <c r="C44" i="14"/>
  <c r="B44" i="14"/>
  <c r="FI43" i="14"/>
  <c r="FJ43" i="14" s="1"/>
  <c r="FH43" i="14"/>
  <c r="FG43" i="14"/>
  <c r="FD43" i="14"/>
  <c r="FC43" i="14"/>
  <c r="FB43" i="14"/>
  <c r="FA43" i="14"/>
  <c r="EZ43" i="14"/>
  <c r="EY43" i="14"/>
  <c r="EX43" i="14"/>
  <c r="EV43" i="14"/>
  <c r="EU43" i="14"/>
  <c r="ET43" i="14"/>
  <c r="ES43" i="14"/>
  <c r="C43" i="14"/>
  <c r="B43" i="14"/>
  <c r="FI42" i="14"/>
  <c r="FJ42" i="14" s="1"/>
  <c r="FH42" i="14"/>
  <c r="FG42" i="14"/>
  <c r="FD42" i="14"/>
  <c r="FC42" i="14"/>
  <c r="FB42" i="14"/>
  <c r="FA42" i="14"/>
  <c r="EZ42" i="14"/>
  <c r="EY42" i="14"/>
  <c r="EX42" i="14"/>
  <c r="EV42" i="14"/>
  <c r="EU42" i="14"/>
  <c r="ET42" i="14"/>
  <c r="ES42" i="14"/>
  <c r="C42" i="14"/>
  <c r="B42" i="14"/>
  <c r="FI41" i="14"/>
  <c r="FJ41" i="14" s="1"/>
  <c r="FH41" i="14"/>
  <c r="FG41" i="14"/>
  <c r="FD41" i="14"/>
  <c r="FC41" i="14"/>
  <c r="FB41" i="14"/>
  <c r="FA41" i="14"/>
  <c r="EZ41" i="14"/>
  <c r="EY41" i="14"/>
  <c r="EX41" i="14"/>
  <c r="EV41" i="14"/>
  <c r="EU41" i="14"/>
  <c r="ET41" i="14"/>
  <c r="ES41" i="14"/>
  <c r="C41" i="14"/>
  <c r="B41" i="14"/>
  <c r="FI40" i="14"/>
  <c r="FJ40" i="14" s="1"/>
  <c r="FH40" i="14"/>
  <c r="FG40" i="14"/>
  <c r="FD40" i="14"/>
  <c r="FC40" i="14"/>
  <c r="FB40" i="14"/>
  <c r="FA40" i="14"/>
  <c r="EZ40" i="14"/>
  <c r="EY40" i="14"/>
  <c r="EX40" i="14"/>
  <c r="EV40" i="14"/>
  <c r="EU40" i="14"/>
  <c r="ET40" i="14"/>
  <c r="ES40" i="14"/>
  <c r="C40" i="14"/>
  <c r="B40" i="14"/>
  <c r="FI39" i="14"/>
  <c r="FJ39" i="14" s="1"/>
  <c r="FH39" i="14"/>
  <c r="FG39" i="14"/>
  <c r="FD39" i="14"/>
  <c r="FC39" i="14"/>
  <c r="FB39" i="14"/>
  <c r="FA39" i="14"/>
  <c r="EZ39" i="14"/>
  <c r="EY39" i="14"/>
  <c r="EX39" i="14"/>
  <c r="EV39" i="14"/>
  <c r="EU39" i="14"/>
  <c r="ET39" i="14"/>
  <c r="ES39" i="14"/>
  <c r="C39" i="14"/>
  <c r="B39" i="14"/>
  <c r="FI38" i="14"/>
  <c r="FJ38" i="14" s="1"/>
  <c r="FH38" i="14"/>
  <c r="FG38" i="14"/>
  <c r="FD38" i="14"/>
  <c r="FC38" i="14"/>
  <c r="FB38" i="14"/>
  <c r="FA38" i="14"/>
  <c r="EZ38" i="14"/>
  <c r="EY38" i="14"/>
  <c r="EX38" i="14"/>
  <c r="EV38" i="14"/>
  <c r="EU38" i="14"/>
  <c r="ET38" i="14"/>
  <c r="ES38" i="14"/>
  <c r="C38" i="14"/>
  <c r="B38" i="14"/>
  <c r="FI37" i="14"/>
  <c r="FJ37" i="14" s="1"/>
  <c r="FH37" i="14"/>
  <c r="FG37" i="14"/>
  <c r="FD37" i="14"/>
  <c r="FC37" i="14"/>
  <c r="FB37" i="14"/>
  <c r="FA37" i="14"/>
  <c r="EZ37" i="14"/>
  <c r="EY37" i="14"/>
  <c r="EX37" i="14"/>
  <c r="EV37" i="14"/>
  <c r="EU37" i="14"/>
  <c r="ET37" i="14"/>
  <c r="ES37" i="14"/>
  <c r="C37" i="14"/>
  <c r="B37" i="14"/>
  <c r="FI36" i="14"/>
  <c r="FJ36" i="14" s="1"/>
  <c r="FH36" i="14"/>
  <c r="FG36" i="14"/>
  <c r="FD36" i="14"/>
  <c r="FC36" i="14"/>
  <c r="FB36" i="14"/>
  <c r="FA36" i="14"/>
  <c r="EZ36" i="14"/>
  <c r="EY36" i="14"/>
  <c r="EX36" i="14"/>
  <c r="EV36" i="14"/>
  <c r="EU36" i="14"/>
  <c r="ET36" i="14"/>
  <c r="ES36" i="14"/>
  <c r="C36" i="14"/>
  <c r="B36" i="14"/>
  <c r="FI35" i="14"/>
  <c r="FJ35" i="14" s="1"/>
  <c r="FH35" i="14"/>
  <c r="FG35" i="14"/>
  <c r="FD35" i="14"/>
  <c r="FC35" i="14"/>
  <c r="FB35" i="14"/>
  <c r="FA35" i="14"/>
  <c r="EZ35" i="14"/>
  <c r="EY35" i="14"/>
  <c r="EX35" i="14"/>
  <c r="EV35" i="14"/>
  <c r="EU35" i="14"/>
  <c r="ET35" i="14"/>
  <c r="ES35" i="14"/>
  <c r="C35" i="14"/>
  <c r="B35" i="14"/>
  <c r="FI34" i="14"/>
  <c r="FJ34" i="14" s="1"/>
  <c r="FH34" i="14"/>
  <c r="FG34" i="14"/>
  <c r="FD34" i="14"/>
  <c r="FC34" i="14"/>
  <c r="FB34" i="14"/>
  <c r="FA34" i="14"/>
  <c r="EZ34" i="14"/>
  <c r="EY34" i="14"/>
  <c r="EX34" i="14"/>
  <c r="EV34" i="14"/>
  <c r="EU34" i="14"/>
  <c r="ET34" i="14"/>
  <c r="ES34" i="14"/>
  <c r="C34" i="14"/>
  <c r="B34" i="14"/>
  <c r="FI33" i="14"/>
  <c r="FJ33" i="14" s="1"/>
  <c r="FH33" i="14"/>
  <c r="FG33" i="14"/>
  <c r="FD33" i="14"/>
  <c r="FC33" i="14"/>
  <c r="FB33" i="14"/>
  <c r="FA33" i="14"/>
  <c r="EZ33" i="14"/>
  <c r="EY33" i="14"/>
  <c r="EX33" i="14"/>
  <c r="EV33" i="14"/>
  <c r="EU33" i="14"/>
  <c r="ET33" i="14"/>
  <c r="ES33" i="14"/>
  <c r="C33" i="14"/>
  <c r="B33" i="14"/>
  <c r="FI32" i="14"/>
  <c r="FJ32" i="14" s="1"/>
  <c r="FH32" i="14"/>
  <c r="FG32" i="14"/>
  <c r="FD32" i="14"/>
  <c r="FC32" i="14"/>
  <c r="FB32" i="14"/>
  <c r="FA32" i="14"/>
  <c r="EZ32" i="14"/>
  <c r="EY32" i="14"/>
  <c r="EX32" i="14"/>
  <c r="EV32" i="14"/>
  <c r="EU32" i="14"/>
  <c r="ET32" i="14"/>
  <c r="ES32" i="14"/>
  <c r="C32" i="14"/>
  <c r="B32" i="14"/>
  <c r="FI31" i="14"/>
  <c r="FJ31" i="14" s="1"/>
  <c r="FH31" i="14"/>
  <c r="FG31" i="14"/>
  <c r="FD31" i="14"/>
  <c r="FC31" i="14"/>
  <c r="FB31" i="14"/>
  <c r="FA31" i="14"/>
  <c r="EZ31" i="14"/>
  <c r="EY31" i="14"/>
  <c r="EX31" i="14"/>
  <c r="EV31" i="14"/>
  <c r="EU31" i="14"/>
  <c r="ET31" i="14"/>
  <c r="ES31" i="14"/>
  <c r="C31" i="14"/>
  <c r="B31" i="14"/>
  <c r="FG30" i="14"/>
  <c r="FD30" i="14"/>
  <c r="FC30" i="14"/>
  <c r="FB30" i="14"/>
  <c r="FA30" i="14"/>
  <c r="EZ30" i="14"/>
  <c r="EY30" i="14"/>
  <c r="EX30" i="14"/>
  <c r="EV30" i="14"/>
  <c r="EU30" i="14"/>
  <c r="FI30" i="14" s="1"/>
  <c r="ET30" i="14"/>
  <c r="ES30" i="14"/>
  <c r="C30" i="14"/>
  <c r="B30" i="14"/>
  <c r="FG29" i="14"/>
  <c r="FD29" i="14"/>
  <c r="FC29" i="14"/>
  <c r="FB29" i="14"/>
  <c r="FA29" i="14"/>
  <c r="EZ29" i="14"/>
  <c r="EY29" i="14"/>
  <c r="EX29" i="14"/>
  <c r="EV29" i="14"/>
  <c r="EU29" i="14"/>
  <c r="FI29" i="14" s="1"/>
  <c r="ET29" i="14"/>
  <c r="ES29" i="14"/>
  <c r="C29" i="14"/>
  <c r="B29" i="14"/>
  <c r="FG28" i="14"/>
  <c r="FD28" i="14"/>
  <c r="FC28" i="14"/>
  <c r="FB28" i="14"/>
  <c r="FA28" i="14"/>
  <c r="EZ28" i="14"/>
  <c r="EY28" i="14"/>
  <c r="EX28" i="14"/>
  <c r="EV28" i="14"/>
  <c r="EU28" i="14"/>
  <c r="FI28" i="14" s="1"/>
  <c r="ET28" i="14"/>
  <c r="ES28" i="14"/>
  <c r="C28" i="14"/>
  <c r="B28" i="14"/>
  <c r="FG27" i="14"/>
  <c r="FD27" i="14"/>
  <c r="FC27" i="14"/>
  <c r="FB27" i="14"/>
  <c r="FA27" i="14"/>
  <c r="EZ27" i="14"/>
  <c r="EY27" i="14"/>
  <c r="EX27" i="14"/>
  <c r="EV27" i="14"/>
  <c r="EU27" i="14"/>
  <c r="FI27" i="14" s="1"/>
  <c r="ET27" i="14"/>
  <c r="ES27" i="14"/>
  <c r="C27" i="14"/>
  <c r="B27" i="14"/>
  <c r="FG26" i="14"/>
  <c r="FD26" i="14"/>
  <c r="FC26" i="14"/>
  <c r="FB26" i="14"/>
  <c r="FA26" i="14"/>
  <c r="EZ26" i="14"/>
  <c r="EY26" i="14"/>
  <c r="EX26" i="14"/>
  <c r="EV26" i="14"/>
  <c r="EU26" i="14"/>
  <c r="ET26" i="14"/>
  <c r="ES26" i="14"/>
  <c r="C26" i="14"/>
  <c r="B26" i="14"/>
  <c r="FG25" i="14"/>
  <c r="FD25" i="14"/>
  <c r="FC25" i="14"/>
  <c r="FB25" i="14"/>
  <c r="FA25" i="14"/>
  <c r="EZ25" i="14"/>
  <c r="EY25" i="14"/>
  <c r="EX25" i="14"/>
  <c r="EV25" i="14"/>
  <c r="EU25" i="14"/>
  <c r="ET25" i="14"/>
  <c r="ES25" i="14"/>
  <c r="C25" i="14"/>
  <c r="B25" i="14"/>
  <c r="FG24" i="14"/>
  <c r="FD24" i="14"/>
  <c r="FC24" i="14"/>
  <c r="FB24" i="14"/>
  <c r="FA24" i="14"/>
  <c r="EZ24" i="14"/>
  <c r="EY24" i="14"/>
  <c r="EX24" i="14"/>
  <c r="EV24" i="14"/>
  <c r="EU24" i="14"/>
  <c r="ET24" i="14"/>
  <c r="ES24" i="14"/>
  <c r="C24" i="14"/>
  <c r="B24" i="14"/>
  <c r="FG23" i="14"/>
  <c r="FD23" i="14"/>
  <c r="FC23" i="14"/>
  <c r="FB23" i="14"/>
  <c r="FA23" i="14"/>
  <c r="EZ23" i="14"/>
  <c r="EY23" i="14"/>
  <c r="EX23" i="14"/>
  <c r="EV23" i="14"/>
  <c r="EU23" i="14"/>
  <c r="ET23" i="14"/>
  <c r="C23" i="14"/>
  <c r="B23" i="14"/>
  <c r="FG22" i="14"/>
  <c r="FD22" i="14"/>
  <c r="FC22" i="14"/>
  <c r="FB22" i="14"/>
  <c r="FA22" i="14"/>
  <c r="EZ22" i="14"/>
  <c r="EY22" i="14"/>
  <c r="EX22" i="14"/>
  <c r="EV22" i="14"/>
  <c r="EU22" i="14"/>
  <c r="ET22" i="14"/>
  <c r="ES22" i="14"/>
  <c r="C22" i="14"/>
  <c r="B22" i="14"/>
  <c r="FG21" i="14"/>
  <c r="FD21" i="14"/>
  <c r="FC21" i="14"/>
  <c r="FB21" i="14"/>
  <c r="FA21" i="14"/>
  <c r="EZ21" i="14"/>
  <c r="EY21" i="14"/>
  <c r="EX21" i="14"/>
  <c r="EV21" i="14"/>
  <c r="EU21" i="14"/>
  <c r="ET21" i="14"/>
  <c r="C21" i="14"/>
  <c r="B21" i="14"/>
  <c r="FG20" i="14"/>
  <c r="FD20" i="14"/>
  <c r="FC20" i="14"/>
  <c r="FB20" i="14"/>
  <c r="FA20" i="14"/>
  <c r="EZ20" i="14"/>
  <c r="EY20" i="14"/>
  <c r="EX20" i="14"/>
  <c r="EV20" i="14"/>
  <c r="EU20" i="14"/>
  <c r="ET20" i="14"/>
  <c r="ES20" i="14"/>
  <c r="C20" i="14"/>
  <c r="B20" i="14"/>
  <c r="FG19" i="14"/>
  <c r="FD19" i="14"/>
  <c r="FC19" i="14"/>
  <c r="FB19" i="14"/>
  <c r="FA19" i="14"/>
  <c r="EZ19" i="14"/>
  <c r="EY19" i="14"/>
  <c r="EX19" i="14"/>
  <c r="EV19" i="14"/>
  <c r="EU19" i="14"/>
  <c r="ET19" i="14"/>
  <c r="ES19" i="14"/>
  <c r="C19" i="14"/>
  <c r="B19" i="14"/>
  <c r="FG18" i="14"/>
  <c r="FD18" i="14"/>
  <c r="FC18" i="14"/>
  <c r="FB18" i="14"/>
  <c r="FA18" i="14"/>
  <c r="EZ18" i="14"/>
  <c r="EY18" i="14"/>
  <c r="EX18" i="14"/>
  <c r="EV18" i="14"/>
  <c r="EU18" i="14"/>
  <c r="ET18" i="14"/>
  <c r="ES18" i="14"/>
  <c r="C18" i="14"/>
  <c r="B18" i="14"/>
  <c r="FG17" i="14"/>
  <c r="FD17" i="14"/>
  <c r="FC17" i="14"/>
  <c r="FB17" i="14"/>
  <c r="FA17" i="14"/>
  <c r="EZ17" i="14"/>
  <c r="EY17" i="14"/>
  <c r="EX17" i="14"/>
  <c r="EV17" i="14"/>
  <c r="EU17" i="14"/>
  <c r="ET17" i="14"/>
  <c r="ES17" i="14"/>
  <c r="C17" i="14"/>
  <c r="B17" i="14"/>
  <c r="FG16" i="14"/>
  <c r="FD16" i="14"/>
  <c r="FC16" i="14"/>
  <c r="FB16" i="14"/>
  <c r="FA16" i="14"/>
  <c r="EZ16" i="14"/>
  <c r="EY16" i="14"/>
  <c r="EX16" i="14"/>
  <c r="EV16" i="14"/>
  <c r="EU16" i="14"/>
  <c r="ET16" i="14"/>
  <c r="ES16" i="14"/>
  <c r="C16" i="14"/>
  <c r="B16" i="14"/>
  <c r="FG15" i="14"/>
  <c r="FD15" i="14"/>
  <c r="FC15" i="14"/>
  <c r="FB15" i="14"/>
  <c r="FA15" i="14"/>
  <c r="EZ15" i="14"/>
  <c r="EY15" i="14"/>
  <c r="EX15" i="14"/>
  <c r="EV15" i="14"/>
  <c r="EU15" i="14"/>
  <c r="ET15" i="14"/>
  <c r="ES15" i="14"/>
  <c r="C15" i="14"/>
  <c r="B15" i="14"/>
  <c r="FG14" i="14"/>
  <c r="FD14" i="14"/>
  <c r="FC14" i="14"/>
  <c r="FB14" i="14"/>
  <c r="FA14" i="14"/>
  <c r="EZ14" i="14"/>
  <c r="EY14" i="14"/>
  <c r="EX14" i="14"/>
  <c r="EV14" i="14"/>
  <c r="EU14" i="14"/>
  <c r="ET14" i="14"/>
  <c r="ES14" i="14"/>
  <c r="C14" i="14"/>
  <c r="B14" i="14"/>
  <c r="FG13" i="14"/>
  <c r="FD13" i="14"/>
  <c r="FC13" i="14"/>
  <c r="FB13" i="14"/>
  <c r="FA13" i="14"/>
  <c r="EZ13" i="14"/>
  <c r="EY13" i="14"/>
  <c r="EX13" i="14"/>
  <c r="EV13" i="14"/>
  <c r="EU13" i="14"/>
  <c r="ET13" i="14"/>
  <c r="ES13" i="14"/>
  <c r="C13" i="14"/>
  <c r="B13" i="14"/>
  <c r="FG12" i="14"/>
  <c r="FD12" i="14"/>
  <c r="FC12" i="14"/>
  <c r="FB12" i="14"/>
  <c r="FA12" i="14"/>
  <c r="EZ12" i="14"/>
  <c r="EY12" i="14"/>
  <c r="EX12" i="14"/>
  <c r="EV12" i="14"/>
  <c r="EU12" i="14"/>
  <c r="ET12" i="14"/>
  <c r="ES12" i="14"/>
  <c r="C12" i="14"/>
  <c r="B12" i="14"/>
  <c r="FG11" i="14"/>
  <c r="FD11" i="14"/>
  <c r="FC11" i="14"/>
  <c r="FB11" i="14"/>
  <c r="FA11" i="14"/>
  <c r="EZ11" i="14"/>
  <c r="EY11" i="14"/>
  <c r="EX11" i="14"/>
  <c r="EV11" i="14"/>
  <c r="EU11" i="14"/>
  <c r="ET11" i="14"/>
  <c r="ES11" i="14"/>
  <c r="C11" i="14"/>
  <c r="B11" i="14"/>
  <c r="FD10" i="14"/>
  <c r="FC10" i="14"/>
  <c r="FB10" i="14"/>
  <c r="FA10" i="14"/>
  <c r="EZ10" i="14"/>
  <c r="EY10" i="14"/>
  <c r="EX10" i="14"/>
  <c r="EV10" i="14"/>
  <c r="EU10" i="14"/>
  <c r="ET10" i="14"/>
  <c r="ES10" i="14"/>
  <c r="C10" i="14"/>
  <c r="B10" i="14"/>
  <c r="FD9" i="14"/>
  <c r="FC9" i="14"/>
  <c r="FB9" i="14"/>
  <c r="FA9" i="14"/>
  <c r="EZ9" i="14"/>
  <c r="EY9" i="14"/>
  <c r="EX9" i="14"/>
  <c r="EV9" i="14"/>
  <c r="EU9" i="14"/>
  <c r="ET9" i="14"/>
  <c r="ES9" i="14"/>
  <c r="C9" i="14"/>
  <c r="B9" i="14"/>
  <c r="FF8" i="14"/>
  <c r="FE8" i="14"/>
  <c r="FD8" i="14"/>
  <c r="FC8" i="14"/>
  <c r="FB8" i="14"/>
  <c r="FA8" i="14"/>
  <c r="EZ8" i="14"/>
  <c r="EY8" i="14"/>
  <c r="EX8" i="14"/>
  <c r="EW8" i="14"/>
  <c r="EV8" i="14"/>
  <c r="EU8" i="14"/>
  <c r="C8" i="14"/>
  <c r="B8" i="14"/>
  <c r="FI119" i="13"/>
  <c r="AH113" i="17" s="1"/>
  <c r="FH119" i="13"/>
  <c r="ES118" i="13"/>
  <c r="DY118" i="13"/>
  <c r="CK118" i="13"/>
  <c r="AM118" i="13"/>
  <c r="S118" i="13"/>
  <c r="EN116" i="13"/>
  <c r="EI116" i="13"/>
  <c r="ED116" i="13"/>
  <c r="DY116" i="13"/>
  <c r="DT116" i="13"/>
  <c r="DO116" i="13"/>
  <c r="DJ116" i="13"/>
  <c r="DE116" i="13"/>
  <c r="CZ116" i="13"/>
  <c r="CU116" i="13"/>
  <c r="CP116" i="13"/>
  <c r="CK116" i="13"/>
  <c r="CF116" i="13"/>
  <c r="CA116" i="13"/>
  <c r="BV116" i="13"/>
  <c r="BQ116" i="13"/>
  <c r="BL116" i="13"/>
  <c r="BG116" i="13"/>
  <c r="BB116" i="13"/>
  <c r="AW116" i="13"/>
  <c r="AR116" i="13"/>
  <c r="AM116" i="13"/>
  <c r="AH116" i="13"/>
  <c r="AC116" i="13"/>
  <c r="X116" i="13"/>
  <c r="S116" i="13"/>
  <c r="N116" i="13"/>
  <c r="I116" i="13"/>
  <c r="FF115" i="13"/>
  <c r="FE115" i="13"/>
  <c r="FD115" i="13"/>
  <c r="FC115" i="13"/>
  <c r="FB115" i="13"/>
  <c r="FA115" i="13"/>
  <c r="EZ115" i="13"/>
  <c r="EY115" i="13"/>
  <c r="EX115" i="13"/>
  <c r="EW115" i="13"/>
  <c r="EV115" i="13"/>
  <c r="EU115" i="13"/>
  <c r="ET115" i="13"/>
  <c r="ES115" i="13"/>
  <c r="EN115" i="13"/>
  <c r="EI115" i="13"/>
  <c r="ED115" i="13"/>
  <c r="DY115" i="13"/>
  <c r="DT115" i="13"/>
  <c r="DO115" i="13"/>
  <c r="DJ115" i="13"/>
  <c r="DE115" i="13"/>
  <c r="CZ115" i="13"/>
  <c r="CU115" i="13"/>
  <c r="CP115" i="13"/>
  <c r="CK115" i="13"/>
  <c r="CF115" i="13"/>
  <c r="CA115" i="13"/>
  <c r="BV115" i="13"/>
  <c r="BQ115" i="13"/>
  <c r="BL115" i="13"/>
  <c r="BG115" i="13"/>
  <c r="BB115" i="13"/>
  <c r="AW115" i="13"/>
  <c r="AR115" i="13"/>
  <c r="AM115" i="13"/>
  <c r="AH115" i="13"/>
  <c r="AC115" i="13"/>
  <c r="X115" i="13"/>
  <c r="S115" i="13"/>
  <c r="N115" i="13"/>
  <c r="I115" i="13"/>
  <c r="FH114" i="13"/>
  <c r="EN114" i="13"/>
  <c r="EI114" i="13"/>
  <c r="ED114" i="13"/>
  <c r="DY114" i="13"/>
  <c r="DT114" i="13"/>
  <c r="DO114" i="13"/>
  <c r="DJ114" i="13"/>
  <c r="DE114" i="13"/>
  <c r="CZ114" i="13"/>
  <c r="CU114" i="13"/>
  <c r="CP114" i="13"/>
  <c r="CK114" i="13"/>
  <c r="CF114" i="13"/>
  <c r="CA114" i="13"/>
  <c r="BV114" i="13"/>
  <c r="BQ114" i="13"/>
  <c r="BL114" i="13"/>
  <c r="BG114" i="13"/>
  <c r="BB114" i="13"/>
  <c r="AW114" i="13"/>
  <c r="AR114" i="13"/>
  <c r="AM114" i="13"/>
  <c r="AH114" i="13"/>
  <c r="AC114" i="13"/>
  <c r="X114" i="13"/>
  <c r="S114" i="13"/>
  <c r="N114" i="13"/>
  <c r="I114" i="13"/>
  <c r="EN113" i="13"/>
  <c r="EI113" i="13"/>
  <c r="ED113" i="13"/>
  <c r="DY113" i="13"/>
  <c r="DT113" i="13"/>
  <c r="DO113" i="13"/>
  <c r="DJ113" i="13"/>
  <c r="DE113" i="13"/>
  <c r="CZ113" i="13"/>
  <c r="CU113" i="13"/>
  <c r="CP113" i="13"/>
  <c r="CK113" i="13"/>
  <c r="CF113" i="13"/>
  <c r="CA113" i="13"/>
  <c r="BV113" i="13"/>
  <c r="BQ113" i="13"/>
  <c r="BL113" i="13"/>
  <c r="BG113" i="13"/>
  <c r="BB113" i="13"/>
  <c r="AW113" i="13"/>
  <c r="AR113" i="13"/>
  <c r="AM113" i="13"/>
  <c r="AH113" i="13"/>
  <c r="AC113" i="13"/>
  <c r="X113" i="13"/>
  <c r="S113" i="13"/>
  <c r="N113" i="13"/>
  <c r="I113" i="13"/>
  <c r="EN112" i="13"/>
  <c r="EI112" i="13"/>
  <c r="ED112" i="13"/>
  <c r="DY112" i="13"/>
  <c r="DT112" i="13"/>
  <c r="DO112" i="13"/>
  <c r="DJ112" i="13"/>
  <c r="DE112" i="13"/>
  <c r="CZ112" i="13"/>
  <c r="CU112" i="13"/>
  <c r="CP112" i="13"/>
  <c r="CK112" i="13"/>
  <c r="CF112" i="13"/>
  <c r="CA112" i="13"/>
  <c r="BV112" i="13"/>
  <c r="BQ112" i="13"/>
  <c r="BL112" i="13"/>
  <c r="BG112" i="13"/>
  <c r="BB112" i="13"/>
  <c r="AW112" i="13"/>
  <c r="AR112" i="13"/>
  <c r="AM112" i="13"/>
  <c r="AH112" i="13"/>
  <c r="AC112" i="13"/>
  <c r="X112" i="13"/>
  <c r="S112" i="13"/>
  <c r="N112" i="13"/>
  <c r="I112" i="13"/>
  <c r="FJ110" i="13"/>
  <c r="FI110" i="13"/>
  <c r="FH110" i="13"/>
  <c r="FG109" i="13"/>
  <c r="FF109" i="13"/>
  <c r="FE109" i="13"/>
  <c r="FD109" i="13"/>
  <c r="FC109" i="13"/>
  <c r="FB109" i="13"/>
  <c r="FA109" i="13"/>
  <c r="EZ109" i="13"/>
  <c r="EY109" i="13"/>
  <c r="EX109" i="13"/>
  <c r="EU109" i="13"/>
  <c r="FI108" i="13"/>
  <c r="FG108" i="13"/>
  <c r="FF108" i="13"/>
  <c r="FE108" i="13"/>
  <c r="FD108" i="13"/>
  <c r="FC108" i="13"/>
  <c r="FB108" i="13"/>
  <c r="FA108" i="13"/>
  <c r="EZ108" i="13"/>
  <c r="FH108" i="13" s="1"/>
  <c r="FJ108" i="13" s="1"/>
  <c r="EY108" i="13"/>
  <c r="EX108" i="13"/>
  <c r="EU108" i="13"/>
  <c r="FG107" i="13"/>
  <c r="FF107" i="13"/>
  <c r="FE107" i="13"/>
  <c r="FD107" i="13"/>
  <c r="FC107" i="13"/>
  <c r="FB107" i="13"/>
  <c r="FA107" i="13"/>
  <c r="EZ107" i="13"/>
  <c r="EY107" i="13"/>
  <c r="EX107" i="13"/>
  <c r="EU107" i="13"/>
  <c r="FI107" i="13" s="1"/>
  <c r="FI106" i="13"/>
  <c r="FG106" i="13"/>
  <c r="FF106" i="13"/>
  <c r="FE106" i="13"/>
  <c r="FD106" i="13"/>
  <c r="FC106" i="13"/>
  <c r="FB106" i="13"/>
  <c r="FA106" i="13"/>
  <c r="EZ106" i="13"/>
  <c r="FH106" i="13" s="1"/>
  <c r="FJ106" i="13" s="1"/>
  <c r="EY106" i="13"/>
  <c r="EX106" i="13"/>
  <c r="EU106" i="13"/>
  <c r="FG105" i="13"/>
  <c r="FF105" i="13"/>
  <c r="FE105" i="13"/>
  <c r="FD105" i="13"/>
  <c r="FC105" i="13"/>
  <c r="FB105" i="13"/>
  <c r="FA105" i="13"/>
  <c r="EZ105" i="13"/>
  <c r="EY105" i="13"/>
  <c r="EX105" i="13"/>
  <c r="EU105" i="13"/>
  <c r="FI105" i="13" s="1"/>
  <c r="FI104" i="13"/>
  <c r="FG104" i="13"/>
  <c r="FF104" i="13"/>
  <c r="FE104" i="13"/>
  <c r="FD104" i="13"/>
  <c r="FC104" i="13"/>
  <c r="FB104" i="13"/>
  <c r="FA104" i="13"/>
  <c r="EZ104" i="13"/>
  <c r="FH104" i="13" s="1"/>
  <c r="FJ104" i="13" s="1"/>
  <c r="EY104" i="13"/>
  <c r="EX104" i="13"/>
  <c r="EU104" i="13"/>
  <c r="FG103" i="13"/>
  <c r="FF103" i="13"/>
  <c r="FE103" i="13"/>
  <c r="FD103" i="13"/>
  <c r="FC103" i="13"/>
  <c r="FB103" i="13"/>
  <c r="FA103" i="13"/>
  <c r="EZ103" i="13"/>
  <c r="EY103" i="13"/>
  <c r="EX103" i="13"/>
  <c r="EU103" i="13"/>
  <c r="FI103" i="13" s="1"/>
  <c r="FG102" i="13"/>
  <c r="FF102" i="13"/>
  <c r="FE102" i="13"/>
  <c r="FD102" i="13"/>
  <c r="FC102" i="13"/>
  <c r="FB102" i="13"/>
  <c r="FA102" i="13"/>
  <c r="EZ102" i="13"/>
  <c r="EY102" i="13"/>
  <c r="EX102" i="13"/>
  <c r="EU102" i="13"/>
  <c r="FG101" i="13"/>
  <c r="FF101" i="13"/>
  <c r="FE101" i="13"/>
  <c r="FD101" i="13"/>
  <c r="FC101" i="13"/>
  <c r="FB101" i="13"/>
  <c r="FA101" i="13"/>
  <c r="EZ101" i="13"/>
  <c r="FH101" i="13" s="1"/>
  <c r="EY101" i="13"/>
  <c r="EX101" i="13"/>
  <c r="EU101" i="13"/>
  <c r="FI101" i="13" s="1"/>
  <c r="FI100" i="13"/>
  <c r="FG100" i="13"/>
  <c r="FF100" i="13"/>
  <c r="FE100" i="13"/>
  <c r="FD100" i="13"/>
  <c r="FC100" i="13"/>
  <c r="FB100" i="13"/>
  <c r="FA100" i="13"/>
  <c r="EZ100" i="13"/>
  <c r="FH100" i="13" s="1"/>
  <c r="FJ100" i="13" s="1"/>
  <c r="EY100" i="13"/>
  <c r="EX100" i="13"/>
  <c r="EU100" i="13"/>
  <c r="FG99" i="13"/>
  <c r="FF99" i="13"/>
  <c r="FE99" i="13"/>
  <c r="FD99" i="13"/>
  <c r="FC99" i="13"/>
  <c r="FB99" i="13"/>
  <c r="FA99" i="13"/>
  <c r="EZ99" i="13"/>
  <c r="FH99" i="13" s="1"/>
  <c r="EY99" i="13"/>
  <c r="EX99" i="13"/>
  <c r="EU99" i="13"/>
  <c r="FG98" i="13"/>
  <c r="FF98" i="13"/>
  <c r="FE98" i="13"/>
  <c r="FD98" i="13"/>
  <c r="FC98" i="13"/>
  <c r="FB98" i="13"/>
  <c r="FA98" i="13"/>
  <c r="EZ98" i="13"/>
  <c r="EY98" i="13"/>
  <c r="EX98" i="13"/>
  <c r="EU98" i="13"/>
  <c r="FG97" i="13"/>
  <c r="FF97" i="13"/>
  <c r="FE97" i="13"/>
  <c r="FD97" i="13"/>
  <c r="FC97" i="13"/>
  <c r="FB97" i="13"/>
  <c r="FA97" i="13"/>
  <c r="EZ97" i="13"/>
  <c r="EY97" i="13"/>
  <c r="EX97" i="13"/>
  <c r="EU97" i="13"/>
  <c r="FG96" i="13"/>
  <c r="FF96" i="13"/>
  <c r="FE96" i="13"/>
  <c r="FD96" i="13"/>
  <c r="FC96" i="13"/>
  <c r="FB96" i="13"/>
  <c r="FA96" i="13"/>
  <c r="EZ96" i="13"/>
  <c r="EY96" i="13"/>
  <c r="EX96" i="13"/>
  <c r="EU96" i="13"/>
  <c r="FG95" i="13"/>
  <c r="FF95" i="13"/>
  <c r="FE95" i="13"/>
  <c r="FD95" i="13"/>
  <c r="FC95" i="13"/>
  <c r="FB95" i="13"/>
  <c r="FA95" i="13"/>
  <c r="EZ95" i="13"/>
  <c r="EY95" i="13"/>
  <c r="EX95" i="13"/>
  <c r="EU95" i="13"/>
  <c r="FG94" i="13"/>
  <c r="FF94" i="13"/>
  <c r="FE94" i="13"/>
  <c r="FD94" i="13"/>
  <c r="FC94" i="13"/>
  <c r="FB94" i="13"/>
  <c r="FA94" i="13"/>
  <c r="EZ94" i="13"/>
  <c r="EY94" i="13"/>
  <c r="EX94" i="13"/>
  <c r="EU94" i="13"/>
  <c r="FG93" i="13"/>
  <c r="FF93" i="13"/>
  <c r="FE93" i="13"/>
  <c r="FD93" i="13"/>
  <c r="FC93" i="13"/>
  <c r="FB93" i="13"/>
  <c r="FA93" i="13"/>
  <c r="EZ93" i="13"/>
  <c r="EY93" i="13"/>
  <c r="EX93" i="13"/>
  <c r="EU93" i="13"/>
  <c r="FG92" i="13"/>
  <c r="FF92" i="13"/>
  <c r="FE92" i="13"/>
  <c r="FD92" i="13"/>
  <c r="FC92" i="13"/>
  <c r="FB92" i="13"/>
  <c r="FA92" i="13"/>
  <c r="EZ92" i="13"/>
  <c r="EY92" i="13"/>
  <c r="EX92" i="13"/>
  <c r="EU92" i="13"/>
  <c r="FG91" i="13"/>
  <c r="FF91" i="13"/>
  <c r="FE91" i="13"/>
  <c r="FD91" i="13"/>
  <c r="FC91" i="13"/>
  <c r="FB91" i="13"/>
  <c r="FA91" i="13"/>
  <c r="EZ91" i="13"/>
  <c r="EY91" i="13"/>
  <c r="EX91" i="13"/>
  <c r="EU91" i="13"/>
  <c r="FG90" i="13"/>
  <c r="FF90" i="13"/>
  <c r="FE90" i="13"/>
  <c r="FD90" i="13"/>
  <c r="FC90" i="13"/>
  <c r="FB90" i="13"/>
  <c r="FA90" i="13"/>
  <c r="EZ90" i="13"/>
  <c r="EY90" i="13"/>
  <c r="EX90" i="13"/>
  <c r="EU90" i="13"/>
  <c r="FG89" i="13"/>
  <c r="FF89" i="13"/>
  <c r="FE89" i="13"/>
  <c r="FD89" i="13"/>
  <c r="FC89" i="13"/>
  <c r="FB89" i="13"/>
  <c r="FA89" i="13"/>
  <c r="EZ89" i="13"/>
  <c r="EY89" i="13"/>
  <c r="EX89" i="13"/>
  <c r="EU89" i="13"/>
  <c r="FG88" i="13"/>
  <c r="FF88" i="13"/>
  <c r="FE88" i="13"/>
  <c r="FD88" i="13"/>
  <c r="FC88" i="13"/>
  <c r="FB88" i="13"/>
  <c r="FA88" i="13"/>
  <c r="EZ88" i="13"/>
  <c r="EY88" i="13"/>
  <c r="EX88" i="13"/>
  <c r="EU88" i="13"/>
  <c r="FG87" i="13"/>
  <c r="FF87" i="13"/>
  <c r="FE87" i="13"/>
  <c r="FD87" i="13"/>
  <c r="FC87" i="13"/>
  <c r="FB87" i="13"/>
  <c r="FA87" i="13"/>
  <c r="EZ87" i="13"/>
  <c r="EY87" i="13"/>
  <c r="EX87" i="13"/>
  <c r="EU87" i="13"/>
  <c r="FG86" i="13"/>
  <c r="FF86" i="13"/>
  <c r="FE86" i="13"/>
  <c r="FD86" i="13"/>
  <c r="FC86" i="13"/>
  <c r="FB86" i="13"/>
  <c r="FA86" i="13"/>
  <c r="EZ86" i="13"/>
  <c r="EY86" i="13"/>
  <c r="EX86" i="13"/>
  <c r="EU86" i="13"/>
  <c r="FG85" i="13"/>
  <c r="FF85" i="13"/>
  <c r="FE85" i="13"/>
  <c r="FD85" i="13"/>
  <c r="FC85" i="13"/>
  <c r="FB85" i="13"/>
  <c r="FA85" i="13"/>
  <c r="EZ85" i="13"/>
  <c r="EY85" i="13"/>
  <c r="EX85" i="13"/>
  <c r="EU85" i="13"/>
  <c r="FG84" i="13"/>
  <c r="FF84" i="13"/>
  <c r="FE84" i="13"/>
  <c r="FD84" i="13"/>
  <c r="FC84" i="13"/>
  <c r="FB84" i="13"/>
  <c r="FA84" i="13"/>
  <c r="EZ84" i="13"/>
  <c r="EY84" i="13"/>
  <c r="EX84" i="13"/>
  <c r="EU84" i="13"/>
  <c r="FG83" i="13"/>
  <c r="FF83" i="13"/>
  <c r="FE83" i="13"/>
  <c r="FD83" i="13"/>
  <c r="FC83" i="13"/>
  <c r="FB83" i="13"/>
  <c r="FA83" i="13"/>
  <c r="EZ83" i="13"/>
  <c r="EY83" i="13"/>
  <c r="EX83" i="13"/>
  <c r="EU83" i="13"/>
  <c r="FG82" i="13"/>
  <c r="FF82" i="13"/>
  <c r="FE82" i="13"/>
  <c r="FD82" i="13"/>
  <c r="FC82" i="13"/>
  <c r="FB82" i="13"/>
  <c r="FA82" i="13"/>
  <c r="EZ82" i="13"/>
  <c r="EY82" i="13"/>
  <c r="EX82" i="13"/>
  <c r="EU82" i="13"/>
  <c r="FG81" i="13"/>
  <c r="FF81" i="13"/>
  <c r="FE81" i="13"/>
  <c r="FD81" i="13"/>
  <c r="FC81" i="13"/>
  <c r="FB81" i="13"/>
  <c r="FA81" i="13"/>
  <c r="EZ81" i="13"/>
  <c r="EY81" i="13"/>
  <c r="EX81" i="13"/>
  <c r="EU81" i="13"/>
  <c r="FG80" i="13"/>
  <c r="FF80" i="13"/>
  <c r="FE80" i="13"/>
  <c r="FD80" i="13"/>
  <c r="FC80" i="13"/>
  <c r="FB80" i="13"/>
  <c r="FA80" i="13"/>
  <c r="EZ80" i="13"/>
  <c r="EY80" i="13"/>
  <c r="EX80" i="13"/>
  <c r="EU80" i="13"/>
  <c r="FG79" i="13"/>
  <c r="FF79" i="13"/>
  <c r="FE79" i="13"/>
  <c r="FD79" i="13"/>
  <c r="FC79" i="13"/>
  <c r="FB79" i="13"/>
  <c r="FA79" i="13"/>
  <c r="EZ79" i="13"/>
  <c r="EY79" i="13"/>
  <c r="EX79" i="13"/>
  <c r="EU79" i="13"/>
  <c r="FG78" i="13"/>
  <c r="FF78" i="13"/>
  <c r="FE78" i="13"/>
  <c r="FD78" i="13"/>
  <c r="FC78" i="13"/>
  <c r="FB78" i="13"/>
  <c r="FA78" i="13"/>
  <c r="EZ78" i="13"/>
  <c r="EY78" i="13"/>
  <c r="EX78" i="13"/>
  <c r="EU78" i="13"/>
  <c r="FG77" i="13"/>
  <c r="FF77" i="13"/>
  <c r="FE77" i="13"/>
  <c r="FD77" i="13"/>
  <c r="FC77" i="13"/>
  <c r="FB77" i="13"/>
  <c r="FA77" i="13"/>
  <c r="EZ77" i="13"/>
  <c r="EY77" i="13"/>
  <c r="EX77" i="13"/>
  <c r="EU77" i="13"/>
  <c r="FG76" i="13"/>
  <c r="FF76" i="13"/>
  <c r="FE76" i="13"/>
  <c r="FD76" i="13"/>
  <c r="FC76" i="13"/>
  <c r="FB76" i="13"/>
  <c r="FA76" i="13"/>
  <c r="EZ76" i="13"/>
  <c r="EY76" i="13"/>
  <c r="EX76" i="13"/>
  <c r="EU76" i="13"/>
  <c r="C76" i="13"/>
  <c r="FG75" i="13"/>
  <c r="FF75" i="13"/>
  <c r="FE75" i="13"/>
  <c r="FD75" i="13"/>
  <c r="FC75" i="13"/>
  <c r="FB75" i="13"/>
  <c r="FA75" i="13"/>
  <c r="EZ75" i="13"/>
  <c r="EY75" i="13"/>
  <c r="EX75" i="13"/>
  <c r="EU75" i="13"/>
  <c r="C75" i="13"/>
  <c r="FG74" i="13"/>
  <c r="FF74" i="13"/>
  <c r="FE74" i="13"/>
  <c r="FD74" i="13"/>
  <c r="FC74" i="13"/>
  <c r="FB74" i="13"/>
  <c r="FA74" i="13"/>
  <c r="EZ74" i="13"/>
  <c r="EY74" i="13"/>
  <c r="EX74" i="13"/>
  <c r="EU74" i="13"/>
  <c r="C74" i="13"/>
  <c r="FG73" i="13"/>
  <c r="FF73" i="13"/>
  <c r="FE73" i="13"/>
  <c r="FD73" i="13"/>
  <c r="FC73" i="13"/>
  <c r="FB73" i="13"/>
  <c r="FA73" i="13"/>
  <c r="EZ73" i="13"/>
  <c r="EY73" i="13"/>
  <c r="EX73" i="13"/>
  <c r="EU73" i="13"/>
  <c r="C73" i="13"/>
  <c r="FG72" i="13"/>
  <c r="FF72" i="13"/>
  <c r="FE72" i="13"/>
  <c r="FD72" i="13"/>
  <c r="FC72" i="13"/>
  <c r="FB72" i="13"/>
  <c r="FA72" i="13"/>
  <c r="EZ72" i="13"/>
  <c r="EY72" i="13"/>
  <c r="EX72" i="13"/>
  <c r="EU72" i="13"/>
  <c r="C72" i="13"/>
  <c r="FG71" i="13"/>
  <c r="FF71" i="13"/>
  <c r="FE71" i="13"/>
  <c r="FD71" i="13"/>
  <c r="FC71" i="13"/>
  <c r="FB71" i="13"/>
  <c r="FA71" i="13"/>
  <c r="EZ71" i="13"/>
  <c r="EY71" i="13"/>
  <c r="EX71" i="13"/>
  <c r="EU71" i="13"/>
  <c r="C71" i="13"/>
  <c r="FG70" i="13"/>
  <c r="FF70" i="13"/>
  <c r="FE70" i="13"/>
  <c r="FD70" i="13"/>
  <c r="FC70" i="13"/>
  <c r="FB70" i="13"/>
  <c r="FA70" i="13"/>
  <c r="EZ70" i="13"/>
  <c r="EY70" i="13"/>
  <c r="EX70" i="13"/>
  <c r="EU70" i="13"/>
  <c r="C70" i="13"/>
  <c r="FG69" i="13"/>
  <c r="FF69" i="13"/>
  <c r="FE69" i="13"/>
  <c r="FD69" i="13"/>
  <c r="FC69" i="13"/>
  <c r="FB69" i="13"/>
  <c r="FA69" i="13"/>
  <c r="EZ69" i="13"/>
  <c r="EY69" i="13"/>
  <c r="EX69" i="13"/>
  <c r="EU69" i="13"/>
  <c r="C69" i="13"/>
  <c r="FG68" i="13"/>
  <c r="FF68" i="13"/>
  <c r="FE68" i="13"/>
  <c r="FD68" i="13"/>
  <c r="FC68" i="13"/>
  <c r="FB68" i="13"/>
  <c r="FA68" i="13"/>
  <c r="EZ68" i="13"/>
  <c r="EY68" i="13"/>
  <c r="EX68" i="13"/>
  <c r="EU68" i="13"/>
  <c r="C68" i="13"/>
  <c r="FG67" i="13"/>
  <c r="FF67" i="13"/>
  <c r="FE67" i="13"/>
  <c r="FD67" i="13"/>
  <c r="FC67" i="13"/>
  <c r="FB67" i="13"/>
  <c r="FA67" i="13"/>
  <c r="EZ67" i="13"/>
  <c r="EY67" i="13"/>
  <c r="EX67" i="13"/>
  <c r="EU67" i="13"/>
  <c r="C67" i="13"/>
  <c r="FG66" i="13"/>
  <c r="FF66" i="13"/>
  <c r="FE66" i="13"/>
  <c r="FD66" i="13"/>
  <c r="FC66" i="13"/>
  <c r="FB66" i="13"/>
  <c r="FA66" i="13"/>
  <c r="EZ66" i="13"/>
  <c r="EY66" i="13"/>
  <c r="EX66" i="13"/>
  <c r="EU66" i="13"/>
  <c r="C66" i="13"/>
  <c r="FG65" i="13"/>
  <c r="FF65" i="13"/>
  <c r="FE65" i="13"/>
  <c r="FD65" i="13"/>
  <c r="FC65" i="13"/>
  <c r="FB65" i="13"/>
  <c r="FA65" i="13"/>
  <c r="EZ65" i="13"/>
  <c r="EY65" i="13"/>
  <c r="EX65" i="13"/>
  <c r="EU65" i="13"/>
  <c r="C65" i="13"/>
  <c r="FG64" i="13"/>
  <c r="FF64" i="13"/>
  <c r="FE64" i="13"/>
  <c r="FD64" i="13"/>
  <c r="FC64" i="13"/>
  <c r="FB64" i="13"/>
  <c r="FA64" i="13"/>
  <c r="EZ64" i="13"/>
  <c r="EY64" i="13"/>
  <c r="EX64" i="13"/>
  <c r="EU64" i="13"/>
  <c r="C64" i="13"/>
  <c r="FG63" i="13"/>
  <c r="FF63" i="13"/>
  <c r="FE63" i="13"/>
  <c r="FD63" i="13"/>
  <c r="FC63" i="13"/>
  <c r="FB63" i="13"/>
  <c r="FA63" i="13"/>
  <c r="EZ63" i="13"/>
  <c r="EY63" i="13"/>
  <c r="EX63" i="13"/>
  <c r="EU63" i="13"/>
  <c r="C63" i="13"/>
  <c r="FG62" i="13"/>
  <c r="FF62" i="13"/>
  <c r="FE62" i="13"/>
  <c r="FD62" i="13"/>
  <c r="FC62" i="13"/>
  <c r="FB62" i="13"/>
  <c r="FA62" i="13"/>
  <c r="EZ62" i="13"/>
  <c r="EY62" i="13"/>
  <c r="EX62" i="13"/>
  <c r="EU62" i="13"/>
  <c r="C62" i="13"/>
  <c r="FG61" i="13"/>
  <c r="FF61" i="13"/>
  <c r="FE61" i="13"/>
  <c r="FD61" i="13"/>
  <c r="FC61" i="13"/>
  <c r="FB61" i="13"/>
  <c r="FA61" i="13"/>
  <c r="EZ61" i="13"/>
  <c r="EY61" i="13"/>
  <c r="EX61" i="13"/>
  <c r="EU61" i="13"/>
  <c r="C61" i="13"/>
  <c r="FG60" i="13"/>
  <c r="FF60" i="13"/>
  <c r="FE60" i="13"/>
  <c r="FD60" i="13"/>
  <c r="FC60" i="13"/>
  <c r="FB60" i="13"/>
  <c r="FA60" i="13"/>
  <c r="EZ60" i="13"/>
  <c r="EY60" i="13"/>
  <c r="EX60" i="13"/>
  <c r="B60" i="13"/>
  <c r="FI56" i="13"/>
  <c r="FH56" i="13"/>
  <c r="FG56" i="13"/>
  <c r="FI55" i="13"/>
  <c r="FH55" i="13"/>
  <c r="FG55" i="13"/>
  <c r="FI54" i="13"/>
  <c r="FH54" i="13"/>
  <c r="FG54" i="13"/>
  <c r="FI53" i="13"/>
  <c r="FH53" i="13"/>
  <c r="FG53" i="13"/>
  <c r="FI52" i="13"/>
  <c r="FH52" i="13"/>
  <c r="FG52" i="13"/>
  <c r="FI51" i="13"/>
  <c r="FH51" i="13"/>
  <c r="FG51" i="13"/>
  <c r="FI50" i="13"/>
  <c r="FH50" i="13"/>
  <c r="FG50" i="13"/>
  <c r="FI49" i="13"/>
  <c r="FH49" i="13"/>
  <c r="FG49" i="13"/>
  <c r="FI48" i="13"/>
  <c r="FH48" i="13"/>
  <c r="FG48" i="13"/>
  <c r="FI47" i="13"/>
  <c r="FH47" i="13"/>
  <c r="FG47" i="13"/>
  <c r="FI46" i="13"/>
  <c r="FH46" i="13"/>
  <c r="FG46" i="13"/>
  <c r="FI45" i="13"/>
  <c r="FH45" i="13"/>
  <c r="FG45" i="13"/>
  <c r="FI44" i="13"/>
  <c r="FH44" i="13"/>
  <c r="FG44" i="13"/>
  <c r="FI43" i="13"/>
  <c r="FH43" i="13"/>
  <c r="FG43" i="13"/>
  <c r="FI42" i="13"/>
  <c r="FH42" i="13"/>
  <c r="FG42" i="13"/>
  <c r="FI41" i="13"/>
  <c r="FH41" i="13"/>
  <c r="FG41" i="13"/>
  <c r="FI40" i="13"/>
  <c r="FH40" i="13"/>
  <c r="FG40" i="13"/>
  <c r="FF40" i="13"/>
  <c r="FI39" i="13"/>
  <c r="FH39" i="13"/>
  <c r="FG39" i="13"/>
  <c r="FF39" i="13"/>
  <c r="FI38" i="13"/>
  <c r="FH38" i="13"/>
  <c r="FG38" i="13"/>
  <c r="FF38" i="13"/>
  <c r="FI37" i="13"/>
  <c r="FH37" i="13"/>
  <c r="FG37" i="13"/>
  <c r="FF37" i="13"/>
  <c r="FI36" i="13"/>
  <c r="FH36" i="13"/>
  <c r="FG36" i="13"/>
  <c r="FF36" i="13"/>
  <c r="FI35" i="13"/>
  <c r="FH35" i="13"/>
  <c r="FG35" i="13"/>
  <c r="FF35" i="13"/>
  <c r="FI34" i="13"/>
  <c r="FH34" i="13"/>
  <c r="FG34" i="13"/>
  <c r="FF34" i="13"/>
  <c r="FI33" i="13"/>
  <c r="FH33" i="13"/>
  <c r="FG33" i="13"/>
  <c r="FF33" i="13"/>
  <c r="FI32" i="13"/>
  <c r="FH32" i="13"/>
  <c r="FG32" i="13"/>
  <c r="FF32" i="13"/>
  <c r="FI31" i="13"/>
  <c r="FH31" i="13"/>
  <c r="FG31" i="13"/>
  <c r="FF31" i="13"/>
  <c r="FG30" i="13"/>
  <c r="FF30" i="13"/>
  <c r="EZ30" i="13"/>
  <c r="FI30" i="13" s="1"/>
  <c r="EX30" i="13"/>
  <c r="FG29" i="13"/>
  <c r="FF29" i="13"/>
  <c r="EZ29" i="13"/>
  <c r="EX29" i="13"/>
  <c r="EV29" i="13"/>
  <c r="FI29" i="13"/>
  <c r="ET29" i="13"/>
  <c r="FG28" i="13"/>
  <c r="FF28" i="13"/>
  <c r="FE28" i="13"/>
  <c r="FD28" i="13"/>
  <c r="FC28" i="13"/>
  <c r="FB28" i="13"/>
  <c r="FA28" i="13"/>
  <c r="EZ28" i="13"/>
  <c r="FI28" i="13" s="1"/>
  <c r="EY28" i="13"/>
  <c r="EX28" i="13"/>
  <c r="EV28" i="13"/>
  <c r="EU28" i="13"/>
  <c r="ET28" i="13"/>
  <c r="FG27" i="13"/>
  <c r="FF27" i="13"/>
  <c r="FE27" i="13"/>
  <c r="FD27" i="13"/>
  <c r="FC27" i="13"/>
  <c r="FB27" i="13"/>
  <c r="FA27" i="13"/>
  <c r="EZ27" i="13"/>
  <c r="FI27" i="13" s="1"/>
  <c r="EY27" i="13"/>
  <c r="EX27" i="13"/>
  <c r="EV27" i="13"/>
  <c r="EU27" i="13"/>
  <c r="ET27" i="13"/>
  <c r="FG26" i="13"/>
  <c r="FF26" i="13"/>
  <c r="FE26" i="13"/>
  <c r="FD26" i="13"/>
  <c r="FC26" i="13"/>
  <c r="FB26" i="13"/>
  <c r="FA26" i="13"/>
  <c r="EZ26" i="13"/>
  <c r="FI26" i="13" s="1"/>
  <c r="EY26" i="13"/>
  <c r="EX26" i="13"/>
  <c r="EV26" i="13"/>
  <c r="FH26" i="13" s="1"/>
  <c r="EU26" i="13"/>
  <c r="ET26" i="13"/>
  <c r="FG25" i="13"/>
  <c r="FF25" i="13"/>
  <c r="FE25" i="13"/>
  <c r="FD25" i="13"/>
  <c r="FC25" i="13"/>
  <c r="FB25" i="13"/>
  <c r="FA25" i="13"/>
  <c r="EZ25" i="13"/>
  <c r="EY25" i="13"/>
  <c r="EX25" i="13"/>
  <c r="EV25" i="13"/>
  <c r="EU25" i="13"/>
  <c r="ET25" i="13"/>
  <c r="FG24" i="13"/>
  <c r="FF24" i="13"/>
  <c r="FE24" i="13"/>
  <c r="FD24" i="13"/>
  <c r="FC24" i="13"/>
  <c r="FB24" i="13"/>
  <c r="FA24" i="13"/>
  <c r="EZ24" i="13"/>
  <c r="EY24" i="13"/>
  <c r="EX24" i="13"/>
  <c r="EV24" i="13"/>
  <c r="EU24" i="13"/>
  <c r="ET24" i="13"/>
  <c r="C24" i="13"/>
  <c r="FG23" i="13"/>
  <c r="FF23" i="13"/>
  <c r="FE23" i="13"/>
  <c r="FD23" i="13"/>
  <c r="FC23" i="13"/>
  <c r="FB23" i="13"/>
  <c r="FA23" i="13"/>
  <c r="EZ23" i="13"/>
  <c r="EY23" i="13"/>
  <c r="EX23" i="13"/>
  <c r="EV23" i="13"/>
  <c r="EU23" i="13"/>
  <c r="ET23" i="13"/>
  <c r="C23" i="13"/>
  <c r="FG22" i="13"/>
  <c r="FF22" i="13"/>
  <c r="FE22" i="13"/>
  <c r="FD22" i="13"/>
  <c r="FC22" i="13"/>
  <c r="FB22" i="13"/>
  <c r="FA22" i="13"/>
  <c r="EZ22" i="13"/>
  <c r="FH22" i="13" s="1"/>
  <c r="EY22" i="13"/>
  <c r="EX22" i="13"/>
  <c r="EV22" i="13"/>
  <c r="EU22" i="13"/>
  <c r="ET22" i="13"/>
  <c r="C22" i="13"/>
  <c r="FG21" i="13"/>
  <c r="FF21" i="13"/>
  <c r="FE21" i="13"/>
  <c r="FD21" i="13"/>
  <c r="FC21" i="13"/>
  <c r="FB21" i="13"/>
  <c r="FA21" i="13"/>
  <c r="EZ21" i="13"/>
  <c r="FI21" i="13" s="1"/>
  <c r="EY21" i="13"/>
  <c r="EX21" i="13"/>
  <c r="EV21" i="13"/>
  <c r="EU21" i="13"/>
  <c r="C21" i="13"/>
  <c r="FG20" i="13"/>
  <c r="FF20" i="13"/>
  <c r="FE20" i="13"/>
  <c r="FD20" i="13"/>
  <c r="FC20" i="13"/>
  <c r="FB20" i="13"/>
  <c r="FA20" i="13"/>
  <c r="EZ20" i="13"/>
  <c r="FI20" i="13" s="1"/>
  <c r="EY20" i="13"/>
  <c r="EX20" i="13"/>
  <c r="EV20" i="13"/>
  <c r="EU20" i="13"/>
  <c r="ET20" i="13"/>
  <c r="C20" i="13"/>
  <c r="FG19" i="13"/>
  <c r="FF19" i="13"/>
  <c r="FE19" i="13"/>
  <c r="FD19" i="13"/>
  <c r="FC19" i="13"/>
  <c r="FB19" i="13"/>
  <c r="FA19" i="13"/>
  <c r="EZ19" i="13"/>
  <c r="FH19" i="13" s="1"/>
  <c r="EY19" i="13"/>
  <c r="EX19" i="13"/>
  <c r="EV19" i="13"/>
  <c r="EU19" i="13"/>
  <c r="ET19" i="13"/>
  <c r="C19" i="13"/>
  <c r="FG18" i="13"/>
  <c r="FF18" i="13"/>
  <c r="FE18" i="13"/>
  <c r="FD18" i="13"/>
  <c r="FC18" i="13"/>
  <c r="FB18" i="13"/>
  <c r="FA18" i="13"/>
  <c r="EZ18" i="13"/>
  <c r="EY18" i="13"/>
  <c r="EX18" i="13"/>
  <c r="EV18" i="13"/>
  <c r="EU18" i="13"/>
  <c r="ET18" i="13"/>
  <c r="C18" i="13"/>
  <c r="FG17" i="13"/>
  <c r="FF17" i="13"/>
  <c r="FE17" i="13"/>
  <c r="FD17" i="13"/>
  <c r="FC17" i="13"/>
  <c r="FB17" i="13"/>
  <c r="FA17" i="13"/>
  <c r="EZ17" i="13"/>
  <c r="FI17" i="13" s="1"/>
  <c r="EY17" i="13"/>
  <c r="EX17" i="13"/>
  <c r="EV17" i="13"/>
  <c r="EU17" i="13"/>
  <c r="ET17" i="13"/>
  <c r="C17" i="13"/>
  <c r="FI16" i="13"/>
  <c r="FG16" i="13"/>
  <c r="FF16" i="13"/>
  <c r="FE16" i="13"/>
  <c r="FD16" i="13"/>
  <c r="FC16" i="13"/>
  <c r="FB16" i="13"/>
  <c r="FA16" i="13"/>
  <c r="EZ16" i="13"/>
  <c r="FH16" i="13" s="1"/>
  <c r="EY16" i="13"/>
  <c r="EX16" i="13"/>
  <c r="EV16" i="13"/>
  <c r="EU16" i="13"/>
  <c r="ET16" i="13"/>
  <c r="C16" i="13"/>
  <c r="FG15" i="13"/>
  <c r="FF15" i="13"/>
  <c r="FE15" i="13"/>
  <c r="FD15" i="13"/>
  <c r="FC15" i="13"/>
  <c r="FB15" i="13"/>
  <c r="FA15" i="13"/>
  <c r="EZ15" i="13"/>
  <c r="FH15" i="13" s="1"/>
  <c r="EY15" i="13"/>
  <c r="EX15" i="13"/>
  <c r="EV15" i="13"/>
  <c r="EU15" i="13"/>
  <c r="FI15" i="13" s="1"/>
  <c r="ET15" i="13"/>
  <c r="C15" i="13"/>
  <c r="FG14" i="13"/>
  <c r="FF14" i="13"/>
  <c r="FE14" i="13"/>
  <c r="FD14" i="13"/>
  <c r="FC14" i="13"/>
  <c r="FB14" i="13"/>
  <c r="FA14" i="13"/>
  <c r="EZ14" i="13"/>
  <c r="EY14" i="13"/>
  <c r="EX14" i="13"/>
  <c r="EV14" i="13"/>
  <c r="EU14" i="13"/>
  <c r="FI14" i="13" s="1"/>
  <c r="AH8" i="17" s="1"/>
  <c r="ET14" i="13"/>
  <c r="C14" i="13"/>
  <c r="FI13" i="13"/>
  <c r="AH7" i="17" s="1"/>
  <c r="FG13" i="13"/>
  <c r="FF13" i="13"/>
  <c r="FE13" i="13"/>
  <c r="FD13" i="13"/>
  <c r="FC13" i="13"/>
  <c r="FB13" i="13"/>
  <c r="FA13" i="13"/>
  <c r="EZ13" i="13"/>
  <c r="FH13" i="13" s="1"/>
  <c r="EY13" i="13"/>
  <c r="EX13" i="13"/>
  <c r="EV13" i="13"/>
  <c r="EU13" i="13"/>
  <c r="ET13" i="13"/>
  <c r="C13" i="13"/>
  <c r="FG12" i="13"/>
  <c r="FF12" i="13"/>
  <c r="FE12" i="13"/>
  <c r="FD12" i="13"/>
  <c r="FC12" i="13"/>
  <c r="FB12" i="13"/>
  <c r="FA12" i="13"/>
  <c r="EZ12" i="13"/>
  <c r="FI12" i="13" s="1"/>
  <c r="AH6" i="17" s="1"/>
  <c r="EY12" i="13"/>
  <c r="EX12" i="13"/>
  <c r="EV12" i="13"/>
  <c r="EU12" i="13"/>
  <c r="ET12" i="13"/>
  <c r="C12" i="13"/>
  <c r="FG11" i="13"/>
  <c r="FF11" i="13"/>
  <c r="FE11" i="13"/>
  <c r="FD11" i="13"/>
  <c r="FC11" i="13"/>
  <c r="FB11" i="13"/>
  <c r="FA11" i="13"/>
  <c r="EZ11" i="13"/>
  <c r="FH11" i="13" s="1"/>
  <c r="AG5" i="17" s="1"/>
  <c r="AO5" i="17" s="1"/>
  <c r="EY11" i="13"/>
  <c r="EX11" i="13"/>
  <c r="EV11" i="13"/>
  <c r="EU11" i="13"/>
  <c r="ET11" i="13"/>
  <c r="C11" i="13"/>
  <c r="FF10" i="13"/>
  <c r="FE10" i="13"/>
  <c r="FD10" i="13"/>
  <c r="FC10" i="13"/>
  <c r="FB10" i="13"/>
  <c r="FA10" i="13"/>
  <c r="EZ10" i="13"/>
  <c r="EY10" i="13"/>
  <c r="EX10" i="13"/>
  <c r="EV10" i="13"/>
  <c r="EU10" i="13"/>
  <c r="FI10" i="13" s="1"/>
  <c r="AH4" i="17" s="1"/>
  <c r="ET10" i="13"/>
  <c r="C10" i="13"/>
  <c r="FI9" i="13"/>
  <c r="AH3" i="17" s="1"/>
  <c r="FF9" i="13"/>
  <c r="FE9" i="13"/>
  <c r="FD9" i="13"/>
  <c r="FC9" i="13"/>
  <c r="FB9" i="13"/>
  <c r="FA9" i="13"/>
  <c r="EZ9" i="13"/>
  <c r="EY9" i="13"/>
  <c r="EX9" i="13"/>
  <c r="EV9" i="13"/>
  <c r="EU9" i="13"/>
  <c r="FH9" i="13" s="1"/>
  <c r="ET9" i="13"/>
  <c r="C9" i="13"/>
  <c r="FF8" i="13"/>
  <c r="FE8" i="13"/>
  <c r="FD8" i="13"/>
  <c r="FC8" i="13"/>
  <c r="FB8" i="13"/>
  <c r="FA8" i="13"/>
  <c r="EZ8" i="13"/>
  <c r="EY8" i="13"/>
  <c r="EX8" i="13"/>
  <c r="EW8" i="13"/>
  <c r="EV8" i="13"/>
  <c r="EU8" i="13"/>
  <c r="ET8" i="13"/>
  <c r="ES8" i="13"/>
  <c r="C8" i="13"/>
  <c r="B8" i="13"/>
  <c r="I118" i="13" s="1"/>
  <c r="BG118" i="13" l="1"/>
  <c r="AW118" i="13" s="1"/>
  <c r="CU118" i="13"/>
  <c r="EI118" i="13"/>
  <c r="BQ118" i="13"/>
  <c r="DE118" i="13"/>
  <c r="AB118" i="13"/>
  <c r="CA118" i="13"/>
  <c r="DO118" i="13"/>
  <c r="FJ52" i="13"/>
  <c r="FJ45" i="13"/>
  <c r="FJ53" i="13"/>
  <c r="FJ43" i="13"/>
  <c r="FJ46" i="13"/>
  <c r="FJ50" i="13"/>
  <c r="FJ47" i="13"/>
  <c r="FJ49" i="13"/>
  <c r="FJ48" i="13"/>
  <c r="FJ54" i="13"/>
  <c r="FJ42" i="13"/>
  <c r="FJ51" i="13"/>
  <c r="FJ56" i="13"/>
  <c r="FJ44" i="13"/>
  <c r="FJ55" i="13"/>
  <c r="FJ101" i="13"/>
  <c r="FJ16" i="13"/>
  <c r="FJ13" i="13"/>
  <c r="AF7" i="17" s="1"/>
  <c r="AG7" i="17"/>
  <c r="AO7" i="17" s="1"/>
  <c r="FJ22" i="13"/>
  <c r="FJ9" i="13"/>
  <c r="AF3" i="17" s="1"/>
  <c r="N22" i="17" s="1"/>
  <c r="AG3" i="17"/>
  <c r="FJ41" i="13"/>
  <c r="FJ40" i="13"/>
  <c r="FJ37" i="13"/>
  <c r="FJ31" i="13"/>
  <c r="FJ33" i="13"/>
  <c r="FJ34" i="13"/>
  <c r="FJ38" i="13"/>
  <c r="FJ35" i="13"/>
  <c r="FJ39" i="13"/>
  <c r="FJ32" i="13"/>
  <c r="FJ36" i="13"/>
  <c r="FI8" i="13"/>
  <c r="FH20" i="13"/>
  <c r="FJ26" i="13"/>
  <c r="FH28" i="13"/>
  <c r="FH30" i="13"/>
  <c r="FH12" i="13"/>
  <c r="FH17" i="13"/>
  <c r="FH21" i="13"/>
  <c r="FI99" i="13"/>
  <c r="FJ99" i="13" s="1"/>
  <c r="FI11" i="13"/>
  <c r="FI18" i="13"/>
  <c r="FI19" i="13"/>
  <c r="FI109" i="13"/>
  <c r="CG117" i="13"/>
  <c r="FJ15" i="13"/>
  <c r="FI23" i="13"/>
  <c r="FH10" i="13"/>
  <c r="FH14" i="13"/>
  <c r="FH18" i="13"/>
  <c r="FH27" i="13"/>
  <c r="FH29" i="13"/>
  <c r="FI102" i="13"/>
  <c r="FH103" i="13"/>
  <c r="FJ103" i="13" s="1"/>
  <c r="FH105" i="13"/>
  <c r="FJ105" i="13" s="1"/>
  <c r="FH107" i="13"/>
  <c r="FJ107" i="13" s="1"/>
  <c r="FH109" i="13"/>
  <c r="FI25" i="13"/>
  <c r="FI98" i="13"/>
  <c r="FI24" i="13"/>
  <c r="FH8" i="13"/>
  <c r="FH102" i="14"/>
  <c r="FI109" i="14"/>
  <c r="FJ109" i="14" s="1"/>
  <c r="FI108" i="14"/>
  <c r="FI103" i="14"/>
  <c r="FJ105" i="14"/>
  <c r="FH104" i="14"/>
  <c r="FJ104" i="14" s="1"/>
  <c r="FH108" i="14"/>
  <c r="FI106" i="14"/>
  <c r="FJ108" i="14"/>
  <c r="FI22" i="14"/>
  <c r="FH103" i="14"/>
  <c r="FJ103" i="14" s="1"/>
  <c r="FH107" i="14"/>
  <c r="FJ107" i="14" s="1"/>
  <c r="FI14" i="14"/>
  <c r="FI18" i="14"/>
  <c r="FH27" i="14"/>
  <c r="FJ27" i="14" s="1"/>
  <c r="FH28" i="14"/>
  <c r="FJ28" i="14" s="1"/>
  <c r="FH29" i="14"/>
  <c r="FJ29" i="14" s="1"/>
  <c r="FH30" i="14"/>
  <c r="FJ30" i="14" s="1"/>
  <c r="FI61" i="14"/>
  <c r="FI65" i="14"/>
  <c r="FI69" i="14"/>
  <c r="FI77" i="14"/>
  <c r="FI81" i="14"/>
  <c r="FI85" i="14"/>
  <c r="FI90" i="14"/>
  <c r="FI95" i="14"/>
  <c r="FI99" i="14"/>
  <c r="FJ102" i="14"/>
  <c r="FJ106" i="14"/>
  <c r="DY118" i="14"/>
  <c r="S118" i="14"/>
  <c r="BG118" i="14"/>
  <c r="AW118" i="14" s="1"/>
  <c r="CU118" i="14"/>
  <c r="EI118" i="14"/>
  <c r="AB118" i="14"/>
  <c r="BQ118" i="14"/>
  <c r="DE118" i="14"/>
  <c r="AM118" i="14"/>
  <c r="CA118" i="14"/>
  <c r="DO118" i="14"/>
  <c r="I118" i="14"/>
  <c r="CK118" i="14"/>
  <c r="ED118" i="15"/>
  <c r="W118" i="15"/>
  <c r="AR118" i="15"/>
  <c r="BL118" i="15"/>
  <c r="CF118" i="15"/>
  <c r="CZ118" i="15"/>
  <c r="DT118" i="15"/>
  <c r="EN118" i="15"/>
  <c r="AB119" i="15"/>
  <c r="N118" i="15"/>
  <c r="BG119" i="15" s="1"/>
  <c r="AG118" i="15"/>
  <c r="BB118" i="15"/>
  <c r="BV118" i="15"/>
  <c r="CP118" i="15"/>
  <c r="DJ118" i="15"/>
  <c r="FJ80" i="15"/>
  <c r="FJ88" i="15"/>
  <c r="FJ96" i="15"/>
  <c r="FI102" i="15"/>
  <c r="FJ76" i="15"/>
  <c r="FJ84" i="15"/>
  <c r="FJ92" i="15"/>
  <c r="FJ100" i="15"/>
  <c r="FH74" i="15"/>
  <c r="FJ74" i="15" s="1"/>
  <c r="FH78" i="15"/>
  <c r="FJ78" i="15" s="1"/>
  <c r="FH82" i="15"/>
  <c r="FJ82" i="15" s="1"/>
  <c r="FH86" i="15"/>
  <c r="FJ86" i="15" s="1"/>
  <c r="FH90" i="15"/>
  <c r="FH94" i="15"/>
  <c r="FH98" i="15"/>
  <c r="FH103" i="15"/>
  <c r="FH107" i="15"/>
  <c r="FI109" i="15"/>
  <c r="FH75" i="15"/>
  <c r="FJ75" i="15" s="1"/>
  <c r="FH79" i="15"/>
  <c r="FJ79" i="15" s="1"/>
  <c r="FH83" i="15"/>
  <c r="FJ83" i="15" s="1"/>
  <c r="FH87" i="15"/>
  <c r="FJ87" i="15" s="1"/>
  <c r="FH91" i="15"/>
  <c r="FJ91" i="15" s="1"/>
  <c r="FH95" i="15"/>
  <c r="FJ95" i="15" s="1"/>
  <c r="FH99" i="15"/>
  <c r="FJ99" i="15" s="1"/>
  <c r="FH104" i="15"/>
  <c r="FH108" i="15"/>
  <c r="EU111" i="15"/>
  <c r="FJ102" i="15"/>
  <c r="ES111" i="15"/>
  <c r="FH114" i="15"/>
  <c r="CB117" i="15"/>
  <c r="FJ33" i="15"/>
  <c r="FJ34" i="15"/>
  <c r="FJ36" i="15"/>
  <c r="FJ40" i="15"/>
  <c r="FJ44" i="15"/>
  <c r="FJ48" i="15"/>
  <c r="FJ52" i="15"/>
  <c r="FJ56" i="15"/>
  <c r="FJ73" i="15"/>
  <c r="FJ77" i="15"/>
  <c r="FJ81" i="15"/>
  <c r="FJ85" i="15"/>
  <c r="FJ89" i="15"/>
  <c r="FJ93" i="15"/>
  <c r="FJ97" i="15"/>
  <c r="FJ101" i="15"/>
  <c r="FJ35" i="15"/>
  <c r="FJ37" i="15"/>
  <c r="FJ41" i="15"/>
  <c r="FJ45" i="15"/>
  <c r="FJ49" i="15"/>
  <c r="FJ53" i="15"/>
  <c r="FJ90" i="15"/>
  <c r="FJ94" i="15"/>
  <c r="FJ98" i="15"/>
  <c r="FJ55" i="15"/>
  <c r="FJ31" i="15"/>
  <c r="FJ104" i="15"/>
  <c r="FJ106" i="15"/>
  <c r="FJ108" i="15"/>
  <c r="FJ103" i="15"/>
  <c r="FJ105" i="15"/>
  <c r="FJ107" i="15"/>
  <c r="FJ109" i="15"/>
  <c r="FJ72" i="15"/>
  <c r="EY111" i="15"/>
  <c r="EX111" i="15"/>
  <c r="FH32" i="15"/>
  <c r="FH23" i="13"/>
  <c r="FH24" i="13"/>
  <c r="FH25" i="13"/>
  <c r="FI15" i="14"/>
  <c r="BH117" i="14"/>
  <c r="CQ117" i="14"/>
  <c r="CL117" i="14"/>
  <c r="FA111" i="14"/>
  <c r="EZ111" i="14"/>
  <c r="BR117" i="14"/>
  <c r="EY111" i="14" s="1"/>
  <c r="EX111" i="14"/>
  <c r="EW111" i="14"/>
  <c r="EV111" i="14"/>
  <c r="AI117" i="14"/>
  <c r="AD117" i="14"/>
  <c r="T117" i="14"/>
  <c r="ET111" i="14" s="1"/>
  <c r="FI101" i="14"/>
  <c r="O117" i="14"/>
  <c r="J117" i="14"/>
  <c r="FH101" i="14"/>
  <c r="N118" i="14"/>
  <c r="AG118" i="14"/>
  <c r="BB118" i="14"/>
  <c r="BV118" i="14"/>
  <c r="CP118" i="14"/>
  <c r="DJ118" i="14"/>
  <c r="ED118" i="14"/>
  <c r="W118" i="14"/>
  <c r="AR118" i="14"/>
  <c r="BL118" i="14"/>
  <c r="CF118" i="14"/>
  <c r="CZ118" i="14"/>
  <c r="DT118" i="14"/>
  <c r="FH100" i="14"/>
  <c r="FI100" i="14"/>
  <c r="FH99" i="14"/>
  <c r="FI98" i="14"/>
  <c r="FH98" i="14"/>
  <c r="FI97" i="14"/>
  <c r="FH97" i="14"/>
  <c r="FH96" i="14"/>
  <c r="FI96" i="14"/>
  <c r="FH95" i="14"/>
  <c r="FJ95" i="14" s="1"/>
  <c r="FI94" i="14"/>
  <c r="FH94" i="14"/>
  <c r="FI93" i="14"/>
  <c r="FH93" i="14"/>
  <c r="FH91" i="14"/>
  <c r="FI91" i="14"/>
  <c r="FH90" i="14"/>
  <c r="FJ90" i="14" s="1"/>
  <c r="FI89" i="14"/>
  <c r="FH89" i="14"/>
  <c r="FI88" i="14"/>
  <c r="FH88" i="14"/>
  <c r="FH87" i="14"/>
  <c r="FI87" i="14"/>
  <c r="FH85" i="14"/>
  <c r="FJ85" i="14" s="1"/>
  <c r="FI84" i="14"/>
  <c r="FH84" i="14"/>
  <c r="FI83" i="14"/>
  <c r="FH83" i="14"/>
  <c r="FH82" i="14"/>
  <c r="FI82" i="14"/>
  <c r="FH81" i="14"/>
  <c r="FI80" i="14"/>
  <c r="FH80" i="14"/>
  <c r="FI79" i="14"/>
  <c r="FH79" i="14"/>
  <c r="FI78" i="14"/>
  <c r="FH78" i="14"/>
  <c r="FH77" i="14"/>
  <c r="FJ77" i="14" s="1"/>
  <c r="FI76" i="14"/>
  <c r="FH76" i="14"/>
  <c r="FI75" i="14"/>
  <c r="FH75" i="14"/>
  <c r="FI74" i="14"/>
  <c r="FH74" i="14"/>
  <c r="FI73" i="14"/>
  <c r="FH73" i="14"/>
  <c r="FI72" i="14"/>
  <c r="FH72" i="14"/>
  <c r="FI71" i="14"/>
  <c r="FH71" i="14"/>
  <c r="FH70" i="14"/>
  <c r="FI70" i="14"/>
  <c r="FH69" i="14"/>
  <c r="FJ69" i="14" s="1"/>
  <c r="FI68" i="14"/>
  <c r="FH68" i="14"/>
  <c r="FI67" i="14"/>
  <c r="FH67" i="14"/>
  <c r="FH66" i="14"/>
  <c r="FI66" i="14"/>
  <c r="FH65" i="14"/>
  <c r="FJ65" i="14" s="1"/>
  <c r="FI64" i="14"/>
  <c r="FH64" i="14"/>
  <c r="FI63" i="14"/>
  <c r="FH63" i="14"/>
  <c r="FH62" i="14"/>
  <c r="FI62" i="14"/>
  <c r="FH61" i="14"/>
  <c r="FI60" i="14"/>
  <c r="FH60" i="14"/>
  <c r="FI92" i="14"/>
  <c r="FH92" i="14"/>
  <c r="FI86" i="14"/>
  <c r="FH86" i="14"/>
  <c r="FI26" i="14"/>
  <c r="FH26" i="14"/>
  <c r="FH25" i="14"/>
  <c r="FI25" i="14"/>
  <c r="FI24" i="14"/>
  <c r="FH24" i="14"/>
  <c r="FI23" i="14"/>
  <c r="FH23" i="14"/>
  <c r="FH22" i="14"/>
  <c r="FJ22" i="14" s="1"/>
  <c r="FH21" i="14"/>
  <c r="FI21" i="14"/>
  <c r="FI20" i="14"/>
  <c r="FH20" i="14"/>
  <c r="FI19" i="14"/>
  <c r="FH19" i="14"/>
  <c r="FH18" i="14"/>
  <c r="FJ18" i="14" s="1"/>
  <c r="FH17" i="14"/>
  <c r="FI17" i="14"/>
  <c r="FI16" i="14"/>
  <c r="FH16" i="14"/>
  <c r="FH15" i="14"/>
  <c r="FJ15" i="14" s="1"/>
  <c r="FH14" i="14"/>
  <c r="FJ14" i="14" s="1"/>
  <c r="FH13" i="14"/>
  <c r="FI13" i="14"/>
  <c r="FI12" i="14"/>
  <c r="FH12" i="14"/>
  <c r="FI11" i="14"/>
  <c r="FH11" i="14"/>
  <c r="FI10" i="14"/>
  <c r="FH10" i="14"/>
  <c r="DU117" i="14"/>
  <c r="DK117" i="14"/>
  <c r="FI9" i="14"/>
  <c r="EO117" i="14"/>
  <c r="EJ117" i="14"/>
  <c r="EI119" i="14" s="1"/>
  <c r="FH9" i="14"/>
  <c r="EE117" i="14"/>
  <c r="DZ117" i="14"/>
  <c r="DP117" i="14"/>
  <c r="DO119" i="14" s="1"/>
  <c r="DF117" i="14"/>
  <c r="FH8" i="14"/>
  <c r="DA117" i="14"/>
  <c r="CV117" i="14"/>
  <c r="FI8" i="14"/>
  <c r="FH114" i="14"/>
  <c r="FH71" i="15"/>
  <c r="FI71" i="15"/>
  <c r="FI70" i="15"/>
  <c r="FH70" i="15"/>
  <c r="FI69" i="15"/>
  <c r="FH69" i="15"/>
  <c r="FI68" i="15"/>
  <c r="FH68" i="15"/>
  <c r="FH67" i="15"/>
  <c r="FJ67" i="15" s="1"/>
  <c r="FH66" i="15"/>
  <c r="FI66" i="15"/>
  <c r="FI65" i="15"/>
  <c r="FH65" i="15"/>
  <c r="FI64" i="15"/>
  <c r="FH64" i="15"/>
  <c r="FH63" i="15"/>
  <c r="FJ63" i="15" s="1"/>
  <c r="FI62" i="15"/>
  <c r="FH62" i="15"/>
  <c r="FI61" i="15"/>
  <c r="FH61" i="15"/>
  <c r="FH60" i="15"/>
  <c r="FI60" i="15"/>
  <c r="DU117" i="15"/>
  <c r="CL117" i="15"/>
  <c r="CQ117" i="15"/>
  <c r="FA111" i="15" s="1"/>
  <c r="EZ111" i="15"/>
  <c r="CK119" i="15"/>
  <c r="FJ32" i="15"/>
  <c r="FI30" i="15"/>
  <c r="FH30" i="15"/>
  <c r="FI29" i="15"/>
  <c r="FH29" i="15"/>
  <c r="FI27" i="15"/>
  <c r="FH27" i="15"/>
  <c r="FH28" i="15"/>
  <c r="FJ28" i="15" s="1"/>
  <c r="FI26" i="15"/>
  <c r="FH26" i="15"/>
  <c r="FI25" i="15"/>
  <c r="FH25" i="15"/>
  <c r="FH24" i="15"/>
  <c r="FJ24" i="15" s="1"/>
  <c r="FH23" i="15"/>
  <c r="FI23" i="15"/>
  <c r="CV117" i="15"/>
  <c r="CU119" i="15" s="1"/>
  <c r="FH22" i="15"/>
  <c r="FJ22" i="15" s="1"/>
  <c r="FI21" i="15"/>
  <c r="FH21" i="15"/>
  <c r="FI20" i="15"/>
  <c r="FH20" i="15"/>
  <c r="FI19" i="15"/>
  <c r="FH19" i="15"/>
  <c r="FI18" i="15"/>
  <c r="FH18" i="15"/>
  <c r="FH17" i="15"/>
  <c r="FI17" i="15"/>
  <c r="FI16" i="15"/>
  <c r="FH16" i="15"/>
  <c r="FI15" i="15"/>
  <c r="FH15" i="15"/>
  <c r="FI14" i="15"/>
  <c r="FH14" i="15"/>
  <c r="FI13" i="15"/>
  <c r="FH13" i="15"/>
  <c r="FI12" i="15"/>
  <c r="FH12" i="15"/>
  <c r="FI11" i="15"/>
  <c r="FH11" i="15"/>
  <c r="FI10" i="15"/>
  <c r="FH10" i="15"/>
  <c r="FH9" i="15"/>
  <c r="DF117" i="15"/>
  <c r="DE119" i="15" s="1"/>
  <c r="FI9" i="15"/>
  <c r="EO117" i="15"/>
  <c r="EJ117" i="15"/>
  <c r="EI119" i="15" s="1"/>
  <c r="EE117" i="15"/>
  <c r="DZ117" i="15"/>
  <c r="DY119" i="15" s="1"/>
  <c r="DP117" i="15"/>
  <c r="DO119" i="15" s="1"/>
  <c r="FI8" i="15"/>
  <c r="DK117" i="15"/>
  <c r="DA117" i="15"/>
  <c r="FH8" i="15"/>
  <c r="FH102" i="13"/>
  <c r="DZ117" i="13"/>
  <c r="DP117" i="13"/>
  <c r="DF117" i="13"/>
  <c r="CV117" i="13"/>
  <c r="CL117" i="13"/>
  <c r="EZ111" i="13" s="1"/>
  <c r="CB117" i="13"/>
  <c r="EJ117" i="13"/>
  <c r="EO117" i="13"/>
  <c r="EE117" i="13"/>
  <c r="DU117" i="13"/>
  <c r="DK117" i="13"/>
  <c r="DA117" i="13"/>
  <c r="CQ117" i="13"/>
  <c r="FH89" i="13"/>
  <c r="FI85" i="13"/>
  <c r="BW117" i="13"/>
  <c r="BM117" i="13"/>
  <c r="AS117" i="13"/>
  <c r="BC117" i="13"/>
  <c r="AI117" i="13"/>
  <c r="BR117" i="13"/>
  <c r="BH117" i="13"/>
  <c r="AX117" i="13"/>
  <c r="FH61" i="13"/>
  <c r="AO117" i="13"/>
  <c r="FI61" i="13"/>
  <c r="FI97" i="13"/>
  <c r="AH91" i="17" s="1"/>
  <c r="FH96" i="13"/>
  <c r="FI95" i="13"/>
  <c r="FI94" i="13"/>
  <c r="FI93" i="13"/>
  <c r="FH92" i="13"/>
  <c r="FI91" i="13"/>
  <c r="FI90" i="13"/>
  <c r="FI89" i="13"/>
  <c r="FH88" i="13"/>
  <c r="FI87" i="13"/>
  <c r="FI86" i="13"/>
  <c r="FH84" i="13"/>
  <c r="FI83" i="13"/>
  <c r="FI82" i="13"/>
  <c r="FI81" i="13"/>
  <c r="FH80" i="13"/>
  <c r="FI79" i="13"/>
  <c r="FI78" i="13"/>
  <c r="FI77" i="13"/>
  <c r="FH76" i="13"/>
  <c r="FH75" i="13"/>
  <c r="FH74" i="13"/>
  <c r="FH73" i="13"/>
  <c r="FH72" i="13"/>
  <c r="FH71" i="13"/>
  <c r="FH69" i="13"/>
  <c r="FH70" i="13"/>
  <c r="FH68" i="13"/>
  <c r="FH67" i="13"/>
  <c r="FH66" i="13"/>
  <c r="Y117" i="13"/>
  <c r="FH65" i="13"/>
  <c r="FI64" i="13"/>
  <c r="AD117" i="13"/>
  <c r="FI63" i="13"/>
  <c r="T117" i="13"/>
  <c r="FI62" i="13"/>
  <c r="FH93" i="13"/>
  <c r="FH83" i="13"/>
  <c r="FH77" i="13"/>
  <c r="O117" i="13"/>
  <c r="J117" i="13"/>
  <c r="FH95" i="13"/>
  <c r="FH91" i="13"/>
  <c r="FH85" i="13"/>
  <c r="FH79" i="13"/>
  <c r="FH98" i="13"/>
  <c r="FJ98" i="13" s="1"/>
  <c r="EN118" i="13"/>
  <c r="FH97" i="13"/>
  <c r="AG91" i="17" s="1"/>
  <c r="AO91" i="17" s="1"/>
  <c r="FI96" i="13"/>
  <c r="FH94" i="13"/>
  <c r="FI92" i="13"/>
  <c r="FH90" i="13"/>
  <c r="FI88" i="13"/>
  <c r="FH87" i="13"/>
  <c r="FH86" i="13"/>
  <c r="FI84" i="13"/>
  <c r="FH82" i="13"/>
  <c r="FH81" i="13"/>
  <c r="FI80" i="13"/>
  <c r="FH78" i="13"/>
  <c r="FI76" i="13"/>
  <c r="FI75" i="13"/>
  <c r="FI74" i="13"/>
  <c r="FI73" i="13"/>
  <c r="FI72" i="13"/>
  <c r="FI71" i="13"/>
  <c r="FI70" i="13"/>
  <c r="FI69" i="13"/>
  <c r="FI68" i="13"/>
  <c r="FI67" i="13"/>
  <c r="FI66" i="13"/>
  <c r="FI65" i="13"/>
  <c r="FH64" i="13"/>
  <c r="FH63" i="13"/>
  <c r="N118" i="13"/>
  <c r="AG118" i="13"/>
  <c r="BB118" i="13"/>
  <c r="BV118" i="13"/>
  <c r="CP118" i="13"/>
  <c r="DJ118" i="13"/>
  <c r="ED118" i="13"/>
  <c r="W118" i="13"/>
  <c r="AR118" i="13"/>
  <c r="BL118" i="13"/>
  <c r="CF118" i="13"/>
  <c r="CZ118" i="13"/>
  <c r="DT118" i="13"/>
  <c r="FH62" i="13"/>
  <c r="AO3" i="17" l="1"/>
  <c r="P30" i="17" s="1"/>
  <c r="N23" i="17"/>
  <c r="FJ102" i="13"/>
  <c r="FJ80" i="13"/>
  <c r="FJ76" i="13"/>
  <c r="FJ66" i="13"/>
  <c r="FJ11" i="13"/>
  <c r="AF5" i="17" s="1"/>
  <c r="AH5" i="17"/>
  <c r="FJ25" i="13"/>
  <c r="FJ27" i="13"/>
  <c r="FJ18" i="13"/>
  <c r="FJ21" i="13"/>
  <c r="FJ28" i="13"/>
  <c r="FJ24" i="13"/>
  <c r="FJ14" i="13"/>
  <c r="AF8" i="17" s="1"/>
  <c r="AG8" i="17"/>
  <c r="AO8" i="17" s="1"/>
  <c r="FJ19" i="13"/>
  <c r="FJ17" i="13"/>
  <c r="FJ12" i="13"/>
  <c r="AF6" i="17" s="1"/>
  <c r="AG6" i="17"/>
  <c r="AO6" i="17" s="1"/>
  <c r="FJ20" i="13"/>
  <c r="FJ10" i="13"/>
  <c r="AF4" i="17" s="1"/>
  <c r="AG4" i="17"/>
  <c r="AO4" i="17" s="1"/>
  <c r="FJ30" i="13"/>
  <c r="FJ29" i="13"/>
  <c r="FJ8" i="13"/>
  <c r="FJ23" i="13"/>
  <c r="FJ109" i="13"/>
  <c r="FJ96" i="14"/>
  <c r="FJ61" i="14"/>
  <c r="FJ81" i="14"/>
  <c r="FJ99" i="14"/>
  <c r="BQ119" i="15"/>
  <c r="CA119" i="15"/>
  <c r="S119" i="15"/>
  <c r="AW119" i="15"/>
  <c r="AL119" i="15"/>
  <c r="I119" i="15"/>
  <c r="EU111" i="14"/>
  <c r="FJ101" i="14"/>
  <c r="ES111" i="14"/>
  <c r="DY119" i="14"/>
  <c r="AB119" i="14"/>
  <c r="S119" i="14"/>
  <c r="AW119" i="14"/>
  <c r="AL119" i="14"/>
  <c r="BQ119" i="14"/>
  <c r="BG119" i="14"/>
  <c r="CK119" i="14"/>
  <c r="I119" i="14"/>
  <c r="CA119" i="14"/>
  <c r="FJ100" i="14"/>
  <c r="FJ98" i="14"/>
  <c r="FJ97" i="14"/>
  <c r="FJ94" i="14"/>
  <c r="FJ93" i="14"/>
  <c r="FJ91" i="14"/>
  <c r="FJ89" i="14"/>
  <c r="FJ88" i="14"/>
  <c r="FJ87" i="14"/>
  <c r="FJ84" i="14"/>
  <c r="FJ83" i="14"/>
  <c r="FJ82" i="14"/>
  <c r="FJ80" i="14"/>
  <c r="FJ79" i="14"/>
  <c r="FJ78" i="14"/>
  <c r="FJ76" i="14"/>
  <c r="FJ75" i="14"/>
  <c r="FJ74" i="14"/>
  <c r="FJ73" i="14"/>
  <c r="FJ72" i="14"/>
  <c r="FJ71" i="14"/>
  <c r="FJ70" i="14"/>
  <c r="FJ68" i="14"/>
  <c r="FJ67" i="14"/>
  <c r="FJ66" i="14"/>
  <c r="FJ64" i="14"/>
  <c r="FJ63" i="14"/>
  <c r="FJ62" i="14"/>
  <c r="FJ60" i="14"/>
  <c r="FJ92" i="14"/>
  <c r="FJ86" i="14"/>
  <c r="FJ26" i="14"/>
  <c r="FJ25" i="14"/>
  <c r="FJ24" i="14"/>
  <c r="FJ23" i="14"/>
  <c r="FJ21" i="14"/>
  <c r="FJ20" i="14"/>
  <c r="FJ19" i="14"/>
  <c r="FJ17" i="14"/>
  <c r="FJ16" i="14"/>
  <c r="FJ13" i="14"/>
  <c r="FJ12" i="14"/>
  <c r="FJ11" i="14"/>
  <c r="FJ10" i="14"/>
  <c r="FF111" i="14"/>
  <c r="FC111" i="14"/>
  <c r="DE119" i="14"/>
  <c r="FH112" i="14"/>
  <c r="FJ9" i="14"/>
  <c r="FB111" i="14"/>
  <c r="FE111" i="14"/>
  <c r="FD111" i="14"/>
  <c r="FJ8" i="14"/>
  <c r="CU119" i="14"/>
  <c r="FJ71" i="15"/>
  <c r="FJ70" i="15"/>
  <c r="FJ69" i="15"/>
  <c r="FJ68" i="15"/>
  <c r="FJ66" i="15"/>
  <c r="FJ65" i="15"/>
  <c r="FJ64" i="15"/>
  <c r="FJ62" i="15"/>
  <c r="FJ61" i="15"/>
  <c r="FJ60" i="15"/>
  <c r="FJ30" i="15"/>
  <c r="FJ29" i="15"/>
  <c r="FJ27" i="15"/>
  <c r="FJ26" i="15"/>
  <c r="FJ25" i="15"/>
  <c r="FB111" i="15"/>
  <c r="FJ23" i="15"/>
  <c r="FJ21" i="15"/>
  <c r="FJ20" i="15"/>
  <c r="FJ19" i="15"/>
  <c r="FJ18" i="15"/>
  <c r="FJ17" i="15"/>
  <c r="FJ16" i="15"/>
  <c r="FJ15" i="15"/>
  <c r="FJ14" i="15"/>
  <c r="FJ13" i="15"/>
  <c r="FJ12" i="15"/>
  <c r="FJ11" i="15"/>
  <c r="FJ10" i="15"/>
  <c r="FC111" i="15"/>
  <c r="FF111" i="15"/>
  <c r="FJ9" i="15"/>
  <c r="FE111" i="15"/>
  <c r="FD111" i="15"/>
  <c r="FH112" i="15"/>
  <c r="FJ96" i="13"/>
  <c r="FJ89" i="13"/>
  <c r="FA111" i="13"/>
  <c r="FE111" i="13"/>
  <c r="FD111" i="13"/>
  <c r="FC111" i="13"/>
  <c r="FB111" i="13"/>
  <c r="FF111" i="13"/>
  <c r="FJ92" i="13"/>
  <c r="FJ86" i="13"/>
  <c r="FJ85" i="13"/>
  <c r="FJ84" i="13"/>
  <c r="FJ77" i="13"/>
  <c r="FJ75" i="13"/>
  <c r="FJ74" i="13"/>
  <c r="FJ73" i="13"/>
  <c r="FJ72" i="13"/>
  <c r="FJ71" i="13"/>
  <c r="FJ69" i="13"/>
  <c r="FJ68" i="13"/>
  <c r="FJ65" i="13"/>
  <c r="EV111" i="13"/>
  <c r="EY111" i="13"/>
  <c r="EX111" i="13"/>
  <c r="EW111" i="13"/>
  <c r="FJ82" i="13"/>
  <c r="FJ79" i="13"/>
  <c r="EU111" i="13"/>
  <c r="FJ61" i="13"/>
  <c r="FJ97" i="13"/>
  <c r="AF91" i="17" s="1"/>
  <c r="FJ95" i="13"/>
  <c r="FJ94" i="13"/>
  <c r="FJ93" i="13"/>
  <c r="FJ91" i="13"/>
  <c r="FJ90" i="13"/>
  <c r="FJ88" i="13"/>
  <c r="FJ87" i="13"/>
  <c r="FJ83" i="13"/>
  <c r="FJ81" i="13"/>
  <c r="FJ78" i="13"/>
  <c r="FJ70" i="13"/>
  <c r="FJ67" i="13"/>
  <c r="ET111" i="13"/>
  <c r="FJ64" i="13"/>
  <c r="FJ63" i="13"/>
  <c r="ES111" i="13"/>
  <c r="DY119" i="13"/>
  <c r="CK119" i="13"/>
  <c r="DO119" i="13"/>
  <c r="CA119" i="13"/>
  <c r="DE119" i="13"/>
  <c r="BQ119" i="13"/>
  <c r="EI119" i="13"/>
  <c r="CU119" i="13"/>
  <c r="BG119" i="13"/>
  <c r="AW119" i="13"/>
  <c r="AL119" i="13"/>
  <c r="AB119" i="13"/>
  <c r="S119" i="13"/>
  <c r="I119" i="13"/>
  <c r="FJ62" i="13"/>
  <c r="P56" i="17" l="1"/>
  <c r="R56" i="17" s="1"/>
  <c r="R30" i="17"/>
  <c r="FH116" i="14"/>
  <c r="FH116" i="15"/>
  <c r="FH116" i="13"/>
  <c r="AG110" i="17" s="1"/>
  <c r="AO110" i="17" s="1"/>
  <c r="FI60" i="13"/>
  <c r="FH60" i="13"/>
  <c r="FH112" i="13" s="1"/>
  <c r="AG106" i="17" s="1"/>
  <c r="AO106" i="17" s="1"/>
  <c r="FJ60" i="13" l="1"/>
</calcChain>
</file>

<file path=xl/sharedStrings.xml><?xml version="1.0" encoding="utf-8"?>
<sst xmlns="http://schemas.openxmlformats.org/spreadsheetml/2006/main" count="2456" uniqueCount="763">
  <si>
    <t>TIMSATH MODERN SCHOOL</t>
  </si>
  <si>
    <t>NURSERY, PRIMARY, AND COLLEDE</t>
  </si>
  <si>
    <t xml:space="preserve">29, SALAMI STREET, BOGIJE, IBEJU LEKKI, LAGOS. </t>
  </si>
  <si>
    <t>TEL. 08162280395, 08165051119</t>
  </si>
  <si>
    <t>D. A</t>
  </si>
  <si>
    <t>NO.</t>
  </si>
  <si>
    <r>
      <rPr>
        <b/>
        <sz val="12"/>
        <color rgb="FF2F5496"/>
        <rFont val="Calibri"/>
        <charset val="134"/>
      </rPr>
      <t xml:space="preserve">NAME                                           </t>
    </r>
    <r>
      <rPr>
        <sz val="12"/>
        <color rgb="FF2F5496"/>
        <rFont val="Calibri"/>
        <charset val="134"/>
      </rPr>
      <t>(In Mied school,Girls in red ink)</t>
    </r>
  </si>
  <si>
    <t>Number in Admission Register</t>
  </si>
  <si>
    <t>Age</t>
  </si>
  <si>
    <t>Date of Promotion to this class</t>
  </si>
  <si>
    <t xml:space="preserve">                  1                                Week ending……19 SEPTEMBER 2025.......                              M      T     W     TH       F</t>
  </si>
  <si>
    <t xml:space="preserve">                  3                        Week ending……3RD OCTOBER 2025.......                              M         T        W       TH       F</t>
  </si>
  <si>
    <t xml:space="preserve">                  4                      Week ending….10TH OCTOBER.........                              M     T       W     TH       F</t>
  </si>
  <si>
    <t xml:space="preserve">                  8                        Week ending…..........                              M         T        W       TH    F</t>
  </si>
  <si>
    <t xml:space="preserve">                  9                        Week ending…..........                              M         T        W    TH     F</t>
  </si>
  <si>
    <t xml:space="preserve">                  10                        Week ending…..........                              M         T        W    TH     F</t>
  </si>
  <si>
    <t xml:space="preserve">                  11                       Week ending…..........                              M         T        W    TH     F</t>
  </si>
  <si>
    <t xml:space="preserve">                  12                                Week ending…..........                                M       T      W    TH     F</t>
  </si>
  <si>
    <t xml:space="preserve">                  13                        Week ending…..........                              M         T        W    TH     F</t>
  </si>
  <si>
    <t xml:space="preserve">                  14                        Week ending…..........                              M         T        W    TH     F</t>
  </si>
  <si>
    <r>
      <rPr>
        <b/>
        <sz val="11"/>
        <color rgb="FF2F5496"/>
        <rFont val="Calibri"/>
        <charset val="134"/>
      </rPr>
      <t xml:space="preserve">                         Weekly Totals                                               </t>
    </r>
    <r>
      <rPr>
        <b/>
        <sz val="8"/>
        <color rgb="FF2F5496"/>
        <rFont val="Calibri"/>
        <charset val="134"/>
      </rPr>
      <t xml:space="preserve">1       2    3      4     5       6     7     8      9       10      11      12      13    14 </t>
    </r>
    <r>
      <rPr>
        <b/>
        <sz val="5"/>
        <color rgb="FF2F5496"/>
        <rFont val="Calibri"/>
        <charset val="134"/>
      </rPr>
      <t xml:space="preserve">    </t>
    </r>
    <r>
      <rPr>
        <b/>
        <sz val="11"/>
        <color rgb="FF2F5496"/>
        <rFont val="Calibri"/>
        <charset val="134"/>
      </rPr>
      <t xml:space="preserve">                                                           </t>
    </r>
  </si>
  <si>
    <r>
      <rPr>
        <b/>
        <sz val="9"/>
        <color theme="4"/>
        <rFont val="Calibri"/>
        <charset val="134"/>
      </rPr>
      <t>Total Attendance for term</t>
    </r>
    <r>
      <rPr>
        <sz val="11"/>
        <color theme="1"/>
        <rFont val="Calibri"/>
        <charset val="134"/>
      </rPr>
      <t xml:space="preserve"> </t>
    </r>
  </si>
  <si>
    <t>Brought forward</t>
  </si>
  <si>
    <t>Total</t>
  </si>
  <si>
    <r>
      <rPr>
        <b/>
        <i/>
        <u/>
        <sz val="12"/>
        <color rgb="FF2F5496"/>
        <rFont val="Algerian"/>
        <charset val="134"/>
      </rPr>
      <t>FOR BOYS ONLY</t>
    </r>
    <r>
      <rPr>
        <b/>
        <sz val="12"/>
        <color rgb="FF2F5496"/>
        <rFont val="Calibri"/>
        <charset val="134"/>
      </rPr>
      <t xml:space="preserve"> </t>
    </r>
  </si>
  <si>
    <t>FOR  GIRLS ONLY( WITH RED INK)</t>
  </si>
  <si>
    <t>DATE AND SIGNATURE  OF MANAGER CHECKING REGISTER</t>
  </si>
  <si>
    <t>M TOTAL</t>
  </si>
  <si>
    <t>W</t>
  </si>
  <si>
    <t>A TOTAL</t>
  </si>
  <si>
    <t>Total Attendance for each week</t>
  </si>
  <si>
    <t>Total Attendances for the term</t>
  </si>
  <si>
    <t>M</t>
  </si>
  <si>
    <t>T</t>
  </si>
  <si>
    <t>Total times school opened for the term</t>
  </si>
  <si>
    <t xml:space="preserve">Date </t>
  </si>
  <si>
    <t>Manager's Name</t>
  </si>
  <si>
    <t>TH</t>
  </si>
  <si>
    <t>Total School Open</t>
  </si>
  <si>
    <t>Average Attendance For The Term</t>
  </si>
  <si>
    <t>F</t>
  </si>
  <si>
    <t>TOTALS</t>
  </si>
  <si>
    <t>A</t>
  </si>
  <si>
    <t>Total Attendances for Boys &amp; Girls</t>
  </si>
  <si>
    <t>No on roll</t>
  </si>
  <si>
    <t>Boys</t>
  </si>
  <si>
    <t>Girls</t>
  </si>
  <si>
    <t>Percentage Attending</t>
  </si>
  <si>
    <r>
      <rPr>
        <i/>
        <u/>
        <sz val="11"/>
        <color theme="1"/>
        <rFont val="Adobe Caslon Pro"/>
        <charset val="134"/>
      </rPr>
      <t>First____________</t>
    </r>
    <r>
      <rPr>
        <b/>
        <u/>
        <sz val="12"/>
        <color rgb="FF2E75B5"/>
        <rFont val="Adobe Caslon Pro"/>
        <charset val="134"/>
      </rPr>
      <t>Term 20</t>
    </r>
    <r>
      <rPr>
        <b/>
        <u/>
        <sz val="12"/>
        <color theme="1"/>
        <rFont val="Adobe Caslon Pro"/>
        <charset val="134"/>
      </rPr>
      <t>__</t>
    </r>
    <r>
      <rPr>
        <b/>
        <u/>
        <sz val="12"/>
        <color theme="1"/>
        <rFont val="Adobe Caslon Pro"/>
        <charset val="134"/>
      </rPr>
      <t>25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6"/>
        <color rgb="FF2F5496"/>
        <rFont val="Adobe Caslon Pro"/>
        <charset val="134"/>
      </rPr>
      <t>Class</t>
    </r>
    <r>
      <rPr>
        <b/>
        <u/>
        <sz val="12"/>
        <color theme="1"/>
        <rFont val="Adobe Caslon Pro"/>
        <charset val="134"/>
      </rPr>
      <t xml:space="preserve"> S</t>
    </r>
    <r>
      <rPr>
        <b/>
        <i/>
        <u/>
        <sz val="12"/>
        <color theme="1"/>
        <rFont val="Adobe Caslon Pro"/>
        <charset val="134"/>
      </rPr>
      <t xml:space="preserve">SS1 </t>
    </r>
    <r>
      <rPr>
        <b/>
        <u/>
        <sz val="12"/>
        <color theme="1"/>
        <rFont val="Adobe Caslon Pro"/>
        <charset val="134"/>
      </rPr>
      <t xml:space="preserve">             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2"/>
        <color rgb="FF2F5496"/>
        <rFont val="Adobe Caslon Pro"/>
        <charset val="134"/>
      </rPr>
      <t xml:space="preserve">Department____________________                                                                                                   </t>
    </r>
  </si>
  <si>
    <r>
      <rPr>
        <b/>
        <sz val="12"/>
        <color rgb="FF2F5496"/>
        <rFont val="Calibri"/>
        <charset val="134"/>
      </rPr>
      <t xml:space="preserve">                  NAME                                 </t>
    </r>
    <r>
      <rPr>
        <sz val="12"/>
        <color rgb="FF2F5496"/>
        <rFont val="Calibri"/>
        <charset val="134"/>
      </rPr>
      <t>(In Mixed school,Girls in red ink)</t>
    </r>
  </si>
  <si>
    <t xml:space="preserve">                  1                                Week ending……19TH SEPTEMBER ......            M      T     W     TH      F</t>
  </si>
  <si>
    <t xml:space="preserve">  2                                              Week ending….....26TH SEPTEMBER ....                      M         T        W       TH     F</t>
  </si>
  <si>
    <t xml:space="preserve">                  3                          Week ending……3RD OCTOBER ......                          M      T        W       TH       F</t>
  </si>
  <si>
    <t xml:space="preserve">                  5                        Week ending……17TH OCTOBER.......                        M       T      W      TH       F</t>
  </si>
  <si>
    <t xml:space="preserve">                  7                              Week ending…..31ST   OCTOBER                                                        M        T         W       TH        F</t>
  </si>
  <si>
    <t xml:space="preserve">                  13                        Week ending….12TH DECEMBER..                           M         T        W       TH       F</t>
  </si>
  <si>
    <t xml:space="preserve">                  14                        Week ending…19TH DECEMBER.                             M         T        W    TH     F</t>
  </si>
  <si>
    <t>ADEBANJI                    ANUOLWA</t>
  </si>
  <si>
    <t>AEJOH                         DANIEL</t>
  </si>
  <si>
    <t>ARIYIBI                        JAMIU</t>
  </si>
  <si>
    <t>AGUGBOM                 DESTINY</t>
  </si>
  <si>
    <t>ALLI                             ABDULRASAQ</t>
  </si>
  <si>
    <t>AZEEZ                          JOSHUA</t>
  </si>
  <si>
    <t>BAKARE                       FARUQ</t>
  </si>
  <si>
    <t>BELLO                         MUIZ</t>
  </si>
  <si>
    <t xml:space="preserve">CHUKWU                   GABRIEL </t>
  </si>
  <si>
    <t>EMMANUEL               SEGUN</t>
  </si>
  <si>
    <t>EZE                             MICHEAL</t>
  </si>
  <si>
    <t>FOLORUNSHO           OLORUNWA</t>
  </si>
  <si>
    <t>O</t>
  </si>
  <si>
    <t>HADI                          ALAMEEN</t>
  </si>
  <si>
    <t>HONNOUN               AYOMIDE</t>
  </si>
  <si>
    <t>IYIOLA                       QUADRI</t>
  </si>
  <si>
    <t>JEGEDI                      SAMUEL</t>
  </si>
  <si>
    <t>NOSIRUDEEN           MALIK</t>
  </si>
  <si>
    <t>NOSIRUDEEN          USMAN</t>
  </si>
  <si>
    <t>OKORIE                   DOMINION</t>
  </si>
  <si>
    <t>ONI                          ISREAL</t>
  </si>
  <si>
    <t>OLAIYA                    FERANMI</t>
  </si>
  <si>
    <t>OYEWOLE                JOHN</t>
  </si>
  <si>
    <t>SHITTU                     BASIT</t>
  </si>
  <si>
    <t>WILLAMS                 ABLODUN</t>
  </si>
  <si>
    <t>AGUGBOM              PRINCE</t>
  </si>
  <si>
    <t>AYINIDE                   ADEWALE</t>
  </si>
  <si>
    <t>ELEWURO               MUBARAK</t>
  </si>
  <si>
    <t>SUROJUDEEN          JUBRIL</t>
  </si>
  <si>
    <t>MUDASHIRU           FARUQ</t>
  </si>
  <si>
    <t>SATURDAY             GODSTIME</t>
  </si>
  <si>
    <t>ALEJOLOWO          VICTOR</t>
  </si>
  <si>
    <t>ABUDUJELI             LEKAN</t>
  </si>
  <si>
    <t>AKINDELE              SODIQ</t>
  </si>
  <si>
    <t>OLORUN TOYIN OPEYEMI</t>
  </si>
  <si>
    <t>VICTOR BASSEY GIFT</t>
  </si>
  <si>
    <r>
      <rPr>
        <i/>
        <u/>
        <sz val="11"/>
        <color theme="1"/>
        <rFont val="Adobe Caslon Pro"/>
        <charset val="134"/>
      </rPr>
      <t>First____________</t>
    </r>
    <r>
      <rPr>
        <b/>
        <u/>
        <sz val="12"/>
        <color rgb="FF2E75B5"/>
        <rFont val="Adobe Caslon Pro"/>
        <charset val="134"/>
      </rPr>
      <t>Term 20</t>
    </r>
    <r>
      <rPr>
        <b/>
        <u/>
        <sz val="12"/>
        <color theme="1"/>
        <rFont val="Adobe Caslon Pro"/>
        <charset val="134"/>
      </rPr>
      <t>__</t>
    </r>
    <r>
      <rPr>
        <b/>
        <u/>
        <sz val="12"/>
        <color theme="1"/>
        <rFont val="Adobe Caslon Pro"/>
        <charset val="134"/>
      </rPr>
      <t>25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6"/>
        <color rgb="FF2F5496"/>
        <rFont val="Adobe Caslon Pro"/>
        <charset val="134"/>
      </rPr>
      <t>Class</t>
    </r>
    <r>
      <rPr>
        <b/>
        <u/>
        <sz val="12"/>
        <color theme="1"/>
        <rFont val="Adobe Caslon Pro"/>
        <charset val="134"/>
      </rPr>
      <t xml:space="preserve"> S</t>
    </r>
    <r>
      <rPr>
        <b/>
        <i/>
        <u/>
        <sz val="12"/>
        <color theme="1"/>
        <rFont val="Adobe Caslon Pro"/>
        <charset val="134"/>
      </rPr>
      <t xml:space="preserve">SS2 </t>
    </r>
    <r>
      <rPr>
        <b/>
        <u/>
        <sz val="12"/>
        <color theme="1"/>
        <rFont val="Adobe Caslon Pro"/>
        <charset val="134"/>
      </rPr>
      <t xml:space="preserve">             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2"/>
        <color rgb="FF2F5496"/>
        <rFont val="Adobe Caslon Pro"/>
        <charset val="134"/>
      </rPr>
      <t xml:space="preserve">Department____________________                                                                                                   </t>
    </r>
  </si>
  <si>
    <t>ABIMBOLA                       TESTIMONY</t>
  </si>
  <si>
    <t>ASIWAJU                         ABUBAKAR</t>
  </si>
  <si>
    <t>ADEKWN                           MAYOWA</t>
  </si>
  <si>
    <t>EMMANUEL                     GABRIEL</t>
  </si>
  <si>
    <t>MICHAH                            WISDOM</t>
  </si>
  <si>
    <t>MISSEWU                          EMMANUEL</t>
  </si>
  <si>
    <t>ADETUNJI    TAJUDEEN       AYO</t>
  </si>
  <si>
    <t>ADEDAYO                            EBUNOLUWA</t>
  </si>
  <si>
    <t xml:space="preserve">ABIOYE                                 SOFIAT  </t>
  </si>
  <si>
    <t>ABU-PAUL                           ANN-MARIA</t>
  </si>
  <si>
    <t>AMOSA                                AISHAT</t>
  </si>
  <si>
    <t>AKINDELE                            FAITH</t>
  </si>
  <si>
    <t>ABDUL -RASAQ                  FATHIA</t>
  </si>
  <si>
    <t>BENEDICT                           CELINA</t>
  </si>
  <si>
    <t>BAMIGBADE                       BALIKISS</t>
  </si>
  <si>
    <t>DAVID                                  JOY</t>
  </si>
  <si>
    <t>EFUNTIAAWE                     GLORY</t>
  </si>
  <si>
    <t xml:space="preserve">ELEGUSHI                          MARIAM </t>
  </si>
  <si>
    <t>EZEKIEL                               GLADNESS</t>
  </si>
  <si>
    <t>EMMANUEL                        JESSICA</t>
  </si>
  <si>
    <t>FASOTA                               DEBORAH</t>
  </si>
  <si>
    <t>OSAKWE                            FAVOUR</t>
  </si>
  <si>
    <t>ISMAIL                                RASHEEDDAT</t>
  </si>
  <si>
    <t>JAYEOLA                              ENIOLA</t>
  </si>
  <si>
    <t>JEGEDE                                FUNKE</t>
  </si>
  <si>
    <t>LUKMON                         SEMINAT</t>
  </si>
  <si>
    <t>LAWAL                                 OPEYEMI</t>
  </si>
  <si>
    <t>LAWAL                                 FATIMA</t>
  </si>
  <si>
    <t>LONDON                         PATRICIA</t>
  </si>
  <si>
    <t>NOJEEM                               BASIRAT</t>
  </si>
  <si>
    <t>NOJEEM                               MISTURA</t>
  </si>
  <si>
    <t>NWANKWO                         KOSISO</t>
  </si>
  <si>
    <t>OBOH                                   DEBORAH</t>
  </si>
  <si>
    <t>OLUMIDE                             ANGEL</t>
  </si>
  <si>
    <t>OLANIYAN                            DESIRE</t>
  </si>
  <si>
    <t>OLAMILEKON                       FATIMA</t>
  </si>
  <si>
    <t>OGENYI                                 VICTORIA</t>
  </si>
  <si>
    <t>SULE                                      FATIMA</t>
  </si>
  <si>
    <t>STANLEY                               SUCCESS</t>
  </si>
  <si>
    <t>TOSSAUI     ANGEL              SARAH</t>
  </si>
  <si>
    <t>ALEEM                                  ALIMOT</t>
  </si>
  <si>
    <t>OYEYEMI    ADIJAT              AYO</t>
  </si>
  <si>
    <t>KENNETH                             MMESOMA</t>
  </si>
  <si>
    <t>OMOTOLANI                       DAMILOLA</t>
  </si>
  <si>
    <t>ARIYIBI         ASISAT            ODUNOLA</t>
  </si>
  <si>
    <t>OLANRWAJU                       ALIYAH</t>
  </si>
  <si>
    <t>JOSSA                                   PEACE</t>
  </si>
  <si>
    <t>NWAJEI                            BLESSING</t>
  </si>
  <si>
    <t xml:space="preserve"> t</t>
  </si>
  <si>
    <r>
      <rPr>
        <i/>
        <u/>
        <sz val="11"/>
        <color theme="1"/>
        <rFont val="Adobe Caslon Pro"/>
        <charset val="134"/>
      </rPr>
      <t>First____________</t>
    </r>
    <r>
      <rPr>
        <b/>
        <u/>
        <sz val="12"/>
        <color rgb="FF2E75B5"/>
        <rFont val="Adobe Caslon Pro"/>
        <charset val="134"/>
      </rPr>
      <t>Term 20</t>
    </r>
    <r>
      <rPr>
        <b/>
        <u/>
        <sz val="12"/>
        <color theme="1"/>
        <rFont val="Adobe Caslon Pro"/>
        <charset val="134"/>
      </rPr>
      <t>__</t>
    </r>
    <r>
      <rPr>
        <b/>
        <u/>
        <sz val="12"/>
        <color theme="1"/>
        <rFont val="Adobe Caslon Pro"/>
        <charset val="134"/>
      </rPr>
      <t>25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6"/>
        <color rgb="FF2F5496"/>
        <rFont val="Adobe Caslon Pro"/>
        <charset val="134"/>
      </rPr>
      <t>Class</t>
    </r>
    <r>
      <rPr>
        <b/>
        <u/>
        <sz val="12"/>
        <color theme="1"/>
        <rFont val="Adobe Caslon Pro"/>
        <charset val="134"/>
      </rPr>
      <t xml:space="preserve"> S</t>
    </r>
    <r>
      <rPr>
        <b/>
        <i/>
        <u/>
        <sz val="12"/>
        <color theme="1"/>
        <rFont val="Adobe Caslon Pro"/>
        <charset val="134"/>
      </rPr>
      <t xml:space="preserve">SS3 </t>
    </r>
    <r>
      <rPr>
        <b/>
        <u/>
        <sz val="12"/>
        <color theme="1"/>
        <rFont val="Adobe Caslon Pro"/>
        <charset val="134"/>
      </rPr>
      <t xml:space="preserve">             </t>
    </r>
    <r>
      <rPr>
        <b/>
        <u/>
        <sz val="12"/>
        <color theme="1"/>
        <rFont val="Adobe Caslon Pro"/>
        <charset val="134"/>
      </rPr>
      <t xml:space="preserve">    </t>
    </r>
    <r>
      <rPr>
        <b/>
        <u/>
        <sz val="12"/>
        <color rgb="FF2F5496"/>
        <rFont val="Adobe Caslon Pro"/>
        <charset val="134"/>
      </rPr>
      <t xml:space="preserve">Department____________________                                                                                                   </t>
    </r>
  </si>
  <si>
    <r>
      <rPr>
        <b/>
        <sz val="12"/>
        <color rgb="FF2F5496"/>
        <rFont val="Calibri"/>
        <charset val="134"/>
      </rPr>
      <t xml:space="preserve">NAME                                                    </t>
    </r>
    <r>
      <rPr>
        <sz val="12"/>
        <color rgb="FF2F5496"/>
        <rFont val="Calibri"/>
        <charset val="134"/>
      </rPr>
      <t>(In Mied school,Girls in red ink)</t>
    </r>
  </si>
  <si>
    <t>ADEIDH                                 JOSHUA</t>
  </si>
  <si>
    <t>AJAGABONA                         BLESSING</t>
  </si>
  <si>
    <t>ADENIYI                                 PELUNI</t>
  </si>
  <si>
    <t>AMMED                                 ENIOLA</t>
  </si>
  <si>
    <t>AIYEBIWO                              DAMILOLA</t>
  </si>
  <si>
    <t>ANIEOWOSHE                      EMMANUEL</t>
  </si>
  <si>
    <t>BAALE                                    OLASUBOMI</t>
  </si>
  <si>
    <t>CHUKWUNOYAE                  GOODLUCK</t>
  </si>
  <si>
    <t>CHUKWUEMEKA                 GOODLUCK</t>
  </si>
  <si>
    <t>FELIX                                      SOLOMON</t>
  </si>
  <si>
    <t>HASSAN                                 AZEEZ</t>
  </si>
  <si>
    <t>IBIETAN                                  PAUL</t>
  </si>
  <si>
    <t>OBADIAH                               WILLIAMS</t>
  </si>
  <si>
    <t>OGE                                        VICTOR</t>
  </si>
  <si>
    <t>OLAORE                                JOHN</t>
  </si>
  <si>
    <t>OASUNKANMI                     ALAMEEM</t>
  </si>
  <si>
    <t>OSADEBE                             GIDEON</t>
  </si>
  <si>
    <t>UMEN                                  STEPHEN</t>
  </si>
  <si>
    <t>ORHORHA                           PROSPER</t>
  </si>
  <si>
    <t>SAMUEL                               ISRAEL</t>
  </si>
  <si>
    <t xml:space="preserve">DOMINIC                             MIRACLE  </t>
  </si>
  <si>
    <t>OYELEKE                              JOHN</t>
  </si>
  <si>
    <t>NWACHUKWU                   BRIGHT</t>
  </si>
  <si>
    <t>NWACHUKWU                   VICTOR</t>
  </si>
  <si>
    <t>OKEWUNMI                      OLAJIDE</t>
  </si>
  <si>
    <t>NEKEEB                              ROQEEB</t>
  </si>
  <si>
    <t>MUDASHIRU                     BASIT</t>
  </si>
  <si>
    <t>OGBAH                               DANIEL</t>
  </si>
  <si>
    <t>AWE                                     TOMIWA</t>
  </si>
  <si>
    <t>BEGRY                                  BLESSING</t>
  </si>
  <si>
    <t>IKPOM                                 THERESA</t>
  </si>
  <si>
    <t>IYIOLA                                  ANVOLUWAPO</t>
  </si>
  <si>
    <t>AEYEYE                                  GRACE</t>
  </si>
  <si>
    <r>
      <t xml:space="preserve">                  5                        </t>
    </r>
    <r>
      <rPr>
        <b/>
        <sz val="9"/>
        <color rgb="FF2F5496"/>
        <rFont val="Calibri"/>
        <family val="2"/>
      </rPr>
      <t>Week ending 17TH OCTOBER.</t>
    </r>
    <r>
      <rPr>
        <b/>
        <sz val="10"/>
        <color rgb="FF2F5496"/>
        <rFont val="Calibri"/>
        <family val="2"/>
      </rPr>
      <t xml:space="preserve">                            M         T      W     TH      F</t>
    </r>
  </si>
  <si>
    <r>
      <t xml:space="preserve">                  7                           </t>
    </r>
    <r>
      <rPr>
        <b/>
        <sz val="10"/>
        <color rgb="FF2F5496"/>
        <rFont val="Calibri"/>
        <family val="2"/>
      </rPr>
      <t>Week ending 3RD OCTOBER</t>
    </r>
    <r>
      <rPr>
        <b/>
        <sz val="11"/>
        <color rgb="FF2F5496"/>
        <rFont val="Calibri"/>
        <family val="2"/>
      </rPr>
      <t xml:space="preserve">                                     M          T        W       TH       F</t>
    </r>
  </si>
  <si>
    <t xml:space="preserve">                  1                                Week ending……19 SEPTEMBER 2025.......                                     M       T             W       TH          F</t>
  </si>
  <si>
    <r>
      <t xml:space="preserve">                         Weekly Totals                                               </t>
    </r>
    <r>
      <rPr>
        <b/>
        <sz val="8"/>
        <color rgb="FF2F5496"/>
        <rFont val="Calibri"/>
        <charset val="134"/>
      </rPr>
      <t xml:space="preserve">1       2    3      4     5     6     7     8      9       10      11      12      13    14 </t>
    </r>
    <r>
      <rPr>
        <b/>
        <sz val="5"/>
        <color rgb="FF2F5496"/>
        <rFont val="Calibri"/>
        <charset val="134"/>
      </rPr>
      <t xml:space="preserve">    </t>
    </r>
    <r>
      <rPr>
        <b/>
        <sz val="11"/>
        <color rgb="FF2F5496"/>
        <rFont val="Calibri"/>
        <charset val="134"/>
      </rPr>
      <t xml:space="preserve">                                                           </t>
    </r>
  </si>
  <si>
    <t xml:space="preserve">                  4                      Week ending….10TH OCTOBER.........                              M        T      W     TH       F</t>
  </si>
  <si>
    <r>
      <t xml:space="preserve">                 </t>
    </r>
    <r>
      <rPr>
        <b/>
        <sz val="10"/>
        <color rgb="FF2F5496"/>
        <rFont val="Calibri"/>
        <charset val="134"/>
      </rPr>
      <t xml:space="preserve"> 6                        Week ending24TH..   OCTOBER                               M        T       W      TH      F</t>
    </r>
  </si>
  <si>
    <t xml:space="preserve">                  8                              Week ending…7TH NOVEMBER                                   M              T        W       TH        F</t>
  </si>
  <si>
    <t xml:space="preserve">                  10                                 Week ending…21ST NOVEMBER..........                              M                T         W         TH        F</t>
  </si>
  <si>
    <r>
      <t xml:space="preserve">             </t>
    </r>
    <r>
      <rPr>
        <b/>
        <sz val="10"/>
        <color rgb="FF2F5496"/>
        <rFont val="Calibri"/>
        <charset val="134"/>
      </rPr>
      <t xml:space="preserve">     11                       Week ending….28TH NOVEMBER.                            M          T      W    TH       F</t>
    </r>
  </si>
  <si>
    <t xml:space="preserve">                  12                                Week ending 5TH DECEMBER                               M        T      W      TH     F</t>
  </si>
  <si>
    <t xml:space="preserve">  2                                              Week ending….....26TH SEPTEMBER 2025....                                              M         T        W       TH       F</t>
  </si>
  <si>
    <t xml:space="preserve">                  5                        Week ending……17TH OCTOBER.......                              M       T      W      TH       F</t>
  </si>
  <si>
    <t xml:space="preserve">                  6                        Week ending…24TH OCTOBER.                              M         T        W       TH       F</t>
  </si>
  <si>
    <t xml:space="preserve">                  7                           Week ending 31TH OCTOBER                                   M          T        W       TH       F</t>
  </si>
  <si>
    <t xml:space="preserve">                  8                        Week endin 7TH NOVEMBER .                                                    M           T       W     TH       F</t>
  </si>
  <si>
    <r>
      <t xml:space="preserve"> </t>
    </r>
    <r>
      <rPr>
        <b/>
        <sz val="9"/>
        <color rgb="FF2F5496"/>
        <rFont val="Calibri"/>
        <family val="2"/>
      </rPr>
      <t xml:space="preserve">                 9                        Week ending 14TH NOVEMBER                             M          T       W     TH       F</t>
    </r>
  </si>
  <si>
    <t xml:space="preserve">                  10                        Week ending 21ST NOVEMBER                               M             T       W       TH      F</t>
  </si>
  <si>
    <r>
      <t xml:space="preserve">  </t>
    </r>
    <r>
      <rPr>
        <b/>
        <sz val="9"/>
        <color rgb="FF2F5496"/>
        <rFont val="Calibri"/>
        <family val="2"/>
      </rPr>
      <t xml:space="preserve">                11                       Week ending 28TH NOVERMBER                                M           T       W     TH         F</t>
    </r>
  </si>
  <si>
    <t xml:space="preserve">                  12                                Week ending 5TH DECEMBER                               M       T      W    TH     F</t>
  </si>
  <si>
    <t xml:space="preserve">                  13                        Week ending 12TH DECEMBER                              M          T       W     TH       F</t>
  </si>
  <si>
    <t xml:space="preserve">                  14                        Week ending 19TH DECEMBER .                                                 M            T        W      TH       F</t>
  </si>
  <si>
    <r>
      <rPr>
        <b/>
        <sz val="9"/>
        <color theme="4"/>
        <rFont val="Calibri"/>
        <charset val="134"/>
      </rPr>
      <t xml:space="preserve">    Total </t>
    </r>
    <r>
      <rPr>
        <b/>
        <sz val="8"/>
        <color theme="4"/>
        <rFont val="Calibri"/>
        <family val="2"/>
      </rPr>
      <t>Attendanc</t>
    </r>
    <r>
      <rPr>
        <b/>
        <sz val="9"/>
        <color theme="4"/>
        <rFont val="Calibri"/>
        <charset val="134"/>
      </rPr>
      <t>e for term</t>
    </r>
    <r>
      <rPr>
        <sz val="11"/>
        <color theme="1"/>
        <rFont val="Calibri"/>
        <charset val="134"/>
      </rPr>
      <t xml:space="preserve"> </t>
    </r>
  </si>
  <si>
    <t>MOSES                                 CHIAMAKA</t>
  </si>
  <si>
    <t>MUKAILA                            TAIWO</t>
  </si>
  <si>
    <t>OLAWOYIN                         INIOLUWA</t>
  </si>
  <si>
    <t>OLANIYAN                          MABEL</t>
  </si>
  <si>
    <t>ORIGBA                               NAOMI</t>
  </si>
  <si>
    <t>OYEWOLE                            GRACE</t>
  </si>
  <si>
    <t>TYAOPINE                           DORATHY</t>
  </si>
  <si>
    <t>AKOH                                   CHINENYE</t>
  </si>
  <si>
    <t>MICHAEL                         OGEHENETEGA</t>
  </si>
  <si>
    <t>MARUF                              MUBARAQ</t>
  </si>
  <si>
    <t>OBADIAH   ODUM        PHILIP</t>
  </si>
  <si>
    <t>ODUNFARASIN            EMMANUEL</t>
  </si>
  <si>
    <t>OLUMADE                       QAYUM</t>
  </si>
  <si>
    <t>OGUNDGI                        AHMOD</t>
  </si>
  <si>
    <t xml:space="preserve">OJO                                   FAWAS </t>
  </si>
  <si>
    <t>OWOLABI                       AKOREDE</t>
  </si>
  <si>
    <t>UKPAI                               EMMAANUEL</t>
  </si>
  <si>
    <t>ELEWURO      IDRIS              AYODELE</t>
  </si>
  <si>
    <t>GANIU         ADAM              OPEYEMI</t>
  </si>
  <si>
    <t xml:space="preserve">IKOMI                                     EMMANUEL </t>
  </si>
  <si>
    <t xml:space="preserve">  2                                              Week ending….....26TH SEPTEMBER 2025....                                          M         T           W          TH          F</t>
  </si>
  <si>
    <r>
      <t xml:space="preserve">                  4                      </t>
    </r>
    <r>
      <rPr>
        <b/>
        <sz val="8"/>
        <color rgb="FF2F5496"/>
        <rFont val="Calibri"/>
        <family val="2"/>
      </rPr>
      <t xml:space="preserve">Week ending….10TH OCTOBER.    </t>
    </r>
    <r>
      <rPr>
        <b/>
        <sz val="11"/>
        <color rgb="FF2F5496"/>
        <rFont val="Calibri"/>
        <family val="2"/>
      </rPr>
      <t xml:space="preserve">                          </t>
    </r>
    <r>
      <rPr>
        <b/>
        <sz val="12"/>
        <color rgb="FF2F5496"/>
        <rFont val="Calibri"/>
        <family val="2"/>
      </rPr>
      <t>M     T       W     TH     F</t>
    </r>
  </si>
  <si>
    <r>
      <rPr>
        <b/>
        <sz val="9"/>
        <color rgb="FF2F5496"/>
        <rFont val="Calibri"/>
        <family val="2"/>
      </rPr>
      <t xml:space="preserve">                  3                        Week ending……3RD OCTOBER 2025.......      </t>
    </r>
    <r>
      <rPr>
        <b/>
        <sz val="10"/>
        <color rgb="FF2F5496"/>
        <rFont val="Calibri"/>
        <family val="2"/>
      </rPr>
      <t xml:space="preserve">                                 </t>
    </r>
    <r>
      <rPr>
        <b/>
        <sz val="11"/>
        <color rgb="FF2F5496"/>
        <rFont val="Calibri"/>
        <family val="2"/>
      </rPr>
      <t>M         T        W       TH       F</t>
    </r>
  </si>
  <si>
    <r>
      <t xml:space="preserve">                  6                        </t>
    </r>
    <r>
      <rPr>
        <b/>
        <sz val="8"/>
        <color rgb="FF2F5496"/>
        <rFont val="Calibri"/>
        <family val="2"/>
      </rPr>
      <t xml:space="preserve">Week ending 24th OCTONBER…     </t>
    </r>
    <r>
      <rPr>
        <b/>
        <sz val="11"/>
        <color rgb="FF2F5496"/>
        <rFont val="Calibri"/>
        <family val="2"/>
      </rPr>
      <t xml:space="preserve">                       </t>
    </r>
    <r>
      <rPr>
        <b/>
        <sz val="10"/>
        <color rgb="FF2F5496"/>
        <rFont val="Calibri"/>
        <family val="2"/>
      </rPr>
      <t>M       T       W      TH       F</t>
    </r>
  </si>
  <si>
    <t>ADENIRAN               BLESSING</t>
  </si>
  <si>
    <t>ADIIKWU                  PEACE</t>
  </si>
  <si>
    <t>AJIJOLA                     AISHAT</t>
  </si>
  <si>
    <t>ARIYIBI                      RACHEAL</t>
  </si>
  <si>
    <t>BAKARE                    ABIBAT</t>
  </si>
  <si>
    <t>BAKARE                    ROFIAT</t>
  </si>
  <si>
    <t>BANKOLE                 RECHEAL</t>
  </si>
  <si>
    <t>CHARLES                  MERCY</t>
  </si>
  <si>
    <t>DANIEL                     MARYANN</t>
  </si>
  <si>
    <t>DAVID                       GOODNESS</t>
  </si>
  <si>
    <t>EZEKIEL                    GLORY</t>
  </si>
  <si>
    <t>GERMAN                 PRECIOUS</t>
  </si>
  <si>
    <t>ILO                            FAVOUR</t>
  </si>
  <si>
    <t>JAYEOLA                 SHEWA</t>
  </si>
  <si>
    <t>LAMIDI                   BARAKAT</t>
  </si>
  <si>
    <t>MICAH                    MERCY</t>
  </si>
  <si>
    <t>MUSA                     ALIMAT</t>
  </si>
  <si>
    <t>MUSA                     ZUBAIDA</t>
  </si>
  <si>
    <t>OLAORE                  RACHEAL</t>
  </si>
  <si>
    <t>OLAREWAJU         ELIZABETH</t>
  </si>
  <si>
    <t>OLATOKUN           EMMAUELLA</t>
  </si>
  <si>
    <t xml:space="preserve">OLAOLUWA          CHRISTIANA </t>
  </si>
  <si>
    <t>OLATAYO               GANIYAT</t>
  </si>
  <si>
    <t>OMOTOSO            JESUTONI</t>
  </si>
  <si>
    <t>ODUNTAN            OLAMIDE</t>
  </si>
  <si>
    <t>OLUTOYE             SUMISOLA</t>
  </si>
  <si>
    <t>ONI                        GLORY</t>
  </si>
  <si>
    <t>RAMON                SOFIAT</t>
  </si>
  <si>
    <t xml:space="preserve">TAIWO                  ANU </t>
  </si>
  <si>
    <t>OLUTOYE            SUMISOLA</t>
  </si>
  <si>
    <t xml:space="preserve">ONODU               NGOZI </t>
  </si>
  <si>
    <t xml:space="preserve">ZINKPON            FAVOUR </t>
  </si>
  <si>
    <t xml:space="preserve">RAJI                     RASHIDAT </t>
  </si>
  <si>
    <t>ADEOLU             MARY</t>
  </si>
  <si>
    <t>AMOUSU           NOFISAT</t>
  </si>
  <si>
    <t>DJOSSWNE        DIONNE</t>
  </si>
  <si>
    <r>
      <t xml:space="preserve">                                           WEEKLY                                                                     </t>
    </r>
    <r>
      <rPr>
        <b/>
        <sz val="8"/>
        <color rgb="FF2F5496"/>
        <rFont val="Calibri"/>
        <charset val="134"/>
      </rPr>
      <t xml:space="preserve">1         2         3      4      5       6        7      8      9     10     11   12      13    14 </t>
    </r>
    <r>
      <rPr>
        <b/>
        <sz val="5"/>
        <color rgb="FF2F5496"/>
        <rFont val="Calibri"/>
        <charset val="134"/>
      </rPr>
      <t xml:space="preserve">    </t>
    </r>
    <r>
      <rPr>
        <b/>
        <sz val="11"/>
        <color rgb="FF2F5496"/>
        <rFont val="Calibri"/>
        <charset val="134"/>
      </rPr>
      <t xml:space="preserve">                                                           </t>
    </r>
  </si>
  <si>
    <t xml:space="preserve">                  9                             Week ending…..14TH NOVEMBER.                                       M             T         W      TH         F</t>
  </si>
  <si>
    <t>D.O.B</t>
  </si>
  <si>
    <t>CLASS INSTRUCTOR</t>
  </si>
  <si>
    <t>WR(KG)</t>
  </si>
  <si>
    <t>WC(KG)</t>
  </si>
  <si>
    <t>PUNCTUALITY</t>
  </si>
  <si>
    <t>POLITENESS</t>
  </si>
  <si>
    <t>BOOK MANAGEMENT</t>
  </si>
  <si>
    <t>HONESTY</t>
  </si>
  <si>
    <t>SELF CONTROL</t>
  </si>
  <si>
    <t>COOPERATION</t>
  </si>
  <si>
    <t>ALERTNESS</t>
  </si>
  <si>
    <t>CLEANINESS</t>
  </si>
  <si>
    <t>HAND WRITING</t>
  </si>
  <si>
    <t>FLUENCY</t>
  </si>
  <si>
    <t>SPORT</t>
  </si>
  <si>
    <t>DRAWING/PAINTING</t>
  </si>
  <si>
    <t>ATTENTIVENESS</t>
  </si>
  <si>
    <t>ATTITUDE TO WORK</t>
  </si>
  <si>
    <t>NEATNESS</t>
  </si>
  <si>
    <t>KINDNESS</t>
  </si>
  <si>
    <t>ES</t>
  </si>
  <si>
    <t>HEALTH</t>
  </si>
  <si>
    <t>22/4/2013</t>
  </si>
  <si>
    <t>MASTER SAMUEL</t>
  </si>
  <si>
    <t>26/10/2012</t>
  </si>
  <si>
    <t>21/10/2012</t>
  </si>
  <si>
    <t>25/1/2013</t>
  </si>
  <si>
    <t>27/5/2015</t>
  </si>
  <si>
    <t>15/1/2010</t>
  </si>
  <si>
    <t>19/6/2013</t>
  </si>
  <si>
    <t>13/11/2013</t>
  </si>
  <si>
    <t>18/12/2010</t>
  </si>
  <si>
    <t>24/8/2012</t>
  </si>
  <si>
    <t>31/1/2014</t>
  </si>
  <si>
    <t>19/6/2014</t>
  </si>
  <si>
    <t>13/9/2014</t>
  </si>
  <si>
    <t>28/1/2015</t>
  </si>
  <si>
    <t>POOR</t>
  </si>
  <si>
    <t>14/6/2014</t>
  </si>
  <si>
    <t>14/5/2014</t>
  </si>
  <si>
    <t>18/8/2014</t>
  </si>
  <si>
    <t>25/5/2012</t>
  </si>
  <si>
    <t>16/4/2014</t>
  </si>
  <si>
    <t>13/5/2012</t>
  </si>
  <si>
    <t>13/2/2013</t>
  </si>
  <si>
    <t>14/5/2013</t>
  </si>
  <si>
    <t>29/12/2014</t>
  </si>
  <si>
    <t>29/6/2013</t>
  </si>
  <si>
    <t>19/8/2014</t>
  </si>
  <si>
    <t>28/1/2014</t>
  </si>
  <si>
    <t>22/10/2013</t>
  </si>
  <si>
    <t>14/2/2012</t>
  </si>
  <si>
    <t xml:space="preserve">  </t>
  </si>
  <si>
    <t xml:space="preserve">   </t>
  </si>
  <si>
    <t xml:space="preserve">            TIMSATH MODERN SCHOOL</t>
  </si>
  <si>
    <t>NAME</t>
  </si>
  <si>
    <t>CLASS</t>
  </si>
  <si>
    <t>GENDER</t>
  </si>
  <si>
    <t>AGE</t>
  </si>
  <si>
    <t>TSO</t>
  </si>
  <si>
    <t>TP</t>
  </si>
  <si>
    <t>NTB</t>
  </si>
  <si>
    <t>AD.NO</t>
  </si>
  <si>
    <t>29, Salami Street, Bogije Off Bola Hammed</t>
  </si>
  <si>
    <t>MALE</t>
  </si>
  <si>
    <t>Tinubu, Ibeju-Lekki, express way, Ibeju-Lekki,Lagos.</t>
  </si>
  <si>
    <t xml:space="preserve">Email: sammy76olaolu@gmail.com </t>
  </si>
  <si>
    <t>_1st________ TERM ACADEMIC PROGRESS REPORT</t>
  </si>
  <si>
    <t>PUPIL NAME</t>
  </si>
  <si>
    <t>SEX</t>
  </si>
  <si>
    <t>ADMISSION      NUMBER</t>
  </si>
  <si>
    <t>TIMES SCHOOL OPENED</t>
  </si>
  <si>
    <t>NEXT TERM BEGINS</t>
  </si>
  <si>
    <t>TIMES PRESENT</t>
  </si>
  <si>
    <t>WEIGHT(KG) RESUMPTION:</t>
  </si>
  <si>
    <t>WEIGHT(KG) CLOSING:</t>
  </si>
  <si>
    <t>C/A</t>
  </si>
  <si>
    <t>EXAM SCORES</t>
  </si>
  <si>
    <t>GRADE</t>
  </si>
  <si>
    <t>REMARKS</t>
  </si>
  <si>
    <t>MAX ATTAINBLE SCORE</t>
  </si>
  <si>
    <t>ENGLISH LANGUAGE</t>
  </si>
  <si>
    <t>MATHEMATICS</t>
  </si>
  <si>
    <t>CIVIC EDUCATION</t>
  </si>
  <si>
    <t>PSYCHOMOTOR</t>
  </si>
  <si>
    <t>HANDWRITING</t>
  </si>
  <si>
    <t>TOTAL</t>
  </si>
  <si>
    <t>SCALE</t>
  </si>
  <si>
    <t>EMOTIONAL STABILITY</t>
  </si>
  <si>
    <t>LEADERSHIP</t>
  </si>
  <si>
    <t xml:space="preserve">                                            NURSERY, PRIMARY, AND COLLEGE</t>
  </si>
  <si>
    <t>SENIOR SECONARY SCHOOL CLASSES</t>
  </si>
  <si>
    <t>2025/2026 ACADEMIC SESSION</t>
  </si>
  <si>
    <t>DATE OF BIRTH</t>
  </si>
  <si>
    <t>BIOLOGY</t>
  </si>
  <si>
    <t>ECONOMICS</t>
  </si>
  <si>
    <t xml:space="preserve">DATA PROCESSING/ICT </t>
  </si>
  <si>
    <t>YORUBA</t>
  </si>
  <si>
    <t>CHRISTIAN RELIGIOUS STUDIES</t>
  </si>
  <si>
    <t>ISLAMIC RELIGIOUS STUDIES</t>
  </si>
  <si>
    <t>PHYSICS</t>
  </si>
  <si>
    <t>CHEMISTRY</t>
  </si>
  <si>
    <t>ACCOUNTING</t>
  </si>
  <si>
    <t>COMMERCE</t>
  </si>
  <si>
    <t>GOVERNMENT</t>
  </si>
  <si>
    <t>LITERATURE- IN -ENGLISH</t>
  </si>
  <si>
    <t>MARKETING</t>
  </si>
  <si>
    <t>FURTHER MATHEMATICS</t>
  </si>
  <si>
    <t>1ST TERM</t>
  </si>
  <si>
    <t xml:space="preserve"> CLASS         </t>
  </si>
  <si>
    <t xml:space="preserve">2ND TERM </t>
  </si>
  <si>
    <t xml:space="preserve">3RD TERM </t>
  </si>
  <si>
    <t xml:space="preserve">AVERAGE </t>
  </si>
  <si>
    <t>CLASS TEACHER</t>
  </si>
  <si>
    <t xml:space="preserve">      AFFECTIVE</t>
  </si>
  <si>
    <t>POLITNESS</t>
  </si>
  <si>
    <t>OTHER  DOMAINS</t>
  </si>
  <si>
    <r>
      <rPr>
        <b/>
        <sz val="14"/>
        <color theme="1"/>
        <rFont val="Calibri"/>
        <family val="2"/>
        <scheme val="minor"/>
      </rPr>
      <t xml:space="preserve">        GRADE</t>
    </r>
    <r>
      <rPr>
        <b/>
        <sz val="20"/>
        <color theme="1"/>
        <rFont val="Calibri"/>
        <family val="2"/>
        <scheme val="minor"/>
      </rPr>
      <t xml:space="preserve">         </t>
    </r>
  </si>
  <si>
    <t>DRAWING</t>
  </si>
  <si>
    <t>PAINTING</t>
  </si>
  <si>
    <t>GAMES</t>
  </si>
  <si>
    <t>HANLING MATERIALS</t>
  </si>
  <si>
    <t>MUSIACAL</t>
  </si>
  <si>
    <t>COMMUNIATION</t>
  </si>
  <si>
    <t xml:space="preserve">   BOOK MANAGEMENT</t>
  </si>
  <si>
    <t>HEALTY</t>
  </si>
  <si>
    <t>PUNTUALITY</t>
  </si>
  <si>
    <t xml:space="preserve">HEAD OF SCHOOLS COMMENT                                                                                                                                  </t>
  </si>
  <si>
    <t xml:space="preserve">PARENT'S COMMENT:                                                                                                                                                         </t>
  </si>
  <si>
    <t>CLASS TEACHER'S  COMMENT</t>
  </si>
  <si>
    <t>SIGNATURE</t>
  </si>
  <si>
    <t>PERENTAGE</t>
  </si>
  <si>
    <t>SSS  ONE</t>
  </si>
  <si>
    <t>NTA</t>
  </si>
  <si>
    <t>MASTER MANNY</t>
  </si>
  <si>
    <t xml:space="preserve"> AFFECTIVE</t>
  </si>
  <si>
    <t xml:space="preserve"> BOOK MANAGEMENT</t>
  </si>
  <si>
    <t>AVRAGE</t>
  </si>
  <si>
    <t>Nine JAN,2026</t>
  </si>
  <si>
    <t>Nine JAN,2027</t>
  </si>
  <si>
    <t>Nine JAN,2028</t>
  </si>
  <si>
    <t>Nine JAN,2029</t>
  </si>
  <si>
    <t>Nine JAN,2030</t>
  </si>
  <si>
    <t>Nine JAN,2031</t>
  </si>
  <si>
    <t>Nine JAN,2032</t>
  </si>
  <si>
    <t>Nine JAN,2033</t>
  </si>
  <si>
    <t>Nine JAN,2034</t>
  </si>
  <si>
    <t>Nine JAN,2035</t>
  </si>
  <si>
    <t>Nine JAN,2036</t>
  </si>
  <si>
    <t>Nine JAN,2037</t>
  </si>
  <si>
    <t>Nine JAN,2038</t>
  </si>
  <si>
    <t>Nine JAN,2039</t>
  </si>
  <si>
    <t>Nine JAN,2040</t>
  </si>
  <si>
    <t>Nine JAN,2041</t>
  </si>
  <si>
    <t>Nine JAN,2042</t>
  </si>
  <si>
    <t>Nine JAN,2043</t>
  </si>
  <si>
    <t>Nine JAN,2044</t>
  </si>
  <si>
    <t>Nine JAN,2045</t>
  </si>
  <si>
    <t>Nine JAN,2046</t>
  </si>
  <si>
    <t>Nine JAN,2047</t>
  </si>
  <si>
    <t>Nine JAN,2048</t>
  </si>
  <si>
    <t>Nine JAN,2049</t>
  </si>
  <si>
    <t>Nine JAN,2050</t>
  </si>
  <si>
    <t>Nine JAN,2051</t>
  </si>
  <si>
    <t>Nine JAN,2052</t>
  </si>
  <si>
    <t>Nine JAN,2053</t>
  </si>
  <si>
    <t>Nine JAN,2054</t>
  </si>
  <si>
    <t>Nine JAN,2055</t>
  </si>
  <si>
    <t>Nine JAN,2056</t>
  </si>
  <si>
    <t>Nine JAN,2057</t>
  </si>
  <si>
    <t>Nine JAN,2058</t>
  </si>
  <si>
    <t>Nine JAN,2059</t>
  </si>
  <si>
    <t>Nine JAN,2060</t>
  </si>
  <si>
    <t>Nine JAN,2061</t>
  </si>
  <si>
    <t>Nine JAN,2062</t>
  </si>
  <si>
    <t>Nine JAN,2063</t>
  </si>
  <si>
    <t>Nine JAN,2064</t>
  </si>
  <si>
    <t>Nine JAN,2065</t>
  </si>
  <si>
    <t>Nine JAN,2066</t>
  </si>
  <si>
    <t>Nine JAN,2067</t>
  </si>
  <si>
    <t>Nine JAN,2068</t>
  </si>
  <si>
    <t>Nine JAN,2069</t>
  </si>
  <si>
    <t>Nine JAN,2070</t>
  </si>
  <si>
    <t>Nine JAN,2071</t>
  </si>
  <si>
    <t>Nine JAN,2072</t>
  </si>
  <si>
    <t>Nine JAN,2073</t>
  </si>
  <si>
    <t>Nine JAN,2074</t>
  </si>
  <si>
    <t>Nine JAN,2075</t>
  </si>
  <si>
    <t>Nine JAN,2076</t>
  </si>
  <si>
    <t>Nine JAN,2077</t>
  </si>
  <si>
    <t>Nine JAN,2078</t>
  </si>
  <si>
    <t>Nine JAN,2079</t>
  </si>
  <si>
    <t>Nine JAN,2080</t>
  </si>
  <si>
    <t>Nine JAN,2081</t>
  </si>
  <si>
    <t>Nine JAN,2082</t>
  </si>
  <si>
    <t>Nine JAN,2083</t>
  </si>
  <si>
    <t>Nine JAN,2084</t>
  </si>
  <si>
    <t>Nine JAN,2085</t>
  </si>
  <si>
    <t>Nine JAN,2086</t>
  </si>
  <si>
    <t>Nine JAN,2087</t>
  </si>
  <si>
    <t>Nine JAN,2088</t>
  </si>
  <si>
    <t>Nine JAN,2089</t>
  </si>
  <si>
    <t>Nine JAN,2090</t>
  </si>
  <si>
    <t>Nine JAN,2091</t>
  </si>
  <si>
    <t>Nine JAN,2092</t>
  </si>
  <si>
    <t>Nine JAN,2093</t>
  </si>
  <si>
    <t>Nine JAN,2094</t>
  </si>
  <si>
    <t>Nine JAN,2095</t>
  </si>
  <si>
    <t>Nine JAN,2096</t>
  </si>
  <si>
    <t>Nine JAN,2097</t>
  </si>
  <si>
    <t>Nine JAN,2098</t>
  </si>
  <si>
    <t>Nine JAN,2099</t>
  </si>
  <si>
    <t>Nine JAN,2100</t>
  </si>
  <si>
    <t>Nine JAN,2101</t>
  </si>
  <si>
    <t>Nine JAN,2102</t>
  </si>
  <si>
    <t>Nine JAN,2103</t>
  </si>
  <si>
    <t>Nine JAN,2104</t>
  </si>
  <si>
    <t>Nine JAN,2105</t>
  </si>
  <si>
    <t>Nine JAN,2106</t>
  </si>
  <si>
    <t>Nine JAN,2107</t>
  </si>
  <si>
    <t>Nine JAN,2108</t>
  </si>
  <si>
    <t>Nine JAN,2109</t>
  </si>
  <si>
    <t>Nine JAN,2110</t>
  </si>
  <si>
    <t>Nine JAN,2111</t>
  </si>
  <si>
    <t>Nine JAN,2112</t>
  </si>
  <si>
    <t>Nine JAN,2113</t>
  </si>
  <si>
    <t>Nine JAN,2114</t>
  </si>
  <si>
    <t>Nine JAN,2115</t>
  </si>
  <si>
    <t>Nine JAN,2116</t>
  </si>
  <si>
    <t>Nine JAN,2117</t>
  </si>
  <si>
    <t>Nine JAN,2118</t>
  </si>
  <si>
    <t>Nine JAN,2119</t>
  </si>
  <si>
    <t>Nine JAN,2120</t>
  </si>
  <si>
    <t>Nine JAN,2121</t>
  </si>
  <si>
    <t>Nine JAN,2122</t>
  </si>
  <si>
    <t>Nine JAN,2123</t>
  </si>
  <si>
    <t>Nine JAN,2124</t>
  </si>
  <si>
    <t>Nine JAN,2125</t>
  </si>
  <si>
    <t>Nine JAN,2126</t>
  </si>
  <si>
    <t>Nine JAN,2127</t>
  </si>
  <si>
    <t>Nine JAN,2128</t>
  </si>
  <si>
    <t>Nine JAN,2129</t>
  </si>
  <si>
    <t>Nine JAN,2130</t>
  </si>
  <si>
    <t>Nine JAN,2131</t>
  </si>
  <si>
    <t>Nine JAN,2132</t>
  </si>
  <si>
    <t>Nine JAN,2133</t>
  </si>
  <si>
    <t>Nine JAN,2134</t>
  </si>
  <si>
    <t>Nine JAN,2135</t>
  </si>
  <si>
    <t>Nine JAN,2136</t>
  </si>
  <si>
    <t>Nine JAN,2137</t>
  </si>
  <si>
    <t>Nine JAN,2138</t>
  </si>
  <si>
    <t>Nine JAN,2139</t>
  </si>
  <si>
    <t>Nine JAN,2140</t>
  </si>
  <si>
    <t>Nine JAN,2141</t>
  </si>
  <si>
    <t>Nine JAN,2142</t>
  </si>
  <si>
    <t>Nine JAN,2143</t>
  </si>
  <si>
    <t>Nine JAN,2144</t>
  </si>
  <si>
    <t>Nine JAN,2145</t>
  </si>
  <si>
    <t>Nine JAN,2146</t>
  </si>
  <si>
    <t>Nine JAN,2147</t>
  </si>
  <si>
    <t>Nine JAN,2148</t>
  </si>
  <si>
    <t>Nine JAN,2149</t>
  </si>
  <si>
    <t>Nine JAN,2150</t>
  </si>
  <si>
    <t>Nine JAN,2151</t>
  </si>
  <si>
    <t>Nine JAN,2152</t>
  </si>
  <si>
    <t>Nine JAN,2153</t>
  </si>
  <si>
    <t>Nine JAN,2154</t>
  </si>
  <si>
    <t>Nine JAN,2155</t>
  </si>
  <si>
    <t>Nine JAN,2156</t>
  </si>
  <si>
    <t>Nine JAN,2157</t>
  </si>
  <si>
    <t>Nine JAN,2158</t>
  </si>
  <si>
    <t>Nine JAN,2159</t>
  </si>
  <si>
    <t>Nine JAN,2160</t>
  </si>
  <si>
    <t>Nine JAN,2161</t>
  </si>
  <si>
    <t>Nine JAN,2162</t>
  </si>
  <si>
    <t>Nine JAN,2163</t>
  </si>
  <si>
    <t>Nine JAN,2164</t>
  </si>
  <si>
    <t>Nine JAN,2165</t>
  </si>
  <si>
    <t>Nine JAN,2166</t>
  </si>
  <si>
    <t>Nine JAN,2167</t>
  </si>
  <si>
    <t>Nine JAN,2168</t>
  </si>
  <si>
    <t>Nine JAN,2169</t>
  </si>
  <si>
    <t>Nine JAN,2170</t>
  </si>
  <si>
    <t>Nine JAN,2171</t>
  </si>
  <si>
    <t>Nine JAN,2172</t>
  </si>
  <si>
    <t>Nine JAN,2173</t>
  </si>
  <si>
    <t>Nine JAN,2174</t>
  </si>
  <si>
    <t>Nine JAN,2175</t>
  </si>
  <si>
    <t>Nine JAN,2176</t>
  </si>
  <si>
    <t>Nine JAN,2177</t>
  </si>
  <si>
    <t>Nine JAN,2178</t>
  </si>
  <si>
    <t>Nine JAN,2179</t>
  </si>
  <si>
    <t>Nine JAN,2180</t>
  </si>
  <si>
    <t>Nine JAN,2181</t>
  </si>
  <si>
    <t>Nine JAN,2182</t>
  </si>
  <si>
    <t>Nine JAN,2183</t>
  </si>
  <si>
    <t>Nine JAN,2184</t>
  </si>
  <si>
    <t>Nine JAN,2185</t>
  </si>
  <si>
    <t>Nine JAN,2186</t>
  </si>
  <si>
    <t>Nine JAN,2187</t>
  </si>
  <si>
    <t>Nine JAN,2188</t>
  </si>
  <si>
    <t>Nine JAN,2189</t>
  </si>
  <si>
    <t>Nine JAN,2190</t>
  </si>
  <si>
    <t>Nine JAN,2191</t>
  </si>
  <si>
    <t>Nine JAN,2192</t>
  </si>
  <si>
    <t>Nine JAN,2193</t>
  </si>
  <si>
    <t>Nine JAN,2194</t>
  </si>
  <si>
    <t>Nine JAN,2195</t>
  </si>
  <si>
    <t>Nine JAN,2196</t>
  </si>
  <si>
    <t>Nine JAN,2197</t>
  </si>
  <si>
    <t>Nine JAN,2198</t>
  </si>
  <si>
    <t xml:space="preserve">He is quiet and easy going. </t>
  </si>
  <si>
    <t>025/SSS/01</t>
  </si>
  <si>
    <t>025/SSS/02</t>
  </si>
  <si>
    <t>025/SSS/03</t>
  </si>
  <si>
    <t>025/SSS/04</t>
  </si>
  <si>
    <t>025/SSS/05</t>
  </si>
  <si>
    <t>025/SSS/06</t>
  </si>
  <si>
    <t>025/SSS/07</t>
  </si>
  <si>
    <t>025/SSS/08</t>
  </si>
  <si>
    <t>025/SSS/09</t>
  </si>
  <si>
    <t>025/SSS/10</t>
  </si>
  <si>
    <t>025/SSS/11</t>
  </si>
  <si>
    <t>025/SSS/12</t>
  </si>
  <si>
    <t>025/SSS/13</t>
  </si>
  <si>
    <t>025/SSS/14</t>
  </si>
  <si>
    <t>025/SSS/15</t>
  </si>
  <si>
    <t>025/SSS/16</t>
  </si>
  <si>
    <t>025/SSS/17</t>
  </si>
  <si>
    <t>025/SSS/18</t>
  </si>
  <si>
    <t>025/SSS/19</t>
  </si>
  <si>
    <t>025/SSS/20</t>
  </si>
  <si>
    <t>025/SSS/21</t>
  </si>
  <si>
    <t>025/SSS/22</t>
  </si>
  <si>
    <t>025/SSS/23</t>
  </si>
  <si>
    <t>025/SSS/24</t>
  </si>
  <si>
    <t>025/SSS/25</t>
  </si>
  <si>
    <t>025/SSS/26</t>
  </si>
  <si>
    <t>025/SSS/27</t>
  </si>
  <si>
    <t>025/SSS/28</t>
  </si>
  <si>
    <t>025/SSS/29</t>
  </si>
  <si>
    <t>025/SSS/30</t>
  </si>
  <si>
    <t>025/SSS/31</t>
  </si>
  <si>
    <t>025/SSS/32</t>
  </si>
  <si>
    <t>025/SSS/33</t>
  </si>
  <si>
    <t>025/SSS/34</t>
  </si>
  <si>
    <t>025/SSS/35</t>
  </si>
  <si>
    <t>025/SSS/36</t>
  </si>
  <si>
    <t>025/SSS/37</t>
  </si>
  <si>
    <t>025/SSS/38</t>
  </si>
  <si>
    <t>025/SSS/39</t>
  </si>
  <si>
    <t>025/SSS/40</t>
  </si>
  <si>
    <t>025/SSS/41</t>
  </si>
  <si>
    <t>025/SSS/42</t>
  </si>
  <si>
    <t>025/SSS/43</t>
  </si>
  <si>
    <t>025/SSS/44</t>
  </si>
  <si>
    <t>025/SSS/45</t>
  </si>
  <si>
    <t>025/SSS/46</t>
  </si>
  <si>
    <t>025/SSS/47</t>
  </si>
  <si>
    <t>025/SSS/48</t>
  </si>
  <si>
    <t>025/SSS/49</t>
  </si>
  <si>
    <t>025/SSS/50</t>
  </si>
  <si>
    <t>025/SSS/51</t>
  </si>
  <si>
    <t>025/SSS/52</t>
  </si>
  <si>
    <t>025/SSS/53</t>
  </si>
  <si>
    <t>025/SSS/54</t>
  </si>
  <si>
    <t>025/SSS/55</t>
  </si>
  <si>
    <t>025/SSS/56</t>
  </si>
  <si>
    <t>025/SSS/57</t>
  </si>
  <si>
    <t>025/SSS/58</t>
  </si>
  <si>
    <t>025/SSS/59</t>
  </si>
  <si>
    <t>025/SSS/60</t>
  </si>
  <si>
    <t>025/SSS/61</t>
  </si>
  <si>
    <t>025/SSS/62</t>
  </si>
  <si>
    <t>025/SSS/63</t>
  </si>
  <si>
    <t>025/SSS/64</t>
  </si>
  <si>
    <t>025/SSS/65</t>
  </si>
  <si>
    <t>025/SSS/66</t>
  </si>
  <si>
    <t>025/SSS/67</t>
  </si>
  <si>
    <t>025/SSS/68</t>
  </si>
  <si>
    <t>025/SSS/69</t>
  </si>
  <si>
    <t>025/SSS/70</t>
  </si>
  <si>
    <t>025/SSS/71</t>
  </si>
  <si>
    <t>025/SSS/72</t>
  </si>
  <si>
    <t>025/SSS/73</t>
  </si>
  <si>
    <t>025/SSS/74</t>
  </si>
  <si>
    <t>025/SSS/75</t>
  </si>
  <si>
    <t>025/SSS/76</t>
  </si>
  <si>
    <t>025/SSS/77</t>
  </si>
  <si>
    <t>025/SSS/78</t>
  </si>
  <si>
    <t>025/SSS/79</t>
  </si>
  <si>
    <t>025/SSS/80</t>
  </si>
  <si>
    <t>025/SSS/81</t>
  </si>
  <si>
    <t>025/SSS/82</t>
  </si>
  <si>
    <t>025/SSS/83</t>
  </si>
  <si>
    <t>025/SSS/84</t>
  </si>
  <si>
    <t>025/SSS/85</t>
  </si>
  <si>
    <t>025/SSS/86</t>
  </si>
  <si>
    <t>025/SSS/87</t>
  </si>
  <si>
    <t>025/SSS/88</t>
  </si>
  <si>
    <t>025/SSS/89</t>
  </si>
  <si>
    <t>025/SSS/90</t>
  </si>
  <si>
    <t>025/SSS/91</t>
  </si>
  <si>
    <t>025/SSS/92</t>
  </si>
  <si>
    <t>025/SSS/93</t>
  </si>
  <si>
    <t>025/SSS/94</t>
  </si>
  <si>
    <t>025/SSS/95</t>
  </si>
  <si>
    <t>025/SSS/96</t>
  </si>
  <si>
    <t>025/SSS/97</t>
  </si>
  <si>
    <t>025/SSS/98</t>
  </si>
  <si>
    <t>025/SSS/99</t>
  </si>
  <si>
    <t>025/SSS/100</t>
  </si>
  <si>
    <t>025/SSS/101</t>
  </si>
  <si>
    <t>025/SSS/102</t>
  </si>
  <si>
    <t>025/SSS/103</t>
  </si>
  <si>
    <t>025/SSS/104</t>
  </si>
  <si>
    <t>025/SSS/105</t>
  </si>
  <si>
    <t>025/SSS/106</t>
  </si>
  <si>
    <t>025/SSS/107</t>
  </si>
  <si>
    <t>025/SSS/108</t>
  </si>
  <si>
    <t>025/SSS/109</t>
  </si>
  <si>
    <t>025/SSS/110</t>
  </si>
  <si>
    <t>025/SSS/111</t>
  </si>
  <si>
    <t>025/SSS/112</t>
  </si>
  <si>
    <t>025/SSS/113</t>
  </si>
  <si>
    <t>025/SSS/114</t>
  </si>
  <si>
    <t>025/SSS/115</t>
  </si>
  <si>
    <t>025/SSS/116</t>
  </si>
  <si>
    <t>025/SSS/117</t>
  </si>
  <si>
    <t>025/SSS/118</t>
  </si>
  <si>
    <t>025/SSS/119</t>
  </si>
  <si>
    <t>025/SSS/120</t>
  </si>
  <si>
    <t>025/SSS/121</t>
  </si>
  <si>
    <t>025/SSS/122</t>
  </si>
  <si>
    <t>025/SSS/123</t>
  </si>
  <si>
    <t>025/SSS/124</t>
  </si>
  <si>
    <t>025/SSS/125</t>
  </si>
  <si>
    <t>025/SSS/126</t>
  </si>
  <si>
    <t>025/SSS/127</t>
  </si>
  <si>
    <t>025/SSS/128</t>
  </si>
  <si>
    <t>025/SSS/129</t>
  </si>
  <si>
    <t>025/SSS/130</t>
  </si>
  <si>
    <t>025/SSS/131</t>
  </si>
  <si>
    <t>025/SSS/132</t>
  </si>
  <si>
    <t>025/SSS/133</t>
  </si>
  <si>
    <t>025/SSS/134</t>
  </si>
  <si>
    <t>025/SSS/135</t>
  </si>
  <si>
    <t>025/SSS/136</t>
  </si>
  <si>
    <t>025/SSS/137</t>
  </si>
  <si>
    <t>025/SSS/138</t>
  </si>
  <si>
    <t>025/SSS/139</t>
  </si>
  <si>
    <t>025/SSS/140</t>
  </si>
  <si>
    <t>025/SSS/141</t>
  </si>
  <si>
    <t>025/SSS/142</t>
  </si>
  <si>
    <t>025/SSS/143</t>
  </si>
  <si>
    <t>025/SSS/144</t>
  </si>
  <si>
    <t>025/SSS/145</t>
  </si>
  <si>
    <t>025/SSS/146</t>
  </si>
  <si>
    <t>025/SSS/147</t>
  </si>
  <si>
    <t>025/SSS/148</t>
  </si>
  <si>
    <t>025/SSS/149</t>
  </si>
  <si>
    <t>025/SSS/150</t>
  </si>
  <si>
    <t>025/SSS/151</t>
  </si>
  <si>
    <t>025/SSS/152</t>
  </si>
  <si>
    <t>025/SSS/153</t>
  </si>
  <si>
    <t>025/SSS/154</t>
  </si>
  <si>
    <t>025/SSS/155</t>
  </si>
  <si>
    <t>025/SSS/156</t>
  </si>
  <si>
    <t>025/SSS/157</t>
  </si>
  <si>
    <t>025/SSS/158</t>
  </si>
  <si>
    <t>025/SSS/159</t>
  </si>
  <si>
    <t>025/SSS/160</t>
  </si>
  <si>
    <t>025/SSS/161</t>
  </si>
  <si>
    <t>025/SSS/162</t>
  </si>
  <si>
    <t>025/SSS/163</t>
  </si>
  <si>
    <t>025/SSS/164</t>
  </si>
  <si>
    <t>025/SSS/165</t>
  </si>
  <si>
    <t>025/SSS/166</t>
  </si>
  <si>
    <t>025/SSS/167</t>
  </si>
  <si>
    <t>025/SSS/168</t>
  </si>
  <si>
    <t>025/SSS/169</t>
  </si>
  <si>
    <t>025/SSS/170</t>
  </si>
  <si>
    <t>025/SSS/171</t>
  </si>
  <si>
    <t>025/SSS/172</t>
  </si>
  <si>
    <t xml:space="preserve">He Pays attention in class and contributes in class activities. </t>
  </si>
  <si>
    <t xml:space="preserve">Joshua is very social but exibit too much energy even during class </t>
  </si>
  <si>
    <t>Teachers    Comment</t>
  </si>
  <si>
    <t>Grades</t>
  </si>
  <si>
    <t>`DOB</t>
  </si>
  <si>
    <t>SCORES</t>
  </si>
  <si>
    <t>REMARK</t>
  </si>
  <si>
    <t>5.FOR EXCELLENT</t>
  </si>
  <si>
    <t>4. FOR VERY GOOD</t>
  </si>
  <si>
    <t>3. POOR</t>
  </si>
  <si>
    <t>2. POOR</t>
  </si>
  <si>
    <t>1  POOR</t>
  </si>
  <si>
    <t>A Good Resuilt ,Keep It up.</t>
  </si>
  <si>
    <t>AVERAGE</t>
  </si>
  <si>
    <t xml:space="preserve"> </t>
  </si>
  <si>
    <t>025/SSS/173</t>
  </si>
  <si>
    <t>A Good result ,Keep It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</si>
</sst>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0.&quot;KG&quot;"/>
    <numFmt numFmtId="166" formatCode="0&quot;KG&quot;"/>
  </numFmts>
  <fonts count="1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b/>
      <sz val="48"/>
      <color rgb="FF006100"/>
      <name val="Calibri"/>
      <charset val="134"/>
    </font>
    <font>
      <b/>
      <sz val="11"/>
      <color rgb="FF385623"/>
      <name val="Calibri"/>
      <charset val="134"/>
    </font>
    <font>
      <b/>
      <sz val="12"/>
      <color rgb="FF385623"/>
      <name val="Calibri"/>
      <charset val="134"/>
    </font>
    <font>
      <b/>
      <sz val="14"/>
      <color rgb="FF385623"/>
      <name val="Calibri"/>
      <charset val="134"/>
    </font>
    <font>
      <i/>
      <u/>
      <sz val="11"/>
      <color theme="1"/>
      <name val="Adobe Caslon Pro"/>
      <charset val="134"/>
    </font>
    <font>
      <b/>
      <sz val="11"/>
      <color rgb="FF0070C0"/>
      <name val="Calibri"/>
      <charset val="134"/>
    </font>
    <font>
      <b/>
      <sz val="12"/>
      <color rgb="FF2F5496"/>
      <name val="FangSong"/>
      <charset val="134"/>
    </font>
    <font>
      <b/>
      <sz val="12"/>
      <color rgb="FF2F5496"/>
      <name val="Calibri"/>
      <charset val="134"/>
    </font>
    <font>
      <b/>
      <sz val="11"/>
      <color rgb="FF2F5496"/>
      <name val="Calibri"/>
      <charset val="134"/>
    </font>
    <font>
      <b/>
      <sz val="14"/>
      <color rgb="FF2F5496"/>
      <name val="Calibri"/>
      <charset val="134"/>
    </font>
    <font>
      <b/>
      <sz val="8"/>
      <color rgb="FF2F5496"/>
      <name val="Calibri"/>
      <charset val="134"/>
    </font>
    <font>
      <sz val="11"/>
      <color theme="0"/>
      <name val="Calibri"/>
      <charset val="134"/>
    </font>
    <font>
      <sz val="11"/>
      <color theme="9"/>
      <name val="Calibri"/>
      <charset val="134"/>
    </font>
    <font>
      <sz val="11"/>
      <color theme="4"/>
      <name val="Calibri"/>
      <charset val="134"/>
    </font>
    <font>
      <b/>
      <i/>
      <u/>
      <sz val="9"/>
      <color rgb="FFFF0000"/>
      <name val="Algerian"/>
      <charset val="134"/>
    </font>
    <font>
      <sz val="11"/>
      <color rgb="FFFF0000"/>
      <name val="Calibri"/>
      <charset val="134"/>
    </font>
    <font>
      <sz val="9"/>
      <color theme="1"/>
      <name val="Calibri"/>
      <charset val="134"/>
    </font>
    <font>
      <b/>
      <sz val="9"/>
      <color rgb="FF2F5496"/>
      <name val="Calibri"/>
      <charset val="134"/>
    </font>
    <font>
      <b/>
      <sz val="11"/>
      <color theme="4"/>
      <name val="Calibri"/>
      <charset val="134"/>
    </font>
    <font>
      <b/>
      <sz val="9"/>
      <color theme="4"/>
      <name val="Calibri"/>
      <charset val="134"/>
    </font>
    <font>
      <b/>
      <i/>
      <sz val="11"/>
      <color rgb="FF0070C0"/>
      <name val="Calibri"/>
      <charset val="134"/>
    </font>
    <font>
      <sz val="11"/>
      <color rgb="FF0070C0"/>
      <name val="Calibri"/>
      <charset val="134"/>
    </font>
    <font>
      <b/>
      <sz val="24"/>
      <color rgb="FF385623"/>
      <name val="Calibri"/>
      <charset val="134"/>
    </font>
    <font>
      <b/>
      <sz val="10"/>
      <color rgb="FF2F5496"/>
      <name val="Calibri"/>
      <charset val="134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5"/>
      <color rgb="FF2F5496"/>
      <name val="Calibri"/>
      <charset val="134"/>
    </font>
    <font>
      <b/>
      <u/>
      <sz val="12"/>
      <color rgb="FF2E75B5"/>
      <name val="Adobe Caslon Pro"/>
      <charset val="134"/>
    </font>
    <font>
      <b/>
      <u/>
      <sz val="12"/>
      <color theme="1"/>
      <name val="Adobe Caslon Pro"/>
      <charset val="134"/>
    </font>
    <font>
      <b/>
      <u/>
      <sz val="16"/>
      <color rgb="FF2F5496"/>
      <name val="Adobe Caslon Pro"/>
      <charset val="134"/>
    </font>
    <font>
      <b/>
      <i/>
      <u/>
      <sz val="12"/>
      <color theme="1"/>
      <name val="Adobe Caslon Pro"/>
      <charset val="134"/>
    </font>
    <font>
      <b/>
      <u/>
      <sz val="12"/>
      <color rgb="FF2F5496"/>
      <name val="Adobe Caslon Pro"/>
      <charset val="134"/>
    </font>
    <font>
      <sz val="12"/>
      <color rgb="FF2F5496"/>
      <name val="Calibri"/>
      <charset val="134"/>
    </font>
    <font>
      <b/>
      <i/>
      <u/>
      <sz val="12"/>
      <color rgb="FF2F5496"/>
      <name val="Algerian"/>
      <charset val="134"/>
    </font>
    <font>
      <b/>
      <sz val="10"/>
      <color rgb="FF2F5496"/>
      <name val="Calibri"/>
      <family val="2"/>
    </font>
    <font>
      <sz val="10"/>
      <name val="Calibri"/>
      <family val="2"/>
      <scheme val="minor"/>
    </font>
    <font>
      <b/>
      <sz val="9"/>
      <color rgb="FF2F5496"/>
      <name val="Calibri"/>
      <family val="2"/>
    </font>
    <font>
      <b/>
      <sz val="11"/>
      <color rgb="FF2F5496"/>
      <name val="Calibri"/>
      <family val="2"/>
    </font>
    <font>
      <sz val="9"/>
      <name val="Calibri"/>
      <family val="2"/>
      <scheme val="minor"/>
    </font>
    <font>
      <b/>
      <sz val="12"/>
      <color rgb="FF2F5496"/>
      <name val="Calibri"/>
      <family val="2"/>
    </font>
    <font>
      <b/>
      <sz val="8"/>
      <color rgb="FF2F5496"/>
      <name val="Calibri"/>
      <family val="2"/>
    </font>
    <font>
      <b/>
      <sz val="11"/>
      <color theme="4" tint="-0.499984740745262"/>
      <name val="Calibri"/>
      <family val="2"/>
    </font>
    <font>
      <b/>
      <sz val="48"/>
      <color theme="4" tint="-0.499984740745262"/>
      <name val="Calibri"/>
      <family val="2"/>
    </font>
    <font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4.9989318521683403E-2"/>
      <name val="Calibri"/>
      <family val="2"/>
    </font>
    <font>
      <b/>
      <sz val="10"/>
      <color rgb="FF385623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4"/>
      <name val="Calibri"/>
      <family val="2"/>
    </font>
    <font>
      <b/>
      <sz val="11"/>
      <color rgb="FFFF0000"/>
      <name val="Calibri"/>
      <family val="2"/>
    </font>
    <font>
      <sz val="11"/>
      <color theme="4" tint="-0.499984740745262"/>
      <name val="Calibri"/>
      <family val="2"/>
    </font>
    <font>
      <b/>
      <sz val="9"/>
      <color theme="4" tint="-0.499984740745262"/>
      <name val="Calibri"/>
      <family val="2"/>
    </font>
    <font>
      <sz val="11"/>
      <color theme="1"/>
      <name val="Calibri"/>
      <family val="2"/>
    </font>
    <font>
      <sz val="9"/>
      <color theme="0"/>
      <name val="Arial Narrow"/>
      <family val="2"/>
    </font>
    <font>
      <sz val="11"/>
      <color theme="0"/>
      <name val="Calibri"/>
      <family val="2"/>
    </font>
    <font>
      <b/>
      <sz val="6"/>
      <color theme="0"/>
      <name val="Arial Narrow"/>
      <family val="2"/>
    </font>
    <font>
      <b/>
      <sz val="9"/>
      <color theme="0"/>
      <name val="Arial Narrow"/>
      <family val="2"/>
    </font>
    <font>
      <b/>
      <sz val="11"/>
      <color theme="0"/>
      <name val="Calibri"/>
      <family val="2"/>
    </font>
    <font>
      <b/>
      <sz val="8"/>
      <color theme="0"/>
      <name val="Arial Narrow"/>
      <family val="2"/>
    </font>
    <font>
      <sz val="11"/>
      <color theme="3"/>
      <name val="Calibri"/>
      <family val="2"/>
    </font>
    <font>
      <b/>
      <sz val="6"/>
      <color theme="3"/>
      <name val="Calibri"/>
      <family val="2"/>
    </font>
    <font>
      <b/>
      <sz val="6"/>
      <color theme="0"/>
      <name val="Calibri"/>
      <family val="2"/>
    </font>
    <font>
      <b/>
      <sz val="9"/>
      <color theme="2"/>
      <name val="Calibri"/>
      <family val="2"/>
    </font>
    <font>
      <b/>
      <sz val="8"/>
      <color theme="2"/>
      <name val="Calibri"/>
      <family val="2"/>
    </font>
    <font>
      <b/>
      <sz val="10"/>
      <color theme="2"/>
      <name val="Calibri"/>
      <family val="2"/>
    </font>
    <font>
      <b/>
      <sz val="11"/>
      <color theme="2"/>
      <name val="Calibri"/>
      <family val="2"/>
    </font>
    <font>
      <b/>
      <sz val="11"/>
      <color theme="2"/>
      <name val="Calibri"/>
      <family val="2"/>
      <scheme val="minor"/>
    </font>
    <font>
      <b/>
      <sz val="6"/>
      <color theme="2"/>
      <name val="Calibri"/>
      <family val="2"/>
    </font>
    <font>
      <b/>
      <sz val="7"/>
      <color theme="2"/>
      <name val="Calibri"/>
      <family val="2"/>
    </font>
    <font>
      <b/>
      <u/>
      <sz val="9"/>
      <color theme="2"/>
      <name val="Calibri"/>
      <family val="2"/>
    </font>
    <font>
      <b/>
      <u/>
      <sz val="10"/>
      <color theme="2"/>
      <name val="Calibri"/>
      <family val="2"/>
    </font>
    <font>
      <b/>
      <u/>
      <sz val="11"/>
      <color theme="2"/>
      <name val="Calibri"/>
      <family val="2"/>
    </font>
    <font>
      <b/>
      <sz val="10"/>
      <color theme="3"/>
      <name val="Calibri"/>
      <family val="2"/>
    </font>
    <font>
      <b/>
      <sz val="11"/>
      <color theme="3"/>
      <name val="Calibri"/>
      <family val="2"/>
    </font>
    <font>
      <sz val="9"/>
      <color theme="3"/>
      <name val="Calibri"/>
      <family val="2"/>
    </font>
    <font>
      <b/>
      <sz val="8"/>
      <color theme="4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6"/>
      <name val="Calibri"/>
      <family val="2"/>
    </font>
    <font>
      <sz val="6"/>
      <name val="Calibri"/>
      <family val="2"/>
    </font>
    <font>
      <b/>
      <sz val="6"/>
      <color theme="2"/>
      <name val="Arial Narrow"/>
      <family val="2"/>
    </font>
    <font>
      <b/>
      <sz val="9"/>
      <color theme="2"/>
      <name val="Arial Narrow"/>
      <family val="2"/>
    </font>
    <font>
      <b/>
      <sz val="8"/>
      <color theme="2"/>
      <name val="Arial Narrow"/>
      <family val="2"/>
    </font>
    <font>
      <sz val="9"/>
      <color theme="1"/>
      <name val="Calibri"/>
      <family val="2"/>
    </font>
    <font>
      <sz val="6"/>
      <color theme="3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Adobe Caslon Pro Bold"/>
      <family val="1"/>
    </font>
    <font>
      <b/>
      <sz val="20"/>
      <color theme="2" tint="-4.9989318521683403E-2"/>
      <name val="Adobe Caslon Pro"/>
      <family val="1"/>
    </font>
    <font>
      <b/>
      <sz val="14"/>
      <color theme="2" tint="-4.9989318521683403E-2"/>
      <name val="Calibri"/>
      <family val="2"/>
      <scheme val="minor"/>
    </font>
    <font>
      <b/>
      <sz val="16"/>
      <color theme="2" tint="-4.9989318521683403E-2"/>
      <name val="Calibri"/>
      <family val="2"/>
      <scheme val="minor"/>
    </font>
    <font>
      <b/>
      <sz val="22"/>
      <color theme="2" tint="-4.9989318521683403E-2"/>
      <name val="Calibri"/>
      <family val="2"/>
      <scheme val="minor"/>
    </font>
    <font>
      <b/>
      <sz val="24"/>
      <color theme="2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theme="3" tint="4.9989318521683403E-2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color rgb="FFFFFF00"/>
      <name val="Calibri"/>
      <family val="2"/>
      <scheme val="minor"/>
    </font>
    <font>
      <sz val="9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15" fillId="0" borderId="0" applyFont="0" applyFill="0" applyBorder="0" applyAlignment="0" applyProtection="0"/>
  </cellStyleXfs>
  <cellXfs count="875">
    <xf numFmtId="0" fontId="0" fillId="0" borderId="0" xfId="0" applyFont="1" applyAlignment="1"/>
    <xf numFmtId="0" fontId="4" fillId="0" borderId="0" xfId="0" applyFont="1"/>
    <xf numFmtId="0" fontId="4" fillId="0" borderId="3" xfId="0" applyFont="1" applyBorder="1"/>
    <xf numFmtId="0" fontId="18" fillId="4" borderId="10" xfId="0" applyFont="1" applyFill="1" applyBorder="1"/>
    <xf numFmtId="0" fontId="4" fillId="0" borderId="10" xfId="0" applyFont="1" applyBorder="1"/>
    <xf numFmtId="0" fontId="20" fillId="0" borderId="10" xfId="0" applyFont="1" applyBorder="1"/>
    <xf numFmtId="0" fontId="4" fillId="0" borderId="15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0" xfId="0" applyFont="1" applyAlignment="1">
      <alignment horizontal="center"/>
    </xf>
    <xf numFmtId="0" fontId="0" fillId="0" borderId="0" xfId="0" applyFont="1"/>
    <xf numFmtId="0" fontId="19" fillId="0" borderId="0" xfId="0" applyFont="1"/>
    <xf numFmtId="0" fontId="0" fillId="0" borderId="0" xfId="0" applyFont="1" applyAlignment="1">
      <alignment horizontal="center"/>
    </xf>
    <xf numFmtId="0" fontId="4" fillId="0" borderId="19" xfId="0" applyFont="1" applyBorder="1"/>
    <xf numFmtId="0" fontId="4" fillId="0" borderId="0" xfId="0" applyFont="1" applyBorder="1"/>
    <xf numFmtId="0" fontId="14" fillId="5" borderId="10" xfId="0" applyFont="1" applyFill="1" applyBorder="1" applyAlignment="1">
      <alignment horizontal="center" wrapText="1"/>
    </xf>
    <xf numFmtId="0" fontId="15" fillId="5" borderId="10" xfId="0" applyFont="1" applyFill="1" applyBorder="1" applyAlignment="1">
      <alignment horizontal="center" vertical="center"/>
    </xf>
    <xf numFmtId="0" fontId="17" fillId="5" borderId="10" xfId="0" applyFont="1" applyFill="1" applyBorder="1"/>
    <xf numFmtId="0" fontId="12" fillId="5" borderId="10" xfId="0" applyFont="1" applyFill="1" applyBorder="1" applyAlignment="1">
      <alignment wrapText="1"/>
    </xf>
    <xf numFmtId="0" fontId="14" fillId="6" borderId="10" xfId="0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 vertical="center"/>
    </xf>
    <xf numFmtId="0" fontId="57" fillId="6" borderId="10" xfId="0" applyFont="1" applyFill="1" applyBorder="1" applyAlignment="1">
      <alignment horizontal="left" wrapText="1"/>
    </xf>
    <xf numFmtId="0" fontId="47" fillId="6" borderId="10" xfId="0" applyFont="1" applyFill="1" applyBorder="1" applyAlignment="1">
      <alignment horizontal="left" wrapText="1"/>
    </xf>
    <xf numFmtId="0" fontId="58" fillId="6" borderId="10" xfId="0" applyFont="1" applyFill="1" applyBorder="1" applyAlignment="1">
      <alignment horizontal="left" wrapText="1"/>
    </xf>
    <xf numFmtId="0" fontId="58" fillId="6" borderId="10" xfId="0" applyFont="1" applyFill="1" applyBorder="1" applyAlignment="1">
      <alignment horizontal="left" vertical="center" wrapText="1"/>
    </xf>
    <xf numFmtId="0" fontId="57" fillId="6" borderId="10" xfId="0" applyFont="1" applyFill="1" applyBorder="1" applyAlignment="1">
      <alignment horizontal="left" vertical="center" wrapText="1"/>
    </xf>
    <xf numFmtId="0" fontId="47" fillId="6" borderId="10" xfId="0" applyFont="1" applyFill="1" applyBorder="1" applyAlignment="1">
      <alignment horizontal="left" vertical="center"/>
    </xf>
    <xf numFmtId="0" fontId="47" fillId="6" borderId="23" xfId="0" applyFont="1" applyFill="1" applyBorder="1" applyAlignment="1">
      <alignment horizontal="left" wrapText="1"/>
    </xf>
    <xf numFmtId="0" fontId="47" fillId="6" borderId="24" xfId="0" applyFont="1" applyFill="1" applyBorder="1" applyAlignment="1">
      <alignment horizontal="left" wrapText="1"/>
    </xf>
    <xf numFmtId="0" fontId="4" fillId="0" borderId="25" xfId="0" applyFont="1" applyBorder="1"/>
    <xf numFmtId="0" fontId="4" fillId="0" borderId="26" xfId="0" applyFont="1" applyBorder="1"/>
    <xf numFmtId="0" fontId="57" fillId="6" borderId="24" xfId="0" applyFont="1" applyFill="1" applyBorder="1" applyAlignment="1">
      <alignment horizontal="left" wrapText="1"/>
    </xf>
    <xf numFmtId="0" fontId="57" fillId="6" borderId="11" xfId="0" applyFont="1" applyFill="1" applyBorder="1" applyAlignment="1">
      <alignment horizontal="left" wrapText="1"/>
    </xf>
    <xf numFmtId="0" fontId="57" fillId="6" borderId="23" xfId="0" applyFont="1" applyFill="1" applyBorder="1" applyAlignment="1">
      <alignment horizontal="left" wrapText="1"/>
    </xf>
    <xf numFmtId="0" fontId="47" fillId="6" borderId="11" xfId="0" applyFont="1" applyFill="1" applyBorder="1" applyAlignment="1">
      <alignment horizontal="left" wrapText="1"/>
    </xf>
    <xf numFmtId="0" fontId="47" fillId="6" borderId="12" xfId="0" applyFont="1" applyFill="1" applyBorder="1" applyAlignment="1">
      <alignment vertical="center"/>
    </xf>
    <xf numFmtId="0" fontId="55" fillId="0" borderId="16" xfId="0" applyFont="1" applyBorder="1"/>
    <xf numFmtId="0" fontId="51" fillId="7" borderId="12" xfId="0" applyFont="1" applyFill="1" applyBorder="1" applyAlignment="1">
      <alignment horizontal="center" vertical="center"/>
    </xf>
    <xf numFmtId="0" fontId="63" fillId="6" borderId="1" xfId="0" applyFont="1" applyFill="1" applyBorder="1" applyAlignment="1">
      <alignment vertical="center"/>
    </xf>
    <xf numFmtId="0" fontId="63" fillId="6" borderId="2" xfId="0" applyFont="1" applyFill="1" applyBorder="1" applyAlignment="1">
      <alignment vertical="center"/>
    </xf>
    <xf numFmtId="0" fontId="64" fillId="6" borderId="8" xfId="0" applyFont="1" applyFill="1" applyBorder="1"/>
    <xf numFmtId="0" fontId="64" fillId="6" borderId="14" xfId="0" applyFont="1" applyFill="1" applyBorder="1"/>
    <xf numFmtId="0" fontId="64" fillId="6" borderId="15" xfId="0" applyFont="1" applyFill="1" applyBorder="1"/>
    <xf numFmtId="0" fontId="64" fillId="6" borderId="1" xfId="0" applyFont="1" applyFill="1" applyBorder="1" applyAlignment="1">
      <alignment horizontal="center" vertical="center"/>
    </xf>
    <xf numFmtId="0" fontId="64" fillId="6" borderId="13" xfId="0" applyFont="1" applyFill="1" applyBorder="1" applyAlignment="1">
      <alignment horizontal="center" vertical="center"/>
    </xf>
    <xf numFmtId="0" fontId="64" fillId="0" borderId="0" xfId="0" applyFont="1" applyFill="1"/>
    <xf numFmtId="0" fontId="53" fillId="0" borderId="0" xfId="0" applyFont="1" applyFill="1" applyAlignment="1"/>
    <xf numFmtId="0" fontId="0" fillId="0" borderId="0" xfId="0" applyFont="1" applyFill="1" applyAlignment="1"/>
    <xf numFmtId="0" fontId="61" fillId="6" borderId="12" xfId="0" applyFont="1" applyFill="1" applyBorder="1" applyAlignment="1">
      <alignment vertical="center" textRotation="90"/>
    </xf>
    <xf numFmtId="0" fontId="61" fillId="6" borderId="10" xfId="0" applyFont="1" applyFill="1" applyBorder="1" applyAlignment="1">
      <alignment vertical="center" textRotation="90"/>
    </xf>
    <xf numFmtId="0" fontId="61" fillId="6" borderId="11" xfId="0" applyFont="1" applyFill="1" applyBorder="1" applyAlignment="1">
      <alignment vertical="center" textRotation="90"/>
    </xf>
    <xf numFmtId="0" fontId="61" fillId="6" borderId="12" xfId="0" applyFont="1" applyFill="1" applyBorder="1"/>
    <xf numFmtId="0" fontId="61" fillId="6" borderId="10" xfId="0" applyFont="1" applyFill="1" applyBorder="1"/>
    <xf numFmtId="0" fontId="61" fillId="6" borderId="11" xfId="0" applyFont="1" applyFill="1" applyBorder="1"/>
    <xf numFmtId="0" fontId="19" fillId="0" borderId="0" xfId="0" applyFont="1" applyBorder="1"/>
    <xf numFmtId="0" fontId="70" fillId="8" borderId="10" xfId="0" applyFont="1" applyFill="1" applyBorder="1"/>
    <xf numFmtId="0" fontId="70" fillId="8" borderId="24" xfId="0" applyFont="1" applyFill="1" applyBorder="1"/>
    <xf numFmtId="0" fontId="71" fillId="8" borderId="10" xfId="0" applyFont="1" applyFill="1" applyBorder="1"/>
    <xf numFmtId="0" fontId="71" fillId="8" borderId="24" xfId="0" applyFont="1" applyFill="1" applyBorder="1"/>
    <xf numFmtId="0" fontId="71" fillId="8" borderId="11" xfId="0" applyFont="1" applyFill="1" applyBorder="1"/>
    <xf numFmtId="0" fontId="69" fillId="8" borderId="24" xfId="0" applyFont="1" applyFill="1" applyBorder="1"/>
    <xf numFmtId="0" fontId="69" fillId="8" borderId="10" xfId="0" applyFont="1" applyFill="1" applyBorder="1"/>
    <xf numFmtId="0" fontId="72" fillId="8" borderId="27" xfId="0" applyFont="1" applyFill="1" applyBorder="1"/>
    <xf numFmtId="0" fontId="72" fillId="8" borderId="6" xfId="0" applyFont="1" applyFill="1" applyBorder="1"/>
    <xf numFmtId="0" fontId="72" fillId="8" borderId="11" xfId="0" applyFont="1" applyFill="1" applyBorder="1"/>
    <xf numFmtId="0" fontId="72" fillId="8" borderId="29" xfId="0" applyFont="1" applyFill="1" applyBorder="1"/>
    <xf numFmtId="0" fontId="72" fillId="8" borderId="36" xfId="0" applyFont="1" applyFill="1" applyBorder="1" applyAlignment="1">
      <alignment horizontal="center" vertical="center"/>
    </xf>
    <xf numFmtId="0" fontId="72" fillId="8" borderId="38" xfId="0" applyFont="1" applyFill="1" applyBorder="1"/>
    <xf numFmtId="0" fontId="72" fillId="8" borderId="15" xfId="0" applyFont="1" applyFill="1" applyBorder="1" applyAlignment="1">
      <alignment horizontal="center" vertical="center"/>
    </xf>
    <xf numFmtId="0" fontId="72" fillId="8" borderId="16" xfId="0" applyFont="1" applyFill="1" applyBorder="1"/>
    <xf numFmtId="0" fontId="72" fillId="8" borderId="23" xfId="0" applyFont="1" applyFill="1" applyBorder="1" applyAlignment="1">
      <alignment horizontal="center" vertical="center"/>
    </xf>
    <xf numFmtId="0" fontId="72" fillId="8" borderId="10" xfId="0" applyFont="1" applyFill="1" applyBorder="1"/>
    <xf numFmtId="0" fontId="72" fillId="8" borderId="24" xfId="0" applyFont="1" applyFill="1" applyBorder="1"/>
    <xf numFmtId="0" fontId="74" fillId="8" borderId="10" xfId="0" applyFont="1" applyFill="1" applyBorder="1" applyAlignment="1">
      <alignment horizontal="left"/>
    </xf>
    <xf numFmtId="0" fontId="75" fillId="8" borderId="24" xfId="0" applyFont="1" applyFill="1" applyBorder="1"/>
    <xf numFmtId="0" fontId="75" fillId="8" borderId="10" xfId="0" applyFont="1" applyFill="1" applyBorder="1"/>
    <xf numFmtId="0" fontId="72" fillId="8" borderId="37" xfId="0" applyFont="1" applyFill="1" applyBorder="1"/>
    <xf numFmtId="0" fontId="72" fillId="8" borderId="35" xfId="0" applyFont="1" applyFill="1" applyBorder="1"/>
    <xf numFmtId="0" fontId="72" fillId="8" borderId="13" xfId="0" applyFont="1" applyFill="1" applyBorder="1"/>
    <xf numFmtId="0" fontId="76" fillId="8" borderId="15" xfId="0" applyFont="1" applyFill="1" applyBorder="1"/>
    <xf numFmtId="0" fontId="78" fillId="8" borderId="10" xfId="0" applyFont="1" applyFill="1" applyBorder="1"/>
    <xf numFmtId="0" fontId="79" fillId="9" borderId="11" xfId="0" applyFont="1" applyFill="1" applyBorder="1"/>
    <xf numFmtId="0" fontId="67" fillId="9" borderId="11" xfId="0" applyFont="1" applyFill="1" applyBorder="1" applyAlignment="1">
      <alignment horizontal="center" vertical="center" wrapText="1"/>
    </xf>
    <xf numFmtId="0" fontId="80" fillId="9" borderId="11" xfId="0" applyFont="1" applyFill="1" applyBorder="1"/>
    <xf numFmtId="0" fontId="80" fillId="9" borderId="11" xfId="0" applyFont="1" applyFill="1" applyBorder="1" applyAlignment="1">
      <alignment horizontal="center"/>
    </xf>
    <xf numFmtId="0" fontId="67" fillId="9" borderId="11" xfId="0" applyFont="1" applyFill="1" applyBorder="1" applyAlignment="1">
      <alignment horizontal="center" wrapText="1"/>
    </xf>
    <xf numFmtId="0" fontId="22" fillId="10" borderId="23" xfId="0" applyFont="1" applyFill="1" applyBorder="1" applyAlignment="1"/>
    <xf numFmtId="0" fontId="22" fillId="10" borderId="10" xfId="0" applyFont="1" applyFill="1" applyBorder="1" applyAlignment="1"/>
    <xf numFmtId="0" fontId="4" fillId="10" borderId="23" xfId="0" applyFont="1" applyFill="1" applyBorder="1" applyAlignment="1"/>
    <xf numFmtId="0" fontId="4" fillId="10" borderId="10" xfId="0" applyFont="1" applyFill="1" applyBorder="1" applyAlignment="1"/>
    <xf numFmtId="0" fontId="4" fillId="10" borderId="23" xfId="0" applyFont="1" applyFill="1" applyBorder="1"/>
    <xf numFmtId="0" fontId="4" fillId="10" borderId="10" xfId="0" applyFont="1" applyFill="1" applyBorder="1"/>
    <xf numFmtId="0" fontId="4" fillId="10" borderId="24" xfId="0" applyFont="1" applyFill="1" applyBorder="1"/>
    <xf numFmtId="0" fontId="22" fillId="11" borderId="23" xfId="0" applyFont="1" applyFill="1" applyBorder="1" applyAlignment="1"/>
    <xf numFmtId="0" fontId="22" fillId="11" borderId="10" xfId="0" applyFont="1" applyFill="1" applyBorder="1" applyAlignment="1"/>
    <xf numFmtId="0" fontId="22" fillId="11" borderId="24" xfId="0" applyFont="1" applyFill="1" applyBorder="1" applyAlignment="1"/>
    <xf numFmtId="0" fontId="4" fillId="11" borderId="23" xfId="0" applyFont="1" applyFill="1" applyBorder="1" applyAlignment="1"/>
    <xf numFmtId="0" fontId="4" fillId="11" borderId="10" xfId="0" applyFont="1" applyFill="1" applyBorder="1" applyAlignment="1"/>
    <xf numFmtId="0" fontId="4" fillId="11" borderId="24" xfId="0" applyFont="1" applyFill="1" applyBorder="1" applyAlignment="1"/>
    <xf numFmtId="0" fontId="4" fillId="11" borderId="23" xfId="0" applyFont="1" applyFill="1" applyBorder="1"/>
    <xf numFmtId="0" fontId="4" fillId="11" borderId="10" xfId="0" applyFont="1" applyFill="1" applyBorder="1"/>
    <xf numFmtId="0" fontId="4" fillId="11" borderId="24" xfId="0" applyFont="1" applyFill="1" applyBorder="1"/>
    <xf numFmtId="0" fontId="4" fillId="11" borderId="25" xfId="0" applyFont="1" applyFill="1" applyBorder="1"/>
    <xf numFmtId="0" fontId="4" fillId="11" borderId="0" xfId="0" applyFont="1" applyFill="1" applyBorder="1"/>
    <xf numFmtId="0" fontId="4" fillId="11" borderId="26" xfId="0" applyFont="1" applyFill="1" applyBorder="1"/>
    <xf numFmtId="0" fontId="22" fillId="12" borderId="23" xfId="0" applyFont="1" applyFill="1" applyBorder="1" applyAlignment="1"/>
    <xf numFmtId="0" fontId="22" fillId="12" borderId="10" xfId="0" applyFont="1" applyFill="1" applyBorder="1" applyAlignment="1"/>
    <xf numFmtId="0" fontId="4" fillId="12" borderId="23" xfId="0" applyFont="1" applyFill="1" applyBorder="1" applyAlignment="1"/>
    <xf numFmtId="0" fontId="4" fillId="12" borderId="10" xfId="0" applyFont="1" applyFill="1" applyBorder="1" applyAlignment="1"/>
    <xf numFmtId="0" fontId="4" fillId="12" borderId="10" xfId="0" applyFont="1" applyFill="1" applyBorder="1"/>
    <xf numFmtId="0" fontId="4" fillId="12" borderId="23" xfId="0" applyFont="1" applyFill="1" applyBorder="1"/>
    <xf numFmtId="0" fontId="4" fillId="12" borderId="24" xfId="0" applyFont="1" applyFill="1" applyBorder="1"/>
    <xf numFmtId="0" fontId="22" fillId="13" borderId="23" xfId="0" applyFont="1" applyFill="1" applyBorder="1" applyAlignment="1"/>
    <xf numFmtId="0" fontId="22" fillId="13" borderId="10" xfId="0" applyFont="1" applyFill="1" applyBorder="1" applyAlignment="1"/>
    <xf numFmtId="0" fontId="22" fillId="13" borderId="24" xfId="0" applyFont="1" applyFill="1" applyBorder="1" applyAlignment="1"/>
    <xf numFmtId="0" fontId="4" fillId="13" borderId="23" xfId="0" applyFont="1" applyFill="1" applyBorder="1" applyAlignment="1"/>
    <xf numFmtId="0" fontId="4" fillId="13" borderId="10" xfId="0" applyFont="1" applyFill="1" applyBorder="1" applyAlignment="1"/>
    <xf numFmtId="0" fontId="4" fillId="13" borderId="24" xfId="0" applyFont="1" applyFill="1" applyBorder="1" applyAlignment="1"/>
    <xf numFmtId="0" fontId="4" fillId="13" borderId="10" xfId="0" applyFont="1" applyFill="1" applyBorder="1"/>
    <xf numFmtId="0" fontId="4" fillId="13" borderId="23" xfId="0" applyFont="1" applyFill="1" applyBorder="1"/>
    <xf numFmtId="0" fontId="4" fillId="13" borderId="24" xfId="0" applyFont="1" applyFill="1" applyBorder="1"/>
    <xf numFmtId="0" fontId="22" fillId="10" borderId="11" xfId="0" applyFont="1" applyFill="1" applyBorder="1" applyAlignment="1"/>
    <xf numFmtId="0" fontId="4" fillId="10" borderId="11" xfId="0" applyFont="1" applyFill="1" applyBorder="1" applyAlignment="1"/>
    <xf numFmtId="0" fontId="4" fillId="10" borderId="11" xfId="0" applyFont="1" applyFill="1" applyBorder="1"/>
    <xf numFmtId="0" fontId="22" fillId="14" borderId="23" xfId="0" applyFont="1" applyFill="1" applyBorder="1" applyAlignment="1"/>
    <xf numFmtId="0" fontId="22" fillId="14" borderId="10" xfId="0" applyFont="1" applyFill="1" applyBorder="1" applyAlignment="1"/>
    <xf numFmtId="0" fontId="4" fillId="14" borderId="23" xfId="0" applyFont="1" applyFill="1" applyBorder="1" applyAlignment="1"/>
    <xf numFmtId="0" fontId="4" fillId="14" borderId="10" xfId="0" applyFont="1" applyFill="1" applyBorder="1" applyAlignment="1"/>
    <xf numFmtId="0" fontId="4" fillId="14" borderId="23" xfId="0" applyFont="1" applyFill="1" applyBorder="1"/>
    <xf numFmtId="0" fontId="4" fillId="14" borderId="10" xfId="0" applyFont="1" applyFill="1" applyBorder="1"/>
    <xf numFmtId="0" fontId="22" fillId="12" borderId="11" xfId="0" applyFont="1" applyFill="1" applyBorder="1" applyAlignment="1"/>
    <xf numFmtId="0" fontId="4" fillId="12" borderId="11" xfId="0" applyFont="1" applyFill="1" applyBorder="1" applyAlignment="1"/>
    <xf numFmtId="0" fontId="4" fillId="12" borderId="11" xfId="0" applyFont="1" applyFill="1" applyBorder="1"/>
    <xf numFmtId="0" fontId="4" fillId="12" borderId="9" xfId="0" applyFont="1" applyFill="1" applyBorder="1"/>
    <xf numFmtId="0" fontId="4" fillId="12" borderId="12" xfId="0" applyFont="1" applyFill="1" applyBorder="1"/>
    <xf numFmtId="0" fontId="4" fillId="12" borderId="16" xfId="0" applyFont="1" applyFill="1" applyBorder="1"/>
    <xf numFmtId="0" fontId="22" fillId="14" borderId="24" xfId="0" applyFont="1" applyFill="1" applyBorder="1" applyAlignment="1"/>
    <xf numFmtId="0" fontId="4" fillId="14" borderId="24" xfId="0" applyFont="1" applyFill="1" applyBorder="1" applyAlignment="1"/>
    <xf numFmtId="0" fontId="4" fillId="14" borderId="24" xfId="0" applyFont="1" applyFill="1" applyBorder="1"/>
    <xf numFmtId="0" fontId="22" fillId="11" borderId="10" xfId="0" applyFont="1" applyFill="1" applyBorder="1"/>
    <xf numFmtId="0" fontId="22" fillId="11" borderId="24" xfId="0" applyFont="1" applyFill="1" applyBorder="1"/>
    <xf numFmtId="0" fontId="22" fillId="10" borderId="23" xfId="0" applyFont="1" applyFill="1" applyBorder="1"/>
    <xf numFmtId="0" fontId="22" fillId="10" borderId="10" xfId="0" applyFont="1" applyFill="1" applyBorder="1"/>
    <xf numFmtId="0" fontId="22" fillId="10" borderId="24" xfId="0" applyFont="1" applyFill="1" applyBorder="1"/>
    <xf numFmtId="0" fontId="22" fillId="13" borderId="23" xfId="0" applyFont="1" applyFill="1" applyBorder="1"/>
    <xf numFmtId="0" fontId="22" fillId="13" borderId="10" xfId="0" applyFont="1" applyFill="1" applyBorder="1"/>
    <xf numFmtId="0" fontId="22" fillId="13" borderId="24" xfId="0" applyFont="1" applyFill="1" applyBorder="1"/>
    <xf numFmtId="0" fontId="22" fillId="14" borderId="23" xfId="0" applyFont="1" applyFill="1" applyBorder="1"/>
    <xf numFmtId="0" fontId="22" fillId="14" borderId="10" xfId="0" applyFont="1" applyFill="1" applyBorder="1"/>
    <xf numFmtId="0" fontId="22" fillId="14" borderId="24" xfId="0" applyFont="1" applyFill="1" applyBorder="1"/>
    <xf numFmtId="0" fontId="22" fillId="12" borderId="23" xfId="0" applyFont="1" applyFill="1" applyBorder="1"/>
    <xf numFmtId="0" fontId="22" fillId="12" borderId="10" xfId="0" applyFont="1" applyFill="1" applyBorder="1"/>
    <xf numFmtId="0" fontId="22" fillId="12" borderId="24" xfId="0" applyFont="1" applyFill="1" applyBorder="1"/>
    <xf numFmtId="0" fontId="81" fillId="11" borderId="23" xfId="0" applyFont="1" applyFill="1" applyBorder="1"/>
    <xf numFmtId="0" fontId="81" fillId="11" borderId="10" xfId="0" applyFont="1" applyFill="1" applyBorder="1"/>
    <xf numFmtId="0" fontId="81" fillId="11" borderId="24" xfId="0" applyFont="1" applyFill="1" applyBorder="1"/>
    <xf numFmtId="0" fontId="66" fillId="11" borderId="23" xfId="0" applyFont="1" applyFill="1" applyBorder="1"/>
    <xf numFmtId="0" fontId="66" fillId="11" borderId="10" xfId="0" applyFont="1" applyFill="1" applyBorder="1"/>
    <xf numFmtId="0" fontId="66" fillId="11" borderId="24" xfId="0" applyFont="1" applyFill="1" applyBorder="1"/>
    <xf numFmtId="0" fontId="11" fillId="7" borderId="7" xfId="0" applyFont="1" applyFill="1" applyBorder="1"/>
    <xf numFmtId="0" fontId="12" fillId="7" borderId="8" xfId="0" applyFont="1" applyFill="1" applyBorder="1" applyAlignment="1">
      <alignment wrapText="1"/>
    </xf>
    <xf numFmtId="0" fontId="13" fillId="7" borderId="9" xfId="0" applyFont="1" applyFill="1" applyBorder="1" applyAlignment="1">
      <alignment horizontal="center" wrapText="1"/>
    </xf>
    <xf numFmtId="0" fontId="14" fillId="7" borderId="10" xfId="0" applyFont="1" applyFill="1" applyBorder="1" applyAlignment="1">
      <alignment horizontal="center" wrapText="1"/>
    </xf>
    <xf numFmtId="0" fontId="15" fillId="7" borderId="10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vertical="center"/>
    </xf>
    <xf numFmtId="0" fontId="72" fillId="6" borderId="10" xfId="0" applyFont="1" applyFill="1" applyBorder="1"/>
    <xf numFmtId="0" fontId="24" fillId="7" borderId="16" xfId="0" applyFont="1" applyFill="1" applyBorder="1" applyAlignment="1">
      <alignment horizontal="center" vertical="center"/>
    </xf>
    <xf numFmtId="0" fontId="82" fillId="7" borderId="16" xfId="0" applyFont="1" applyFill="1" applyBorder="1" applyAlignment="1">
      <alignment horizontal="left" vertical="center" wrapText="1"/>
    </xf>
    <xf numFmtId="0" fontId="59" fillId="7" borderId="16" xfId="0" applyFont="1" applyFill="1" applyBorder="1" applyAlignment="1">
      <alignment horizontal="left" vertical="center" wrapText="1"/>
    </xf>
    <xf numFmtId="0" fontId="4" fillId="7" borderId="5" xfId="0" applyFont="1" applyFill="1" applyBorder="1"/>
    <xf numFmtId="0" fontId="22" fillId="12" borderId="11" xfId="0" applyFont="1" applyFill="1" applyBorder="1"/>
    <xf numFmtId="0" fontId="47" fillId="6" borderId="42" xfId="0" applyFont="1" applyFill="1" applyBorder="1" applyAlignment="1">
      <alignment horizontal="left" vertical="center" wrapText="1"/>
    </xf>
    <xf numFmtId="0" fontId="47" fillId="6" borderId="9" xfId="0" applyFont="1" applyFill="1" applyBorder="1" applyAlignment="1">
      <alignment horizontal="left" vertical="center" wrapText="1"/>
    </xf>
    <xf numFmtId="0" fontId="58" fillId="6" borderId="9" xfId="0" applyFont="1" applyFill="1" applyBorder="1" applyAlignment="1">
      <alignment horizontal="left" vertical="center" wrapText="1"/>
    </xf>
    <xf numFmtId="0" fontId="58" fillId="6" borderId="43" xfId="0" applyFont="1" applyFill="1" applyBorder="1" applyAlignment="1">
      <alignment horizontal="left" vertical="center" wrapText="1"/>
    </xf>
    <xf numFmtId="0" fontId="69" fillId="15" borderId="41" xfId="0" applyFont="1" applyFill="1" applyBorder="1"/>
    <xf numFmtId="0" fontId="72" fillId="15" borderId="41" xfId="0" applyFont="1" applyFill="1" applyBorder="1"/>
    <xf numFmtId="0" fontId="4" fillId="9" borderId="10" xfId="0" applyFont="1" applyFill="1" applyBorder="1" applyAlignment="1"/>
    <xf numFmtId="0" fontId="4" fillId="9" borderId="10" xfId="0" applyFont="1" applyFill="1" applyBorder="1"/>
    <xf numFmtId="0" fontId="13" fillId="7" borderId="10" xfId="0" applyFont="1" applyFill="1" applyBorder="1" applyAlignment="1">
      <alignment horizontal="center" wrapText="1"/>
    </xf>
    <xf numFmtId="0" fontId="17" fillId="6" borderId="10" xfId="0" applyFont="1" applyFill="1" applyBorder="1"/>
    <xf numFmtId="0" fontId="12" fillId="6" borderId="10" xfId="0" applyFont="1" applyFill="1" applyBorder="1" applyAlignment="1">
      <alignment wrapText="1"/>
    </xf>
    <xf numFmtId="0" fontId="4" fillId="9" borderId="10" xfId="0" applyFont="1" applyFill="1" applyBorder="1" applyAlignment="1">
      <alignment horizontal="center"/>
    </xf>
    <xf numFmtId="0" fontId="72" fillId="15" borderId="10" xfId="0" applyFont="1" applyFill="1" applyBorder="1" applyAlignment="1"/>
    <xf numFmtId="0" fontId="72" fillId="15" borderId="10" xfId="0" applyFont="1" applyFill="1" applyBorder="1"/>
    <xf numFmtId="0" fontId="56" fillId="15" borderId="10" xfId="0" applyFont="1" applyFill="1" applyBorder="1" applyAlignment="1"/>
    <xf numFmtId="0" fontId="21" fillId="15" borderId="10" xfId="0" applyFont="1" applyFill="1" applyBorder="1"/>
    <xf numFmtId="0" fontId="4" fillId="12" borderId="41" xfId="0" applyFont="1" applyFill="1" applyBorder="1"/>
    <xf numFmtId="0" fontId="70" fillId="15" borderId="41" xfId="0" applyFont="1" applyFill="1" applyBorder="1"/>
    <xf numFmtId="0" fontId="24" fillId="7" borderId="16" xfId="0" applyFont="1" applyFill="1" applyBorder="1" applyAlignment="1">
      <alignment vertical="center"/>
    </xf>
    <xf numFmtId="0" fontId="4" fillId="7" borderId="16" xfId="0" applyFont="1" applyFill="1" applyBorder="1" applyAlignment="1">
      <alignment horizontal="left" vertical="center" wrapText="1"/>
    </xf>
    <xf numFmtId="0" fontId="25" fillId="7" borderId="16" xfId="0" applyFont="1" applyFill="1" applyBorder="1" applyAlignment="1">
      <alignment horizontal="left" vertical="center" wrapText="1"/>
    </xf>
    <xf numFmtId="0" fontId="24" fillId="7" borderId="16" xfId="0" applyFont="1" applyFill="1" applyBorder="1" applyAlignment="1">
      <alignment horizontal="left" vertical="center"/>
    </xf>
    <xf numFmtId="0" fontId="4" fillId="7" borderId="15" xfId="0" applyFont="1" applyFill="1" applyBorder="1"/>
    <xf numFmtId="0" fontId="47" fillId="6" borderId="10" xfId="0" applyFont="1" applyFill="1" applyBorder="1" applyAlignment="1">
      <alignment horizontal="center" wrapText="1"/>
    </xf>
    <xf numFmtId="0" fontId="24" fillId="6" borderId="10" xfId="0" applyFont="1" applyFill="1" applyBorder="1" applyAlignment="1">
      <alignment vertical="center"/>
    </xf>
    <xf numFmtId="0" fontId="19" fillId="6" borderId="10" xfId="0" applyFont="1" applyFill="1" applyBorder="1" applyAlignment="1">
      <alignment horizontal="left" vertical="center" wrapText="1"/>
    </xf>
    <xf numFmtId="0" fontId="25" fillId="6" borderId="10" xfId="0" applyFont="1" applyFill="1" applyBorder="1" applyAlignment="1">
      <alignment horizontal="left" vertical="center" wrapText="1"/>
    </xf>
    <xf numFmtId="0" fontId="24" fillId="6" borderId="10" xfId="0" applyFont="1" applyFill="1" applyBorder="1" applyAlignment="1">
      <alignment horizontal="left" vertical="center"/>
    </xf>
    <xf numFmtId="0" fontId="47" fillId="6" borderId="10" xfId="0" applyFont="1" applyFill="1" applyBorder="1" applyAlignment="1">
      <alignment horizontal="left" vertical="center" wrapText="1"/>
    </xf>
    <xf numFmtId="0" fontId="47" fillId="6" borderId="10" xfId="0" applyFont="1" applyFill="1" applyBorder="1" applyAlignment="1">
      <alignment vertical="center"/>
    </xf>
    <xf numFmtId="0" fontId="56" fillId="15" borderId="10" xfId="0" applyFont="1" applyFill="1" applyBorder="1"/>
    <xf numFmtId="0" fontId="4" fillId="9" borderId="11" xfId="0" applyFont="1" applyFill="1" applyBorder="1"/>
    <xf numFmtId="0" fontId="83" fillId="9" borderId="10" xfId="0" applyFont="1" applyFill="1" applyBorder="1"/>
    <xf numFmtId="0" fontId="83" fillId="9" borderId="11" xfId="0" applyFont="1" applyFill="1" applyBorder="1"/>
    <xf numFmtId="0" fontId="22" fillId="19" borderId="10" xfId="0" applyFont="1" applyFill="1" applyBorder="1" applyAlignment="1"/>
    <xf numFmtId="0" fontId="4" fillId="19" borderId="10" xfId="0" applyFont="1" applyFill="1" applyBorder="1" applyAlignment="1"/>
    <xf numFmtId="0" fontId="4" fillId="19" borderId="10" xfId="0" applyFont="1" applyFill="1" applyBorder="1"/>
    <xf numFmtId="0" fontId="47" fillId="6" borderId="9" xfId="0" applyFont="1" applyFill="1" applyBorder="1" applyAlignment="1">
      <alignment horizontal="left" wrapText="1"/>
    </xf>
    <xf numFmtId="0" fontId="22" fillId="19" borderId="44" xfId="0" applyFont="1" applyFill="1" applyBorder="1" applyAlignment="1"/>
    <xf numFmtId="0" fontId="22" fillId="19" borderId="45" xfId="0" applyFont="1" applyFill="1" applyBorder="1" applyAlignment="1"/>
    <xf numFmtId="0" fontId="22" fillId="19" borderId="46" xfId="0" applyFont="1" applyFill="1" applyBorder="1" applyAlignment="1"/>
    <xf numFmtId="0" fontId="4" fillId="19" borderId="23" xfId="0" applyFont="1" applyFill="1" applyBorder="1" applyAlignment="1"/>
    <xf numFmtId="0" fontId="4" fillId="19" borderId="24" xfId="0" applyFont="1" applyFill="1" applyBorder="1" applyAlignment="1"/>
    <xf numFmtId="0" fontId="4" fillId="19" borderId="23" xfId="0" applyFont="1" applyFill="1" applyBorder="1"/>
    <xf numFmtId="0" fontId="4" fillId="19" borderId="24" xfId="0" applyFont="1" applyFill="1" applyBorder="1"/>
    <xf numFmtId="0" fontId="4" fillId="19" borderId="36" xfId="0" applyFont="1" applyFill="1" applyBorder="1"/>
    <xf numFmtId="0" fontId="4" fillId="19" borderId="38" xfId="0" applyFont="1" applyFill="1" applyBorder="1"/>
    <xf numFmtId="0" fontId="4" fillId="19" borderId="35" xfId="0" applyFont="1" applyFill="1" applyBorder="1"/>
    <xf numFmtId="0" fontId="4" fillId="15" borderId="10" xfId="0" applyFont="1" applyFill="1" applyBorder="1"/>
    <xf numFmtId="0" fontId="22" fillId="16" borderId="44" xfId="0" applyFont="1" applyFill="1" applyBorder="1" applyAlignment="1"/>
    <xf numFmtId="0" fontId="22" fillId="16" borderId="45" xfId="0" applyFont="1" applyFill="1" applyBorder="1" applyAlignment="1"/>
    <xf numFmtId="0" fontId="22" fillId="16" borderId="46" xfId="0" applyFont="1" applyFill="1" applyBorder="1" applyAlignment="1"/>
    <xf numFmtId="0" fontId="4" fillId="16" borderId="23" xfId="0" applyFont="1" applyFill="1" applyBorder="1" applyAlignment="1"/>
    <xf numFmtId="0" fontId="4" fillId="16" borderId="10" xfId="0" applyFont="1" applyFill="1" applyBorder="1" applyAlignment="1"/>
    <xf numFmtId="0" fontId="4" fillId="16" borderId="24" xfId="0" applyFont="1" applyFill="1" applyBorder="1" applyAlignment="1"/>
    <xf numFmtId="0" fontId="4" fillId="16" borderId="23" xfId="0" applyFont="1" applyFill="1" applyBorder="1"/>
    <xf numFmtId="0" fontId="4" fillId="16" borderId="10" xfId="0" applyFont="1" applyFill="1" applyBorder="1"/>
    <xf numFmtId="0" fontId="4" fillId="16" borderId="24" xfId="0" applyFont="1" applyFill="1" applyBorder="1"/>
    <xf numFmtId="0" fontId="4" fillId="16" borderId="36" xfId="0" applyFont="1" applyFill="1" applyBorder="1"/>
    <xf numFmtId="0" fontId="4" fillId="16" borderId="38" xfId="0" applyFont="1" applyFill="1" applyBorder="1"/>
    <xf numFmtId="0" fontId="4" fillId="16" borderId="35" xfId="0" applyFont="1" applyFill="1" applyBorder="1"/>
    <xf numFmtId="0" fontId="47" fillId="6" borderId="8" xfId="0" applyFont="1" applyFill="1" applyBorder="1" applyAlignment="1">
      <alignment horizontal="left" wrapText="1"/>
    </xf>
    <xf numFmtId="0" fontId="22" fillId="18" borderId="44" xfId="0" applyFont="1" applyFill="1" applyBorder="1" applyAlignment="1"/>
    <xf numFmtId="0" fontId="22" fillId="18" borderId="45" xfId="0" applyFont="1" applyFill="1" applyBorder="1" applyAlignment="1"/>
    <xf numFmtId="0" fontId="4" fillId="18" borderId="23" xfId="0" applyFont="1" applyFill="1" applyBorder="1" applyAlignment="1"/>
    <xf numFmtId="0" fontId="4" fillId="18" borderId="10" xfId="0" applyFont="1" applyFill="1" applyBorder="1" applyAlignment="1"/>
    <xf numFmtId="0" fontId="4" fillId="18" borderId="23" xfId="0" applyFont="1" applyFill="1" applyBorder="1"/>
    <xf numFmtId="0" fontId="4" fillId="18" borderId="10" xfId="0" applyFont="1" applyFill="1" applyBorder="1"/>
    <xf numFmtId="0" fontId="4" fillId="18" borderId="11" xfId="0" applyFont="1" applyFill="1" applyBorder="1"/>
    <xf numFmtId="0" fontId="4" fillId="18" borderId="12" xfId="0" applyFont="1" applyFill="1" applyBorder="1"/>
    <xf numFmtId="0" fontId="4" fillId="18" borderId="36" xfId="0" applyFont="1" applyFill="1" applyBorder="1"/>
    <xf numFmtId="0" fontId="4" fillId="18" borderId="38" xfId="0" applyFont="1" applyFill="1" applyBorder="1"/>
    <xf numFmtId="0" fontId="22" fillId="16" borderId="47" xfId="0" applyFont="1" applyFill="1" applyBorder="1" applyAlignment="1"/>
    <xf numFmtId="0" fontId="4" fillId="16" borderId="11" xfId="0" applyFont="1" applyFill="1" applyBorder="1" applyAlignment="1"/>
    <xf numFmtId="0" fontId="4" fillId="16" borderId="0" xfId="0" applyFont="1" applyFill="1" applyBorder="1" applyAlignment="1"/>
    <xf numFmtId="0" fontId="4" fillId="16" borderId="12" xfId="0" applyFont="1" applyFill="1" applyBorder="1" applyAlignment="1"/>
    <xf numFmtId="0" fontId="4" fillId="16" borderId="11" xfId="0" applyFont="1" applyFill="1" applyBorder="1"/>
    <xf numFmtId="0" fontId="4" fillId="16" borderId="0" xfId="0" applyFont="1" applyFill="1" applyBorder="1"/>
    <xf numFmtId="0" fontId="4" fillId="16" borderId="12" xfId="0" applyFont="1" applyFill="1" applyBorder="1"/>
    <xf numFmtId="0" fontId="4" fillId="16" borderId="37" xfId="0" applyFont="1" applyFill="1" applyBorder="1"/>
    <xf numFmtId="0" fontId="22" fillId="16" borderId="51" xfId="0" applyFont="1" applyFill="1" applyBorder="1" applyAlignment="1"/>
    <xf numFmtId="0" fontId="22" fillId="16" borderId="52" xfId="0" applyFont="1" applyFill="1" applyBorder="1" applyAlignment="1"/>
    <xf numFmtId="0" fontId="4" fillId="16" borderId="49" xfId="0" applyFont="1" applyFill="1" applyBorder="1"/>
    <xf numFmtId="0" fontId="4" fillId="16" borderId="34" xfId="0" applyFont="1" applyFill="1" applyBorder="1"/>
    <xf numFmtId="0" fontId="22" fillId="9" borderId="12" xfId="0" applyFont="1" applyFill="1" applyBorder="1" applyAlignment="1"/>
    <xf numFmtId="0" fontId="22" fillId="9" borderId="10" xfId="0" applyFont="1" applyFill="1" applyBorder="1" applyAlignment="1"/>
    <xf numFmtId="0" fontId="4" fillId="9" borderId="12" xfId="0" applyFont="1" applyFill="1" applyBorder="1" applyAlignment="1"/>
    <xf numFmtId="0" fontId="4" fillId="9" borderId="12" xfId="0" applyFont="1" applyFill="1" applyBorder="1"/>
    <xf numFmtId="0" fontId="22" fillId="9" borderId="44" xfId="0" applyFont="1" applyFill="1" applyBorder="1" applyAlignment="1"/>
    <xf numFmtId="0" fontId="22" fillId="9" borderId="45" xfId="0" applyFont="1" applyFill="1" applyBorder="1" applyAlignment="1"/>
    <xf numFmtId="0" fontId="22" fillId="9" borderId="46" xfId="0" applyFont="1" applyFill="1" applyBorder="1" applyAlignment="1"/>
    <xf numFmtId="0" fontId="4" fillId="9" borderId="23" xfId="0" applyFont="1" applyFill="1" applyBorder="1" applyAlignment="1"/>
    <xf numFmtId="0" fontId="4" fillId="9" borderId="24" xfId="0" applyFont="1" applyFill="1" applyBorder="1" applyAlignment="1"/>
    <xf numFmtId="0" fontId="4" fillId="9" borderId="23" xfId="0" applyFont="1" applyFill="1" applyBorder="1"/>
    <xf numFmtId="0" fontId="4" fillId="9" borderId="24" xfId="0" applyFont="1" applyFill="1" applyBorder="1"/>
    <xf numFmtId="0" fontId="4" fillId="9" borderId="36" xfId="0" applyFont="1" applyFill="1" applyBorder="1"/>
    <xf numFmtId="0" fontId="4" fillId="9" borderId="38" xfId="0" applyFont="1" applyFill="1" applyBorder="1"/>
    <xf numFmtId="0" fontId="4" fillId="9" borderId="35" xfId="0" applyFont="1" applyFill="1" applyBorder="1"/>
    <xf numFmtId="0" fontId="22" fillId="18" borderId="45" xfId="0" applyFont="1" applyFill="1" applyBorder="1" applyAlignment="1">
      <alignment horizontal="center"/>
    </xf>
    <xf numFmtId="0" fontId="22" fillId="18" borderId="46" xfId="0" applyFont="1" applyFill="1" applyBorder="1" applyAlignment="1"/>
    <xf numFmtId="0" fontId="4" fillId="18" borderId="10" xfId="0" applyFont="1" applyFill="1" applyBorder="1" applyAlignment="1">
      <alignment horizontal="center"/>
    </xf>
    <xf numFmtId="0" fontId="4" fillId="18" borderId="24" xfId="0" applyFont="1" applyFill="1" applyBorder="1" applyAlignment="1"/>
    <xf numFmtId="0" fontId="4" fillId="18" borderId="24" xfId="0" applyFont="1" applyFill="1" applyBorder="1"/>
    <xf numFmtId="0" fontId="4" fillId="18" borderId="35" xfId="0" applyFont="1" applyFill="1" applyBorder="1"/>
    <xf numFmtId="0" fontId="22" fillId="14" borderId="12" xfId="0" applyFont="1" applyFill="1" applyBorder="1" applyAlignment="1">
      <alignment horizontal="center"/>
    </xf>
    <xf numFmtId="0" fontId="22" fillId="14" borderId="10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22" fillId="14" borderId="11" xfId="0" applyFont="1" applyFill="1" applyBorder="1" applyAlignment="1"/>
    <xf numFmtId="0" fontId="4" fillId="14" borderId="11" xfId="0" applyFont="1" applyFill="1" applyBorder="1" applyAlignment="1"/>
    <xf numFmtId="0" fontId="4" fillId="14" borderId="11" xfId="0" applyFont="1" applyFill="1" applyBorder="1"/>
    <xf numFmtId="0" fontId="22" fillId="16" borderId="44" xfId="0" applyFont="1" applyFill="1" applyBorder="1"/>
    <xf numFmtId="0" fontId="22" fillId="16" borderId="45" xfId="0" applyFont="1" applyFill="1" applyBorder="1"/>
    <xf numFmtId="0" fontId="22" fillId="16" borderId="46" xfId="0" applyFont="1" applyFill="1" applyBorder="1"/>
    <xf numFmtId="0" fontId="22" fillId="18" borderId="44" xfId="0" applyFont="1" applyFill="1" applyBorder="1"/>
    <xf numFmtId="0" fontId="22" fillId="18" borderId="45" xfId="0" applyFont="1" applyFill="1" applyBorder="1"/>
    <xf numFmtId="0" fontId="22" fillId="18" borderId="46" xfId="0" applyFont="1" applyFill="1" applyBorder="1"/>
    <xf numFmtId="0" fontId="4" fillId="18" borderId="48" xfId="0" applyFont="1" applyFill="1" applyBorder="1"/>
    <xf numFmtId="0" fontId="4" fillId="18" borderId="49" xfId="0" applyFont="1" applyFill="1" applyBorder="1"/>
    <xf numFmtId="0" fontId="4" fillId="18" borderId="50" xfId="0" applyFont="1" applyFill="1" applyBorder="1"/>
    <xf numFmtId="0" fontId="22" fillId="17" borderId="44" xfId="0" applyFont="1" applyFill="1" applyBorder="1"/>
    <xf numFmtId="0" fontId="22" fillId="17" borderId="45" xfId="0" applyFont="1" applyFill="1" applyBorder="1"/>
    <xf numFmtId="0" fontId="22" fillId="17" borderId="46" xfId="0" applyFont="1" applyFill="1" applyBorder="1"/>
    <xf numFmtId="0" fontId="22" fillId="17" borderId="22" xfId="0" applyFont="1" applyFill="1" applyBorder="1"/>
    <xf numFmtId="0" fontId="4" fillId="17" borderId="23" xfId="0" applyFont="1" applyFill="1" applyBorder="1"/>
    <xf numFmtId="0" fontId="4" fillId="17" borderId="10" xfId="0" applyFont="1" applyFill="1" applyBorder="1"/>
    <xf numFmtId="0" fontId="4" fillId="17" borderId="24" xfId="0" applyFont="1" applyFill="1" applyBorder="1"/>
    <xf numFmtId="0" fontId="4" fillId="17" borderId="29" xfId="0" applyFont="1" applyFill="1" applyBorder="1"/>
    <xf numFmtId="0" fontId="4" fillId="17" borderId="36" xfId="0" applyFont="1" applyFill="1" applyBorder="1"/>
    <xf numFmtId="0" fontId="4" fillId="17" borderId="38" xfId="0" applyFont="1" applyFill="1" applyBorder="1"/>
    <xf numFmtId="0" fontId="4" fillId="17" borderId="35" xfId="0" applyFont="1" applyFill="1" applyBorder="1"/>
    <xf numFmtId="0" fontId="4" fillId="17" borderId="39" xfId="0" applyFont="1" applyFill="1" applyBorder="1"/>
    <xf numFmtId="0" fontId="22" fillId="19" borderId="44" xfId="0" applyFont="1" applyFill="1" applyBorder="1"/>
    <xf numFmtId="0" fontId="22" fillId="19" borderId="45" xfId="0" applyFont="1" applyFill="1" applyBorder="1"/>
    <xf numFmtId="0" fontId="22" fillId="19" borderId="46" xfId="0" applyFont="1" applyFill="1" applyBorder="1"/>
    <xf numFmtId="0" fontId="22" fillId="10" borderId="12" xfId="0" applyFont="1" applyFill="1" applyBorder="1"/>
    <xf numFmtId="0" fontId="4" fillId="10" borderId="12" xfId="0" applyFont="1" applyFill="1" applyBorder="1"/>
    <xf numFmtId="0" fontId="22" fillId="18" borderId="10" xfId="0" applyFont="1" applyFill="1" applyBorder="1"/>
    <xf numFmtId="0" fontId="58" fillId="6" borderId="9" xfId="0" applyFont="1" applyFill="1" applyBorder="1" applyAlignment="1">
      <alignment horizontal="left" wrapText="1"/>
    </xf>
    <xf numFmtId="0" fontId="22" fillId="10" borderId="44" xfId="0" applyFont="1" applyFill="1" applyBorder="1"/>
    <xf numFmtId="0" fontId="22" fillId="10" borderId="45" xfId="0" applyFont="1" applyFill="1" applyBorder="1"/>
    <xf numFmtId="0" fontId="22" fillId="10" borderId="46" xfId="0" applyFont="1" applyFill="1" applyBorder="1"/>
    <xf numFmtId="0" fontId="4" fillId="10" borderId="36" xfId="0" applyFont="1" applyFill="1" applyBorder="1"/>
    <xf numFmtId="0" fontId="4" fillId="10" borderId="38" xfId="0" applyFont="1" applyFill="1" applyBorder="1"/>
    <xf numFmtId="0" fontId="4" fillId="10" borderId="35" xfId="0" applyFont="1" applyFill="1" applyBorder="1"/>
    <xf numFmtId="0" fontId="85" fillId="15" borderId="12" xfId="0" applyFont="1" applyFill="1" applyBorder="1"/>
    <xf numFmtId="0" fontId="85" fillId="15" borderId="10" xfId="0" applyFont="1" applyFill="1" applyBorder="1"/>
    <xf numFmtId="0" fontId="80" fillId="9" borderId="10" xfId="0" applyFont="1" applyFill="1" applyBorder="1" applyAlignment="1">
      <alignment horizontal="center"/>
    </xf>
    <xf numFmtId="0" fontId="72" fillId="6" borderId="10" xfId="0" applyFont="1" applyFill="1" applyBorder="1" applyAlignment="1">
      <alignment horizontal="center"/>
    </xf>
    <xf numFmtId="0" fontId="87" fillId="9" borderId="58" xfId="0" applyFont="1" applyFill="1" applyBorder="1"/>
    <xf numFmtId="0" fontId="88" fillId="9" borderId="58" xfId="0" applyFont="1" applyFill="1" applyBorder="1" applyAlignment="1">
      <alignment horizontal="center" vertical="center" wrapText="1"/>
    </xf>
    <xf numFmtId="0" fontId="86" fillId="9" borderId="57" xfId="0" applyFont="1" applyFill="1" applyBorder="1"/>
    <xf numFmtId="0" fontId="86" fillId="9" borderId="58" xfId="0" applyFont="1" applyFill="1" applyBorder="1" applyAlignment="1">
      <alignment horizontal="center"/>
    </xf>
    <xf numFmtId="0" fontId="89" fillId="9" borderId="59" xfId="0" applyFont="1" applyFill="1" applyBorder="1" applyAlignment="1">
      <alignment horizontal="center" vertical="center" wrapText="1"/>
    </xf>
    <xf numFmtId="0" fontId="71" fillId="8" borderId="10" xfId="0" applyFont="1" applyFill="1" applyBorder="1" applyAlignment="1">
      <alignment horizontal="center"/>
    </xf>
    <xf numFmtId="0" fontId="71" fillId="8" borderId="16" xfId="0" applyFont="1" applyFill="1" applyBorder="1"/>
    <xf numFmtId="0" fontId="72" fillId="8" borderId="12" xfId="0" applyFont="1" applyFill="1" applyBorder="1"/>
    <xf numFmtId="0" fontId="72" fillId="8" borderId="10" xfId="0" applyFont="1" applyFill="1" applyBorder="1" applyAlignment="1">
      <alignment horizontal="center" vertical="center"/>
    </xf>
    <xf numFmtId="0" fontId="72" fillId="8" borderId="10" xfId="0" applyFont="1" applyFill="1" applyBorder="1" applyAlignment="1">
      <alignment horizontal="center"/>
    </xf>
    <xf numFmtId="0" fontId="75" fillId="8" borderId="10" xfId="0" applyFont="1" applyFill="1" applyBorder="1" applyAlignment="1">
      <alignment horizontal="left"/>
    </xf>
    <xf numFmtId="0" fontId="76" fillId="8" borderId="10" xfId="0" applyFont="1" applyFill="1" applyBorder="1"/>
    <xf numFmtId="0" fontId="91" fillId="6" borderId="1" xfId="0" applyFont="1" applyFill="1" applyBorder="1" applyAlignment="1">
      <alignment vertical="center"/>
    </xf>
    <xf numFmtId="0" fontId="91" fillId="6" borderId="2" xfId="0" applyFont="1" applyFill="1" applyBorder="1" applyAlignment="1">
      <alignment vertical="center"/>
    </xf>
    <xf numFmtId="0" fontId="72" fillId="6" borderId="8" xfId="0" applyFont="1" applyFill="1" applyBorder="1"/>
    <xf numFmtId="0" fontId="72" fillId="6" borderId="14" xfId="0" applyFont="1" applyFill="1" applyBorder="1"/>
    <xf numFmtId="0" fontId="72" fillId="6" borderId="15" xfId="0" applyFont="1" applyFill="1" applyBorder="1"/>
    <xf numFmtId="0" fontId="72" fillId="6" borderId="10" xfId="0" applyFont="1" applyFill="1" applyBorder="1" applyAlignment="1">
      <alignment vertical="center" textRotation="90"/>
    </xf>
    <xf numFmtId="0" fontId="72" fillId="6" borderId="11" xfId="0" applyFont="1" applyFill="1" applyBorder="1" applyAlignment="1">
      <alignment vertical="center" textRotation="90"/>
    </xf>
    <xf numFmtId="0" fontId="72" fillId="6" borderId="1" xfId="0" applyFont="1" applyFill="1" applyBorder="1" applyAlignment="1">
      <alignment horizontal="center" vertical="center"/>
    </xf>
    <xf numFmtId="0" fontId="72" fillId="6" borderId="11" xfId="0" applyFont="1" applyFill="1" applyBorder="1"/>
    <xf numFmtId="0" fontId="72" fillId="6" borderId="13" xfId="0" applyFont="1" applyFill="1" applyBorder="1" applyAlignment="1">
      <alignment horizontal="center" vertical="center"/>
    </xf>
    <xf numFmtId="0" fontId="79" fillId="10" borderId="11" xfId="0" applyFont="1" applyFill="1" applyBorder="1"/>
    <xf numFmtId="0" fontId="67" fillId="10" borderId="10" xfId="0" applyFont="1" applyFill="1" applyBorder="1" applyAlignment="1">
      <alignment horizontal="center" vertical="center" wrapText="1"/>
    </xf>
    <xf numFmtId="0" fontId="94" fillId="10" borderId="10" xfId="0" applyFont="1" applyFill="1" applyBorder="1" applyAlignment="1">
      <alignment horizontal="center" wrapText="1"/>
    </xf>
    <xf numFmtId="0" fontId="80" fillId="10" borderId="10" xfId="0" applyFont="1" applyFill="1" applyBorder="1"/>
    <xf numFmtId="0" fontId="80" fillId="10" borderId="10" xfId="0" applyFont="1" applyFill="1" applyBorder="1" applyAlignment="1">
      <alignment horizontal="center"/>
    </xf>
    <xf numFmtId="0" fontId="83" fillId="10" borderId="10" xfId="0" applyFont="1" applyFill="1" applyBorder="1" applyAlignment="1">
      <alignment horizontal="center"/>
    </xf>
    <xf numFmtId="0" fontId="73" fillId="15" borderId="0" xfId="0" applyFont="1" applyFill="1" applyAlignment="1"/>
    <xf numFmtId="0" fontId="86" fillId="10" borderId="10" xfId="0" applyFont="1" applyFill="1" applyBorder="1" applyAlignment="1">
      <alignment horizontal="center"/>
    </xf>
    <xf numFmtId="0" fontId="69" fillId="15" borderId="10" xfId="0" applyFont="1" applyFill="1" applyBorder="1"/>
    <xf numFmtId="0" fontId="22" fillId="19" borderId="23" xfId="0" applyFont="1" applyFill="1" applyBorder="1" applyAlignment="1"/>
    <xf numFmtId="0" fontId="22" fillId="19" borderId="24" xfId="0" applyFont="1" applyFill="1" applyBorder="1" applyAlignment="1"/>
    <xf numFmtId="0" fontId="47" fillId="6" borderId="44" xfId="0" applyFont="1" applyFill="1" applyBorder="1" applyAlignment="1">
      <alignment horizontal="left" wrapText="1"/>
    </xf>
    <xf numFmtId="0" fontId="47" fillId="6" borderId="45" xfId="0" applyFont="1" applyFill="1" applyBorder="1" applyAlignment="1">
      <alignment horizontal="left" wrapText="1"/>
    </xf>
    <xf numFmtId="0" fontId="47" fillId="6" borderId="46" xfId="0" applyFont="1" applyFill="1" applyBorder="1" applyAlignment="1">
      <alignment horizontal="left" wrapText="1"/>
    </xf>
    <xf numFmtId="0" fontId="22" fillId="9" borderId="11" xfId="0" applyFont="1" applyFill="1" applyBorder="1" applyAlignment="1"/>
    <xf numFmtId="0" fontId="4" fillId="9" borderId="11" xfId="0" applyFont="1" applyFill="1" applyBorder="1" applyAlignment="1"/>
    <xf numFmtId="0" fontId="57" fillId="6" borderId="9" xfId="0" applyFont="1" applyFill="1" applyBorder="1" applyAlignment="1">
      <alignment horizontal="left" wrapText="1"/>
    </xf>
    <xf numFmtId="0" fontId="22" fillId="17" borderId="44" xfId="0" applyFont="1" applyFill="1" applyBorder="1" applyAlignment="1"/>
    <xf numFmtId="0" fontId="22" fillId="17" borderId="45" xfId="0" applyFont="1" applyFill="1" applyBorder="1" applyAlignment="1"/>
    <xf numFmtId="0" fontId="22" fillId="17" borderId="46" xfId="0" applyFont="1" applyFill="1" applyBorder="1" applyAlignment="1"/>
    <xf numFmtId="0" fontId="4" fillId="17" borderId="23" xfId="0" applyFont="1" applyFill="1" applyBorder="1" applyAlignment="1"/>
    <xf numFmtId="0" fontId="4" fillId="17" borderId="10" xfId="0" applyFont="1" applyFill="1" applyBorder="1" applyAlignment="1"/>
    <xf numFmtId="0" fontId="4" fillId="17" borderId="24" xfId="0" applyFont="1" applyFill="1" applyBorder="1" applyAlignment="1"/>
    <xf numFmtId="0" fontId="22" fillId="16" borderId="12" xfId="0" applyFont="1" applyFill="1" applyBorder="1"/>
    <xf numFmtId="0" fontId="22" fillId="16" borderId="10" xfId="0" applyFont="1" applyFill="1" applyBorder="1"/>
    <xf numFmtId="0" fontId="22" fillId="16" borderId="11" xfId="0" applyFont="1" applyFill="1" applyBorder="1"/>
    <xf numFmtId="0" fontId="22" fillId="18" borderId="12" xfId="0" applyFont="1" applyFill="1" applyBorder="1"/>
    <xf numFmtId="0" fontId="22" fillId="18" borderId="11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24" borderId="0" xfId="0" applyFont="1" applyFill="1" applyAlignment="1">
      <alignment horizontal="center"/>
    </xf>
    <xf numFmtId="0" fontId="95" fillId="24" borderId="0" xfId="0" applyFont="1" applyFill="1" applyAlignment="1">
      <alignment horizontal="center" vertical="center"/>
    </xf>
    <xf numFmtId="0" fontId="95" fillId="24" borderId="0" xfId="0" applyFont="1" applyFill="1" applyAlignment="1">
      <alignment horizontal="center"/>
    </xf>
    <xf numFmtId="0" fontId="0" fillId="24" borderId="0" xfId="0" applyFont="1" applyFill="1" applyAlignment="1"/>
    <xf numFmtId="0" fontId="104" fillId="27" borderId="63" xfId="0" applyFont="1" applyFill="1" applyBorder="1" applyAlignment="1"/>
    <xf numFmtId="0" fontId="104" fillId="27" borderId="64" xfId="0" applyFont="1" applyFill="1" applyBorder="1" applyAlignment="1"/>
    <xf numFmtId="0" fontId="0" fillId="0" borderId="41" xfId="0" applyFont="1" applyBorder="1" applyAlignment="1"/>
    <xf numFmtId="0" fontId="3" fillId="0" borderId="41" xfId="0" applyFont="1" applyBorder="1" applyAlignment="1"/>
    <xf numFmtId="0" fontId="104" fillId="27" borderId="69" xfId="0" applyFont="1" applyFill="1" applyBorder="1" applyAlignment="1">
      <alignment horizontal="center"/>
    </xf>
    <xf numFmtId="0" fontId="104" fillId="24" borderId="0" xfId="0" applyFont="1" applyFill="1" applyBorder="1" applyAlignment="1"/>
    <xf numFmtId="0" fontId="0" fillId="24" borderId="48" xfId="0" applyFont="1" applyFill="1" applyBorder="1" applyAlignment="1"/>
    <xf numFmtId="0" fontId="0" fillId="24" borderId="49" xfId="0" applyFont="1" applyFill="1" applyBorder="1" applyAlignment="1"/>
    <xf numFmtId="0" fontId="0" fillId="24" borderId="50" xfId="0" applyFont="1" applyFill="1" applyBorder="1" applyAlignment="1"/>
    <xf numFmtId="0" fontId="104" fillId="24" borderId="60" xfId="0" applyFont="1" applyFill="1" applyBorder="1" applyAlignment="1"/>
    <xf numFmtId="0" fontId="104" fillId="24" borderId="51" xfId="0" applyFont="1" applyFill="1" applyBorder="1" applyAlignment="1"/>
    <xf numFmtId="0" fontId="104" fillId="24" borderId="61" xfId="0" applyFont="1" applyFill="1" applyBorder="1" applyAlignment="1"/>
    <xf numFmtId="0" fontId="0" fillId="27" borderId="69" xfId="0" applyFont="1" applyFill="1" applyBorder="1" applyAlignment="1"/>
    <xf numFmtId="0" fontId="0" fillId="24" borderId="0" xfId="0" applyFont="1" applyFill="1" applyBorder="1" applyAlignment="1"/>
    <xf numFmtId="0" fontId="0" fillId="24" borderId="0" xfId="0" applyFont="1" applyFill="1" applyBorder="1" applyAlignment="1">
      <alignment horizontal="center"/>
    </xf>
    <xf numFmtId="0" fontId="0" fillId="0" borderId="74" xfId="0" applyFont="1" applyBorder="1" applyAlignment="1"/>
    <xf numFmtId="0" fontId="0" fillId="27" borderId="80" xfId="0" applyFont="1" applyFill="1" applyBorder="1" applyAlignment="1"/>
    <xf numFmtId="0" fontId="0" fillId="24" borderId="51" xfId="0" applyFont="1" applyFill="1" applyBorder="1" applyAlignment="1"/>
    <xf numFmtId="0" fontId="0" fillId="20" borderId="48" xfId="0" applyFont="1" applyFill="1" applyBorder="1" applyAlignment="1"/>
    <xf numFmtId="0" fontId="0" fillId="20" borderId="49" xfId="0" applyFont="1" applyFill="1" applyBorder="1" applyAlignment="1"/>
    <xf numFmtId="0" fontId="0" fillId="20" borderId="60" xfId="0" applyFont="1" applyFill="1" applyBorder="1" applyAlignment="1"/>
    <xf numFmtId="0" fontId="0" fillId="20" borderId="61" xfId="0" applyFont="1" applyFill="1" applyBorder="1" applyAlignment="1"/>
    <xf numFmtId="0" fontId="0" fillId="20" borderId="50" xfId="0" applyFont="1" applyFill="1" applyBorder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62" xfId="0" applyFont="1" applyBorder="1" applyAlignment="1">
      <alignment horizontal="center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0" fontId="116" fillId="24" borderId="0" xfId="0" applyFont="1" applyFill="1" applyBorder="1" applyAlignment="1"/>
    <xf numFmtId="0" fontId="0" fillId="0" borderId="74" xfId="0" applyFont="1" applyBorder="1" applyAlignment="1">
      <alignment horizontal="center" wrapText="1"/>
    </xf>
    <xf numFmtId="0" fontId="0" fillId="0" borderId="41" xfId="0" applyFont="1" applyBorder="1" applyAlignment="1">
      <alignment horizontal="center"/>
    </xf>
    <xf numFmtId="0" fontId="0" fillId="0" borderId="79" xfId="0" applyFont="1" applyBorder="1" applyAlignment="1">
      <alignment horizontal="center"/>
    </xf>
    <xf numFmtId="0" fontId="0" fillId="0" borderId="74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104" fillId="20" borderId="51" xfId="0" applyFont="1" applyFill="1" applyBorder="1" applyAlignment="1"/>
    <xf numFmtId="0" fontId="106" fillId="20" borderId="51" xfId="0" applyFont="1" applyFill="1" applyBorder="1" applyAlignment="1">
      <alignment horizontal="center"/>
    </xf>
    <xf numFmtId="0" fontId="116" fillId="24" borderId="0" xfId="0" applyFont="1" applyFill="1" applyBorder="1" applyAlignment="1">
      <alignment horizontal="center"/>
    </xf>
    <xf numFmtId="0" fontId="118" fillId="24" borderId="0" xfId="0" applyFont="1" applyFill="1" applyAlignment="1">
      <alignment horizontal="center"/>
    </xf>
    <xf numFmtId="0" fontId="116" fillId="24" borderId="0" xfId="0" applyFont="1" applyFill="1" applyAlignment="1"/>
    <xf numFmtId="164" fontId="116" fillId="24" borderId="0" xfId="0" applyNumberFormat="1" applyFont="1" applyFill="1" applyAlignment="1">
      <alignment horizontal="center"/>
    </xf>
    <xf numFmtId="165" fontId="116" fillId="24" borderId="0" xfId="0" applyNumberFormat="1" applyFont="1" applyFill="1" applyAlignment="1"/>
    <xf numFmtId="0" fontId="119" fillId="24" borderId="0" xfId="0" applyFont="1" applyFill="1" applyAlignment="1"/>
    <xf numFmtId="0" fontId="120" fillId="24" borderId="0" xfId="0" applyFont="1" applyFill="1" applyAlignment="1">
      <alignment horizontal="center" vertical="center" wrapText="1"/>
    </xf>
    <xf numFmtId="0" fontId="119" fillId="24" borderId="0" xfId="0" applyFont="1" applyFill="1" applyAlignment="1">
      <alignment vertical="center"/>
    </xf>
    <xf numFmtId="0" fontId="119" fillId="24" borderId="0" xfId="0" applyFont="1" applyFill="1" applyAlignment="1">
      <alignment vertical="center" wrapText="1"/>
    </xf>
    <xf numFmtId="0" fontId="120" fillId="24" borderId="0" xfId="0" applyFont="1" applyFill="1" applyAlignment="1">
      <alignment vertical="center" wrapText="1"/>
    </xf>
    <xf numFmtId="0" fontId="119" fillId="24" borderId="0" xfId="0" applyFont="1" applyFill="1" applyAlignment="1">
      <alignment horizontal="center" vertical="center"/>
    </xf>
    <xf numFmtId="0" fontId="119" fillId="24" borderId="0" xfId="0" applyFont="1" applyFill="1" applyAlignment="1">
      <alignment horizontal="center" vertical="center" wrapText="1"/>
    </xf>
    <xf numFmtId="0" fontId="119" fillId="24" borderId="0" xfId="0" applyFont="1" applyFill="1" applyAlignment="1">
      <alignment horizontal="center" vertical="top" wrapText="1"/>
    </xf>
    <xf numFmtId="0" fontId="119" fillId="24" borderId="0" xfId="0" applyFont="1" applyFill="1" applyAlignment="1">
      <alignment vertical="top" wrapText="1"/>
    </xf>
    <xf numFmtId="0" fontId="119" fillId="24" borderId="0" xfId="0" applyFont="1" applyFill="1" applyAlignment="1">
      <alignment wrapText="1"/>
    </xf>
    <xf numFmtId="0" fontId="116" fillId="24" borderId="0" xfId="0" applyFont="1" applyFill="1" applyAlignment="1">
      <alignment wrapText="1"/>
    </xf>
    <xf numFmtId="0" fontId="120" fillId="24" borderId="0" xfId="0" applyFont="1" applyFill="1" applyAlignment="1">
      <alignment vertical="top" wrapText="1"/>
    </xf>
    <xf numFmtId="164" fontId="116" fillId="24" borderId="0" xfId="0" applyNumberFormat="1" applyFont="1" applyFill="1" applyAlignment="1"/>
    <xf numFmtId="0" fontId="116" fillId="24" borderId="0" xfId="0" applyFont="1" applyFill="1" applyAlignment="1">
      <alignment horizontal="center"/>
    </xf>
    <xf numFmtId="9" fontId="116" fillId="24" borderId="0" xfId="0" applyNumberFormat="1" applyFont="1" applyFill="1" applyAlignment="1"/>
    <xf numFmtId="9" fontId="116" fillId="24" borderId="0" xfId="1" applyFont="1" applyFill="1" applyAlignment="1">
      <alignment horizontal="center"/>
    </xf>
    <xf numFmtId="0" fontId="122" fillId="32" borderId="0" xfId="0" applyFont="1" applyFill="1" applyAlignment="1">
      <alignment wrapText="1"/>
    </xf>
    <xf numFmtId="0" fontId="122" fillId="32" borderId="0" xfId="0" applyFont="1" applyFill="1" applyAlignment="1"/>
    <xf numFmtId="164" fontId="122" fillId="32" borderId="0" xfId="0" applyNumberFormat="1" applyFont="1" applyFill="1" applyAlignment="1"/>
    <xf numFmtId="165" fontId="122" fillId="32" borderId="0" xfId="0" applyNumberFormat="1" applyFont="1" applyFill="1" applyAlignment="1"/>
    <xf numFmtId="0" fontId="122" fillId="32" borderId="0" xfId="0" applyFont="1" applyFill="1" applyAlignment="1">
      <alignment horizontal="center"/>
    </xf>
    <xf numFmtId="0" fontId="122" fillId="32" borderId="0" xfId="0" applyFont="1" applyFill="1" applyBorder="1" applyAlignment="1"/>
    <xf numFmtId="0" fontId="1" fillId="24" borderId="0" xfId="0" applyFont="1" applyFill="1" applyBorder="1" applyAlignment="1"/>
    <xf numFmtId="0" fontId="6" fillId="2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8" xfId="0" applyFont="1" applyBorder="1"/>
    <xf numFmtId="0" fontId="7" fillId="3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14" xfId="0" applyFont="1" applyBorder="1"/>
    <xf numFmtId="0" fontId="8" fillId="3" borderId="0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5" fillId="0" borderId="4" xfId="0" applyFont="1" applyBorder="1"/>
    <xf numFmtId="0" fontId="5" fillId="0" borderId="15" xfId="0" applyFont="1" applyBorder="1"/>
    <xf numFmtId="0" fontId="10" fillId="7" borderId="6" xfId="0" applyFont="1" applyFill="1" applyBorder="1" applyAlignment="1">
      <alignment horizontal="left" vertical="top"/>
    </xf>
    <xf numFmtId="0" fontId="5" fillId="7" borderId="6" xfId="0" applyFont="1" applyFill="1" applyBorder="1"/>
    <xf numFmtId="0" fontId="5" fillId="7" borderId="12" xfId="0" applyFont="1" applyFill="1" applyBorder="1"/>
    <xf numFmtId="0" fontId="4" fillId="7" borderId="11" xfId="0" applyFont="1" applyFill="1" applyBorder="1" applyAlignment="1">
      <alignment horizontal="center"/>
    </xf>
    <xf numFmtId="0" fontId="16" fillId="7" borderId="11" xfId="0" applyFont="1" applyFill="1" applyBorder="1" applyAlignment="1">
      <alignment horizontal="center" wrapText="1"/>
    </xf>
    <xf numFmtId="0" fontId="14" fillId="7" borderId="1" xfId="0" applyFont="1" applyFill="1" applyBorder="1" applyAlignment="1">
      <alignment horizontal="left" wrapText="1"/>
    </xf>
    <xf numFmtId="0" fontId="5" fillId="7" borderId="2" xfId="0" applyFont="1" applyFill="1" applyBorder="1"/>
    <xf numFmtId="0" fontId="5" fillId="7" borderId="8" xfId="0" applyFont="1" applyFill="1" applyBorder="1"/>
    <xf numFmtId="0" fontId="14" fillId="7" borderId="11" xfId="0" applyFont="1" applyFill="1" applyBorder="1" applyAlignment="1">
      <alignment horizontal="center" wrapText="1"/>
    </xf>
    <xf numFmtId="0" fontId="29" fillId="7" borderId="11" xfId="0" applyFont="1" applyFill="1" applyBorder="1" applyAlignment="1">
      <alignment horizontal="left" wrapText="1"/>
    </xf>
    <xf numFmtId="0" fontId="30" fillId="7" borderId="6" xfId="0" applyFont="1" applyFill="1" applyBorder="1"/>
    <xf numFmtId="0" fontId="30" fillId="7" borderId="12" xfId="0" applyFont="1" applyFill="1" applyBorder="1"/>
    <xf numFmtId="0" fontId="40" fillId="7" borderId="11" xfId="0" applyFont="1" applyFill="1" applyBorder="1" applyAlignment="1">
      <alignment horizontal="left" wrapText="1"/>
    </xf>
    <xf numFmtId="0" fontId="43" fillId="7" borderId="11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42" fillId="7" borderId="11" xfId="0" applyFont="1" applyFill="1" applyBorder="1" applyAlignment="1">
      <alignment vertical="center" wrapText="1"/>
    </xf>
    <xf numFmtId="0" fontId="44" fillId="7" borderId="6" xfId="0" applyFont="1" applyFill="1" applyBorder="1" applyAlignment="1">
      <alignment vertical="center"/>
    </xf>
    <xf numFmtId="0" fontId="44" fillId="7" borderId="12" xfId="0" applyFont="1" applyFill="1" applyBorder="1" applyAlignment="1">
      <alignment vertical="center"/>
    </xf>
    <xf numFmtId="0" fontId="42" fillId="7" borderId="11" xfId="0" applyFont="1" applyFill="1" applyBorder="1" applyAlignment="1">
      <alignment horizontal="left" wrapText="1"/>
    </xf>
    <xf numFmtId="0" fontId="44" fillId="7" borderId="6" xfId="0" applyFont="1" applyFill="1" applyBorder="1"/>
    <xf numFmtId="0" fontId="44" fillId="7" borderId="12" xfId="0" applyFont="1" applyFill="1" applyBorder="1"/>
    <xf numFmtId="0" fontId="42" fillId="7" borderId="11" xfId="0" applyFont="1" applyFill="1" applyBorder="1" applyAlignment="1">
      <alignment horizontal="left" vertical="center" wrapText="1"/>
    </xf>
    <xf numFmtId="0" fontId="43" fillId="7" borderId="11" xfId="0" applyFont="1" applyFill="1" applyBorder="1" applyAlignment="1">
      <alignment horizontal="left" wrapText="1"/>
    </xf>
    <xf numFmtId="0" fontId="40" fillId="7" borderId="11" xfId="0" applyFont="1" applyFill="1" applyBorder="1" applyAlignment="1">
      <alignment horizontal="left" vertical="center" wrapText="1"/>
    </xf>
    <xf numFmtId="0" fontId="41" fillId="7" borderId="6" xfId="0" applyFont="1" applyFill="1" applyBorder="1" applyAlignment="1">
      <alignment vertical="center"/>
    </xf>
    <xf numFmtId="0" fontId="41" fillId="7" borderId="12" xfId="0" applyFont="1" applyFill="1" applyBorder="1" applyAlignment="1">
      <alignment vertical="center"/>
    </xf>
    <xf numFmtId="0" fontId="23" fillId="7" borderId="11" xfId="0" applyFont="1" applyFill="1" applyBorder="1" applyAlignment="1">
      <alignment vertical="center" wrapText="1"/>
    </xf>
    <xf numFmtId="0" fontId="31" fillId="7" borderId="6" xfId="0" applyFont="1" applyFill="1" applyBorder="1" applyAlignment="1">
      <alignment vertical="center"/>
    </xf>
    <xf numFmtId="0" fontId="31" fillId="7" borderId="12" xfId="0" applyFont="1" applyFill="1" applyBorder="1" applyAlignment="1">
      <alignment vertical="center"/>
    </xf>
    <xf numFmtId="0" fontId="43" fillId="7" borderId="13" xfId="0" applyFont="1" applyFill="1" applyBorder="1" applyAlignment="1">
      <alignment horizontal="left" vertical="center" wrapText="1"/>
    </xf>
    <xf numFmtId="0" fontId="5" fillId="7" borderId="4" xfId="0" applyFont="1" applyFill="1" applyBorder="1"/>
    <xf numFmtId="0" fontId="5" fillId="7" borderId="15" xfId="0" applyFont="1" applyFill="1" applyBorder="1"/>
    <xf numFmtId="16" fontId="16" fillId="5" borderId="11" xfId="0" applyNumberFormat="1" applyFont="1" applyFill="1" applyBorder="1" applyAlignment="1">
      <alignment horizontal="center" wrapText="1"/>
    </xf>
    <xf numFmtId="0" fontId="5" fillId="5" borderId="6" xfId="0" applyFont="1" applyFill="1" applyBorder="1"/>
    <xf numFmtId="16" fontId="46" fillId="10" borderId="11" xfId="0" applyNumberFormat="1" applyFont="1" applyFill="1" applyBorder="1" applyAlignment="1">
      <alignment horizontal="center" wrapText="1"/>
    </xf>
    <xf numFmtId="0" fontId="84" fillId="10" borderId="6" xfId="0" applyFont="1" applyFill="1" applyBorder="1" applyAlignment="1">
      <alignment horizontal="center"/>
    </xf>
    <xf numFmtId="0" fontId="83" fillId="10" borderId="11" xfId="0" applyFont="1" applyFill="1" applyBorder="1" applyAlignment="1">
      <alignment horizontal="center"/>
    </xf>
    <xf numFmtId="0" fontId="69" fillId="8" borderId="11" xfId="0" applyFont="1" applyFill="1" applyBorder="1" applyAlignment="1">
      <alignment horizontal="center"/>
    </xf>
    <xf numFmtId="0" fontId="73" fillId="8" borderId="6" xfId="0" applyFont="1" applyFill="1" applyBorder="1"/>
    <xf numFmtId="0" fontId="73" fillId="8" borderId="12" xfId="0" applyFont="1" applyFill="1" applyBorder="1"/>
    <xf numFmtId="0" fontId="71" fillId="8" borderId="11" xfId="0" applyFont="1" applyFill="1" applyBorder="1" applyAlignment="1">
      <alignment horizontal="center"/>
    </xf>
    <xf numFmtId="0" fontId="72" fillId="8" borderId="11" xfId="0" applyFont="1" applyFill="1" applyBorder="1" applyAlignment="1">
      <alignment horizontal="center"/>
    </xf>
    <xf numFmtId="0" fontId="91" fillId="6" borderId="3" xfId="0" applyFont="1" applyFill="1" applyBorder="1" applyAlignment="1">
      <alignment horizontal="center" vertical="center"/>
    </xf>
    <xf numFmtId="0" fontId="73" fillId="6" borderId="0" xfId="0" applyFont="1" applyFill="1" applyAlignment="1"/>
    <xf numFmtId="0" fontId="90" fillId="6" borderId="1" xfId="0" applyFont="1" applyFill="1" applyBorder="1" applyAlignment="1">
      <alignment horizontal="center"/>
    </xf>
    <xf numFmtId="0" fontId="73" fillId="6" borderId="2" xfId="0" applyFont="1" applyFill="1" applyBorder="1"/>
    <xf numFmtId="0" fontId="73" fillId="6" borderId="8" xfId="0" applyFont="1" applyFill="1" applyBorder="1"/>
    <xf numFmtId="0" fontId="92" fillId="6" borderId="3" xfId="0" applyFont="1" applyFill="1" applyBorder="1" applyAlignment="1">
      <alignment horizontal="center"/>
    </xf>
    <xf numFmtId="0" fontId="72" fillId="8" borderId="1" xfId="0" applyFont="1" applyFill="1" applyBorder="1" applyAlignment="1">
      <alignment horizontal="center"/>
    </xf>
    <xf numFmtId="0" fontId="73" fillId="8" borderId="2" xfId="0" applyFont="1" applyFill="1" applyBorder="1"/>
    <xf numFmtId="0" fontId="73" fillId="8" borderId="8" xfId="0" applyFont="1" applyFill="1" applyBorder="1"/>
    <xf numFmtId="0" fontId="72" fillId="6" borderId="13" xfId="0" applyFont="1" applyFill="1" applyBorder="1" applyAlignment="1">
      <alignment horizontal="center"/>
    </xf>
    <xf numFmtId="0" fontId="73" fillId="6" borderId="4" xfId="0" applyFont="1" applyFill="1" applyBorder="1"/>
    <xf numFmtId="0" fontId="72" fillId="8" borderId="6" xfId="0" applyFont="1" applyFill="1" applyBorder="1" applyAlignment="1">
      <alignment horizontal="center"/>
    </xf>
    <xf numFmtId="0" fontId="90" fillId="6" borderId="11" xfId="0" applyFont="1" applyFill="1" applyBorder="1" applyAlignment="1">
      <alignment horizontal="center"/>
    </xf>
    <xf numFmtId="0" fontId="73" fillId="6" borderId="6" xfId="0" applyFont="1" applyFill="1" applyBorder="1"/>
    <xf numFmtId="0" fontId="73" fillId="6" borderId="12" xfId="0" applyFont="1" applyFill="1" applyBorder="1"/>
    <xf numFmtId="0" fontId="76" fillId="8" borderId="13" xfId="0" applyFont="1" applyFill="1" applyBorder="1" applyAlignment="1">
      <alignment horizontal="center"/>
    </xf>
    <xf numFmtId="0" fontId="73" fillId="8" borderId="15" xfId="0" applyFont="1" applyFill="1" applyBorder="1"/>
    <xf numFmtId="0" fontId="72" fillId="8" borderId="13" xfId="0" applyFont="1" applyFill="1" applyBorder="1" applyAlignment="1">
      <alignment horizontal="center"/>
    </xf>
    <xf numFmtId="0" fontId="73" fillId="8" borderId="4" xfId="0" applyFont="1" applyFill="1" applyBorder="1"/>
    <xf numFmtId="0" fontId="77" fillId="8" borderId="13" xfId="0" applyFont="1" applyFill="1" applyBorder="1" applyAlignment="1">
      <alignment horizontal="center"/>
    </xf>
    <xf numFmtId="0" fontId="78" fillId="8" borderId="11" xfId="0" applyFont="1" applyFill="1" applyBorder="1" applyAlignment="1">
      <alignment horizontal="center"/>
    </xf>
    <xf numFmtId="0" fontId="72" fillId="6" borderId="1" xfId="0" applyFont="1" applyFill="1" applyBorder="1" applyAlignment="1">
      <alignment horizontal="center" vertical="center"/>
    </xf>
    <xf numFmtId="9" fontId="78" fillId="8" borderId="11" xfId="0" applyNumberFormat="1" applyFont="1" applyFill="1" applyBorder="1" applyAlignment="1">
      <alignment horizontal="center"/>
    </xf>
    <xf numFmtId="10" fontId="78" fillId="8" borderId="11" xfId="0" applyNumberFormat="1" applyFont="1" applyFill="1" applyBorder="1" applyAlignment="1">
      <alignment horizontal="center"/>
    </xf>
    <xf numFmtId="0" fontId="72" fillId="6" borderId="9" xfId="0" applyFont="1" applyFill="1" applyBorder="1" applyAlignment="1">
      <alignment horizontal="center" vertical="center" textRotation="90"/>
    </xf>
    <xf numFmtId="0" fontId="73" fillId="6" borderId="17" xfId="0" applyFont="1" applyFill="1" applyBorder="1"/>
    <xf numFmtId="0" fontId="73" fillId="6" borderId="16" xfId="0" applyFont="1" applyFill="1" applyBorder="1"/>
    <xf numFmtId="0" fontId="22" fillId="20" borderId="1" xfId="0" applyFont="1" applyFill="1" applyBorder="1" applyAlignment="1">
      <alignment horizontal="center" wrapText="1"/>
    </xf>
    <xf numFmtId="0" fontId="22" fillId="20" borderId="8" xfId="0" applyFont="1" applyFill="1" applyBorder="1" applyAlignment="1">
      <alignment horizontal="center" wrapText="1"/>
    </xf>
    <xf numFmtId="0" fontId="22" fillId="20" borderId="3" xfId="0" applyFont="1" applyFill="1" applyBorder="1" applyAlignment="1">
      <alignment horizontal="center" wrapText="1"/>
    </xf>
    <xf numFmtId="0" fontId="22" fillId="20" borderId="14" xfId="0" applyFont="1" applyFill="1" applyBorder="1" applyAlignment="1">
      <alignment horizontal="center" wrapText="1"/>
    </xf>
    <xf numFmtId="0" fontId="22" fillId="20" borderId="13" xfId="0" applyFont="1" applyFill="1" applyBorder="1" applyAlignment="1">
      <alignment horizontal="center" wrapText="1"/>
    </xf>
    <xf numFmtId="0" fontId="22" fillId="20" borderId="15" xfId="0" applyFont="1" applyFill="1" applyBorder="1" applyAlignment="1">
      <alignment horizontal="center" wrapText="1"/>
    </xf>
    <xf numFmtId="0" fontId="22" fillId="0" borderId="60" xfId="0" applyFont="1" applyBorder="1" applyAlignment="1">
      <alignment horizontal="center"/>
    </xf>
    <xf numFmtId="0" fontId="22" fillId="0" borderId="51" xfId="0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72" fillId="6" borderId="8" xfId="0" applyFont="1" applyFill="1" applyBorder="1" applyAlignment="1">
      <alignment horizontal="center"/>
    </xf>
    <xf numFmtId="0" fontId="73" fillId="6" borderId="15" xfId="0" applyFont="1" applyFill="1" applyBorder="1"/>
    <xf numFmtId="0" fontId="27" fillId="0" borderId="1" xfId="0" applyFont="1" applyBorder="1" applyAlignment="1">
      <alignment horizontal="center" vertical="center"/>
    </xf>
    <xf numFmtId="0" fontId="5" fillId="0" borderId="13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/>
    <xf numFmtId="0" fontId="26" fillId="0" borderId="1" xfId="0" applyFont="1" applyBorder="1" applyAlignment="1">
      <alignment horizontal="center" vertical="center" wrapText="1"/>
    </xf>
    <xf numFmtId="0" fontId="91" fillId="6" borderId="1" xfId="0" applyFont="1" applyFill="1" applyBorder="1" applyAlignment="1">
      <alignment horizontal="center" vertical="center" textRotation="90" wrapText="1"/>
    </xf>
    <xf numFmtId="0" fontId="73" fillId="6" borderId="3" xfId="0" applyFont="1" applyFill="1" applyBorder="1"/>
    <xf numFmtId="0" fontId="73" fillId="6" borderId="13" xfId="0" applyFont="1" applyFill="1" applyBorder="1"/>
    <xf numFmtId="0" fontId="74" fillId="6" borderId="9" xfId="0" applyFont="1" applyFill="1" applyBorder="1" applyAlignment="1">
      <alignment horizontal="center" vertical="center" textRotation="90" wrapText="1"/>
    </xf>
    <xf numFmtId="0" fontId="48" fillId="2" borderId="2" xfId="0" applyFont="1" applyFill="1" applyBorder="1" applyAlignment="1">
      <alignment horizontal="center" wrapText="1"/>
    </xf>
    <xf numFmtId="0" fontId="49" fillId="0" borderId="2" xfId="0" applyFont="1" applyBorder="1"/>
    <xf numFmtId="0" fontId="49" fillId="0" borderId="8" xfId="0" applyFont="1" applyBorder="1"/>
    <xf numFmtId="0" fontId="9" fillId="3" borderId="4" xfId="0" applyFont="1" applyFill="1" applyBorder="1" applyAlignment="1">
      <alignment horizontal="center"/>
    </xf>
    <xf numFmtId="0" fontId="46" fillId="7" borderId="11" xfId="0" applyFont="1" applyFill="1" applyBorder="1" applyAlignment="1">
      <alignment horizontal="left" wrapText="1"/>
    </xf>
    <xf numFmtId="0" fontId="50" fillId="7" borderId="6" xfId="0" applyFont="1" applyFill="1" applyBorder="1"/>
    <xf numFmtId="0" fontId="50" fillId="7" borderId="12" xfId="0" applyFont="1" applyFill="1" applyBorder="1"/>
    <xf numFmtId="0" fontId="42" fillId="7" borderId="11" xfId="0" applyFont="1" applyFill="1" applyBorder="1" applyAlignment="1">
      <alignment horizontal="center" vertical="center" wrapText="1"/>
    </xf>
    <xf numFmtId="0" fontId="40" fillId="7" borderId="11" xfId="0" applyFont="1" applyFill="1" applyBorder="1" applyAlignment="1">
      <alignment horizontal="left" vertical="top" wrapText="1"/>
    </xf>
    <xf numFmtId="0" fontId="41" fillId="7" borderId="6" xfId="0" applyFont="1" applyFill="1" applyBorder="1" applyAlignment="1">
      <alignment vertical="top"/>
    </xf>
    <xf numFmtId="0" fontId="41" fillId="7" borderId="12" xfId="0" applyFont="1" applyFill="1" applyBorder="1" applyAlignment="1">
      <alignment vertical="top"/>
    </xf>
    <xf numFmtId="0" fontId="14" fillId="7" borderId="11" xfId="0" applyFont="1" applyFill="1" applyBorder="1" applyAlignment="1">
      <alignment horizontal="left" wrapText="1"/>
    </xf>
    <xf numFmtId="16" fontId="16" fillId="6" borderId="11" xfId="0" applyNumberFormat="1" applyFont="1" applyFill="1" applyBorder="1" applyAlignment="1">
      <alignment horizontal="center" wrapText="1"/>
    </xf>
    <xf numFmtId="0" fontId="5" fillId="6" borderId="12" xfId="0" applyFont="1" applyFill="1" applyBorder="1"/>
    <xf numFmtId="16" fontId="46" fillId="9" borderId="11" xfId="0" applyNumberFormat="1" applyFont="1" applyFill="1" applyBorder="1" applyAlignment="1">
      <alignment horizontal="center" wrapText="1"/>
    </xf>
    <xf numFmtId="0" fontId="84" fillId="9" borderId="6" xfId="0" applyFont="1" applyFill="1" applyBorder="1"/>
    <xf numFmtId="16" fontId="46" fillId="9" borderId="18" xfId="0" applyNumberFormat="1" applyFont="1" applyFill="1" applyBorder="1" applyAlignment="1">
      <alignment horizontal="center" wrapText="1"/>
    </xf>
    <xf numFmtId="0" fontId="83" fillId="9" borderId="11" xfId="0" applyFont="1" applyFill="1" applyBorder="1" applyAlignment="1">
      <alignment horizontal="center"/>
    </xf>
    <xf numFmtId="0" fontId="69" fillId="8" borderId="6" xfId="0" applyFont="1" applyFill="1" applyBorder="1" applyAlignment="1">
      <alignment horizontal="center"/>
    </xf>
    <xf numFmtId="0" fontId="71" fillId="8" borderId="13" xfId="0" applyFont="1" applyFill="1" applyBorder="1" applyAlignment="1">
      <alignment horizontal="center"/>
    </xf>
    <xf numFmtId="0" fontId="72" fillId="8" borderId="2" xfId="0" applyFont="1" applyFill="1" applyBorder="1" applyAlignment="1">
      <alignment horizontal="center"/>
    </xf>
    <xf numFmtId="0" fontId="76" fillId="8" borderId="4" xfId="0" applyFont="1" applyFill="1" applyBorder="1" applyAlignment="1">
      <alignment horizontal="center"/>
    </xf>
    <xf numFmtId="9" fontId="78" fillId="8" borderId="6" xfId="0" applyNumberFormat="1" applyFont="1" applyFill="1" applyBorder="1" applyAlignment="1">
      <alignment horizontal="center"/>
    </xf>
    <xf numFmtId="0" fontId="22" fillId="20" borderId="53" xfId="0" applyFont="1" applyFill="1" applyBorder="1" applyAlignment="1">
      <alignment horizontal="center"/>
    </xf>
    <xf numFmtId="0" fontId="22" fillId="20" borderId="54" xfId="0" applyFont="1" applyFill="1" applyBorder="1" applyAlignment="1">
      <alignment horizontal="center"/>
    </xf>
    <xf numFmtId="0" fontId="22" fillId="20" borderId="3" xfId="0" applyFont="1" applyFill="1" applyBorder="1" applyAlignment="1">
      <alignment horizontal="center"/>
    </xf>
    <xf numFmtId="0" fontId="22" fillId="20" borderId="14" xfId="0" applyFont="1" applyFill="1" applyBorder="1" applyAlignment="1">
      <alignment horizontal="center"/>
    </xf>
    <xf numFmtId="0" fontId="22" fillId="20" borderId="55" xfId="0" applyFont="1" applyFill="1" applyBorder="1" applyAlignment="1">
      <alignment horizontal="center"/>
    </xf>
    <xf numFmtId="0" fontId="22" fillId="20" borderId="56" xfId="0" applyFont="1" applyFill="1" applyBorder="1" applyAlignment="1">
      <alignment horizontal="center"/>
    </xf>
    <xf numFmtId="0" fontId="93" fillId="0" borderId="28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52" fillId="3" borderId="0" xfId="0" applyFont="1" applyFill="1" applyBorder="1" applyAlignment="1">
      <alignment horizontal="center" vertical="center"/>
    </xf>
    <xf numFmtId="0" fontId="41" fillId="0" borderId="0" xfId="0" applyFont="1" applyBorder="1"/>
    <xf numFmtId="0" fontId="41" fillId="0" borderId="14" xfId="0" applyFont="1" applyBorder="1"/>
    <xf numFmtId="0" fontId="9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4" fillId="7" borderId="1" xfId="0" applyFont="1" applyFill="1" applyBorder="1" applyAlignment="1">
      <alignment horizontal="center"/>
    </xf>
    <xf numFmtId="0" fontId="42" fillId="7" borderId="20" xfId="0" applyFont="1" applyFill="1" applyBorder="1" applyAlignment="1">
      <alignment horizontal="left" vertical="center" wrapText="1"/>
    </xf>
    <xf numFmtId="0" fontId="44" fillId="7" borderId="21" xfId="0" applyFont="1" applyFill="1" applyBorder="1" applyAlignment="1">
      <alignment vertical="center"/>
    </xf>
    <xf numFmtId="0" fontId="44" fillId="7" borderId="22" xfId="0" applyFont="1" applyFill="1" applyBorder="1" applyAlignment="1">
      <alignment vertical="center"/>
    </xf>
    <xf numFmtId="0" fontId="42" fillId="7" borderId="20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left" wrapText="1"/>
    </xf>
    <xf numFmtId="0" fontId="5" fillId="7" borderId="21" xfId="0" applyFont="1" applyFill="1" applyBorder="1"/>
    <xf numFmtId="0" fontId="43" fillId="7" borderId="20" xfId="0" applyFont="1" applyFill="1" applyBorder="1" applyAlignment="1">
      <alignment horizontal="left" wrapText="1"/>
    </xf>
    <xf numFmtId="0" fontId="5" fillId="7" borderId="22" xfId="0" applyFont="1" applyFill="1" applyBorder="1"/>
    <xf numFmtId="0" fontId="40" fillId="7" borderId="20" xfId="0" applyFont="1" applyFill="1" applyBorder="1" applyAlignment="1">
      <alignment horizontal="left" vertical="center" wrapText="1"/>
    </xf>
    <xf numFmtId="0" fontId="41" fillId="7" borderId="21" xfId="0" applyFont="1" applyFill="1" applyBorder="1" applyAlignment="1">
      <alignment vertical="center"/>
    </xf>
    <xf numFmtId="0" fontId="41" fillId="7" borderId="22" xfId="0" applyFont="1" applyFill="1" applyBorder="1" applyAlignment="1">
      <alignment vertical="center"/>
    </xf>
    <xf numFmtId="0" fontId="40" fillId="7" borderId="20" xfId="0" applyFont="1" applyFill="1" applyBorder="1" applyAlignment="1">
      <alignment horizontal="left" wrapText="1"/>
    </xf>
    <xf numFmtId="0" fontId="41" fillId="7" borderId="21" xfId="0" applyFont="1" applyFill="1" applyBorder="1"/>
    <xf numFmtId="0" fontId="41" fillId="7" borderId="22" xfId="0" applyFont="1" applyFill="1" applyBorder="1"/>
    <xf numFmtId="0" fontId="43" fillId="7" borderId="20" xfId="0" applyFont="1" applyFill="1" applyBorder="1" applyAlignment="1">
      <alignment horizontal="left" vertical="center" wrapText="1"/>
    </xf>
    <xf numFmtId="0" fontId="5" fillId="7" borderId="21" xfId="0" applyFont="1" applyFill="1" applyBorder="1" applyAlignment="1">
      <alignment vertical="center"/>
    </xf>
    <xf numFmtId="0" fontId="5" fillId="7" borderId="22" xfId="0" applyFont="1" applyFill="1" applyBorder="1" applyAlignment="1">
      <alignment vertical="center"/>
    </xf>
    <xf numFmtId="0" fontId="42" fillId="7" borderId="20" xfId="0" applyFont="1" applyFill="1" applyBorder="1" applyAlignment="1">
      <alignment horizontal="left" wrapText="1"/>
    </xf>
    <xf numFmtId="0" fontId="44" fillId="7" borderId="21" xfId="0" applyFont="1" applyFill="1" applyBorder="1"/>
    <xf numFmtId="0" fontId="44" fillId="7" borderId="22" xfId="0" applyFont="1" applyFill="1" applyBorder="1"/>
    <xf numFmtId="0" fontId="14" fillId="7" borderId="20" xfId="0" applyFont="1" applyFill="1" applyBorder="1" applyAlignment="1">
      <alignment horizontal="left" vertical="center" wrapText="1"/>
    </xf>
    <xf numFmtId="0" fontId="5" fillId="6" borderId="6" xfId="0" applyFont="1" applyFill="1" applyBorder="1"/>
    <xf numFmtId="16" fontId="16" fillId="9" borderId="11" xfId="0" applyNumberFormat="1" applyFont="1" applyFill="1" applyBorder="1" applyAlignment="1">
      <alignment horizontal="center" wrapText="1"/>
    </xf>
    <xf numFmtId="0" fontId="5" fillId="9" borderId="6" xfId="0" applyFont="1" applyFill="1" applyBorder="1"/>
    <xf numFmtId="0" fontId="4" fillId="9" borderId="11" xfId="0" applyFont="1" applyFill="1" applyBorder="1" applyAlignment="1">
      <alignment horizontal="center"/>
    </xf>
    <xf numFmtId="0" fontId="16" fillId="9" borderId="11" xfId="0" applyFont="1" applyFill="1" applyBorder="1" applyAlignment="1">
      <alignment horizontal="center" wrapText="1"/>
    </xf>
    <xf numFmtId="0" fontId="69" fillId="8" borderId="27" xfId="0" applyFont="1" applyFill="1" applyBorder="1" applyAlignment="1">
      <alignment horizontal="center"/>
    </xf>
    <xf numFmtId="0" fontId="71" fillId="8" borderId="27" xfId="0" applyFont="1" applyFill="1" applyBorder="1" applyAlignment="1">
      <alignment horizontal="center"/>
    </xf>
    <xf numFmtId="0" fontId="72" fillId="8" borderId="27" xfId="0" applyFont="1" applyFill="1" applyBorder="1" applyAlignment="1">
      <alignment horizontal="center"/>
    </xf>
    <xf numFmtId="0" fontId="63" fillId="6" borderId="3" xfId="0" applyFont="1" applyFill="1" applyBorder="1" applyAlignment="1">
      <alignment horizontal="center" vertical="center"/>
    </xf>
    <xf numFmtId="0" fontId="53" fillId="6" borderId="0" xfId="0" applyFont="1" applyFill="1" applyAlignment="1"/>
    <xf numFmtId="0" fontId="62" fillId="6" borderId="1" xfId="0" applyFont="1" applyFill="1" applyBorder="1" applyAlignment="1">
      <alignment horizontal="center"/>
    </xf>
    <xf numFmtId="0" fontId="53" fillId="6" borderId="2" xfId="0" applyFont="1" applyFill="1" applyBorder="1"/>
    <xf numFmtId="0" fontId="53" fillId="6" borderId="8" xfId="0" applyFont="1" applyFill="1" applyBorder="1"/>
    <xf numFmtId="0" fontId="65" fillId="6" borderId="3" xfId="0" applyFont="1" applyFill="1" applyBorder="1" applyAlignment="1">
      <alignment horizontal="center"/>
    </xf>
    <xf numFmtId="0" fontId="72" fillId="8" borderId="28" xfId="0" applyFont="1" applyFill="1" applyBorder="1" applyAlignment="1">
      <alignment horizontal="center"/>
    </xf>
    <xf numFmtId="0" fontId="72" fillId="8" borderId="32" xfId="0" applyFont="1" applyFill="1" applyBorder="1" applyAlignment="1">
      <alignment horizontal="center"/>
    </xf>
    <xf numFmtId="0" fontId="73" fillId="8" borderId="33" xfId="0" applyFont="1" applyFill="1" applyBorder="1"/>
    <xf numFmtId="0" fontId="73" fillId="8" borderId="34" xfId="0" applyFont="1" applyFill="1" applyBorder="1"/>
    <xf numFmtId="0" fontId="72" fillId="8" borderId="37" xfId="0" applyFont="1" applyFill="1" applyBorder="1" applyAlignment="1">
      <alignment horizontal="center"/>
    </xf>
    <xf numFmtId="0" fontId="64" fillId="6" borderId="13" xfId="0" applyFont="1" applyFill="1" applyBorder="1" applyAlignment="1">
      <alignment horizontal="center"/>
    </xf>
    <xf numFmtId="0" fontId="53" fillId="6" borderId="4" xfId="0" applyFont="1" applyFill="1" applyBorder="1"/>
    <xf numFmtId="0" fontId="62" fillId="6" borderId="11" xfId="0" applyFont="1" applyFill="1" applyBorder="1" applyAlignment="1">
      <alignment horizontal="center"/>
    </xf>
    <xf numFmtId="0" fontId="53" fillId="6" borderId="6" xfId="0" applyFont="1" applyFill="1" applyBorder="1"/>
    <xf numFmtId="0" fontId="53" fillId="6" borderId="12" xfId="0" applyFont="1" applyFill="1" applyBorder="1"/>
    <xf numFmtId="0" fontId="76" fillId="8" borderId="30" xfId="0" applyFont="1" applyFill="1" applyBorder="1" applyAlignment="1">
      <alignment horizontal="center"/>
    </xf>
    <xf numFmtId="0" fontId="73" fillId="8" borderId="31" xfId="0" applyFont="1" applyFill="1" applyBorder="1"/>
    <xf numFmtId="0" fontId="78" fillId="8" borderId="13" xfId="0" applyFont="1" applyFill="1" applyBorder="1" applyAlignment="1">
      <alignment horizontal="center"/>
    </xf>
    <xf numFmtId="0" fontId="78" fillId="8" borderId="27" xfId="0" applyFont="1" applyFill="1" applyBorder="1" applyAlignment="1">
      <alignment horizontal="center"/>
    </xf>
    <xf numFmtId="0" fontId="73" fillId="8" borderId="29" xfId="0" applyFont="1" applyFill="1" applyBorder="1"/>
    <xf numFmtId="0" fontId="64" fillId="6" borderId="1" xfId="0" applyFont="1" applyFill="1" applyBorder="1" applyAlignment="1">
      <alignment horizontal="center" vertical="center"/>
    </xf>
    <xf numFmtId="9" fontId="78" fillId="8" borderId="32" xfId="0" applyNumberFormat="1" applyFont="1" applyFill="1" applyBorder="1" applyAlignment="1">
      <alignment horizontal="center"/>
    </xf>
    <xf numFmtId="10" fontId="78" fillId="8" borderId="32" xfId="0" applyNumberFormat="1" applyFont="1" applyFill="1" applyBorder="1" applyAlignment="1">
      <alignment horizontal="center"/>
    </xf>
    <xf numFmtId="0" fontId="73" fillId="8" borderId="39" xfId="0" applyFont="1" applyFill="1" applyBorder="1"/>
    <xf numFmtId="10" fontId="78" fillId="8" borderId="28" xfId="0" applyNumberFormat="1" applyFont="1" applyFill="1" applyBorder="1" applyAlignment="1">
      <alignment horizontal="center"/>
    </xf>
    <xf numFmtId="0" fontId="73" fillId="8" borderId="40" xfId="0" applyFont="1" applyFill="1" applyBorder="1"/>
    <xf numFmtId="0" fontId="61" fillId="6" borderId="9" xfId="0" applyFont="1" applyFill="1" applyBorder="1" applyAlignment="1">
      <alignment horizontal="center" vertical="center" textRotation="90"/>
    </xf>
    <xf numFmtId="0" fontId="54" fillId="6" borderId="17" xfId="0" applyFont="1" applyFill="1" applyBorder="1"/>
    <xf numFmtId="0" fontId="54" fillId="6" borderId="16" xfId="0" applyFont="1" applyFill="1" applyBorder="1"/>
    <xf numFmtId="0" fontId="61" fillId="6" borderId="8" xfId="0" applyFont="1" applyFill="1" applyBorder="1" applyAlignment="1">
      <alignment horizontal="center" vertical="center" textRotation="90"/>
    </xf>
    <xf numFmtId="0" fontId="54" fillId="6" borderId="14" xfId="0" applyFont="1" applyFill="1" applyBorder="1"/>
    <xf numFmtId="0" fontId="54" fillId="6" borderId="15" xfId="0" applyFont="1" applyFill="1" applyBorder="1"/>
    <xf numFmtId="0" fontId="64" fillId="6" borderId="8" xfId="0" applyFont="1" applyFill="1" applyBorder="1" applyAlignment="1">
      <alignment horizontal="center"/>
    </xf>
    <xf numFmtId="0" fontId="53" fillId="6" borderId="15" xfId="0" applyFont="1" applyFill="1" applyBorder="1"/>
    <xf numFmtId="0" fontId="60" fillId="6" borderId="1" xfId="0" applyFont="1" applyFill="1" applyBorder="1" applyAlignment="1">
      <alignment horizontal="center" vertical="center" textRotation="90" wrapText="1"/>
    </xf>
    <xf numFmtId="0" fontId="54" fillId="6" borderId="3" xfId="0" applyFont="1" applyFill="1" applyBorder="1"/>
    <xf numFmtId="0" fontId="54" fillId="6" borderId="13" xfId="0" applyFont="1" applyFill="1" applyBorder="1"/>
    <xf numFmtId="0" fontId="68" fillId="6" borderId="9" xfId="0" applyFont="1" applyFill="1" applyBorder="1" applyAlignment="1">
      <alignment horizontal="center" vertical="center" textRotation="90" wrapText="1"/>
    </xf>
    <xf numFmtId="0" fontId="0" fillId="0" borderId="77" xfId="0" applyFont="1" applyBorder="1" applyAlignment="1">
      <alignment horizontal="center"/>
    </xf>
    <xf numFmtId="0" fontId="0" fillId="0" borderId="90" xfId="0" applyFont="1" applyBorder="1" applyAlignment="1">
      <alignment horizontal="center"/>
    </xf>
    <xf numFmtId="0" fontId="0" fillId="0" borderId="82" xfId="0" applyFont="1" applyBorder="1" applyAlignment="1">
      <alignment horizontal="center"/>
    </xf>
    <xf numFmtId="0" fontId="0" fillId="0" borderId="91" xfId="0" applyFont="1" applyBorder="1" applyAlignment="1">
      <alignment horizontal="center"/>
    </xf>
    <xf numFmtId="0" fontId="0" fillId="0" borderId="84" xfId="0" applyFont="1" applyBorder="1" applyAlignment="1">
      <alignment horizontal="center"/>
    </xf>
    <xf numFmtId="0" fontId="0" fillId="0" borderId="89" xfId="0" applyFont="1" applyBorder="1" applyAlignment="1">
      <alignment horizontal="center"/>
    </xf>
    <xf numFmtId="0" fontId="0" fillId="0" borderId="68" xfId="0" applyFont="1" applyBorder="1" applyAlignment="1">
      <alignment horizontal="center"/>
    </xf>
    <xf numFmtId="0" fontId="114" fillId="6" borderId="63" xfId="0" applyFont="1" applyFill="1" applyBorder="1" applyAlignment="1">
      <alignment horizontal="center" vertical="center"/>
    </xf>
    <xf numFmtId="0" fontId="114" fillId="6" borderId="64" xfId="0" applyFont="1" applyFill="1" applyBorder="1" applyAlignment="1">
      <alignment horizontal="center" vertical="center"/>
    </xf>
    <xf numFmtId="0" fontId="114" fillId="6" borderId="65" xfId="0" applyFont="1" applyFill="1" applyBorder="1" applyAlignment="1">
      <alignment horizontal="center" vertical="center"/>
    </xf>
    <xf numFmtId="10" fontId="96" fillId="20" borderId="63" xfId="0" applyNumberFormat="1" applyFont="1" applyFill="1" applyBorder="1" applyAlignment="1">
      <alignment horizontal="center"/>
    </xf>
    <xf numFmtId="10" fontId="96" fillId="20" borderId="64" xfId="0" applyNumberFormat="1" applyFont="1" applyFill="1" applyBorder="1" applyAlignment="1">
      <alignment horizontal="center"/>
    </xf>
    <xf numFmtId="10" fontId="96" fillId="20" borderId="65" xfId="0" applyNumberFormat="1" applyFont="1" applyFill="1" applyBorder="1" applyAlignment="1">
      <alignment horizontal="center"/>
    </xf>
    <xf numFmtId="10" fontId="114" fillId="21" borderId="63" xfId="0" applyNumberFormat="1" applyFont="1" applyFill="1" applyBorder="1" applyAlignment="1">
      <alignment horizontal="center"/>
    </xf>
    <xf numFmtId="10" fontId="114" fillId="21" borderId="64" xfId="0" applyNumberFormat="1" applyFont="1" applyFill="1" applyBorder="1" applyAlignment="1">
      <alignment horizontal="center"/>
    </xf>
    <xf numFmtId="10" fontId="114" fillId="21" borderId="65" xfId="0" applyNumberFormat="1" applyFont="1" applyFill="1" applyBorder="1" applyAlignment="1">
      <alignment horizontal="center"/>
    </xf>
    <xf numFmtId="0" fontId="0" fillId="24" borderId="0" xfId="0" applyFont="1" applyFill="1" applyAlignment="1">
      <alignment horizontal="center"/>
    </xf>
    <xf numFmtId="0" fontId="53" fillId="9" borderId="60" xfId="0" applyFont="1" applyFill="1" applyBorder="1" applyAlignment="1">
      <alignment horizontal="center" vertical="center" wrapText="1"/>
    </xf>
    <xf numFmtId="0" fontId="53" fillId="9" borderId="51" xfId="0" applyFont="1" applyFill="1" applyBorder="1" applyAlignment="1">
      <alignment horizontal="center" vertical="center" wrapText="1"/>
    </xf>
    <xf numFmtId="0" fontId="53" fillId="9" borderId="61" xfId="0" applyFont="1" applyFill="1" applyBorder="1" applyAlignment="1">
      <alignment horizontal="center" vertical="center" wrapText="1"/>
    </xf>
    <xf numFmtId="0" fontId="53" fillId="9" borderId="48" xfId="0" applyFont="1" applyFill="1" applyBorder="1" applyAlignment="1">
      <alignment horizontal="center" vertical="center" wrapText="1"/>
    </xf>
    <xf numFmtId="0" fontId="53" fillId="9" borderId="49" xfId="0" applyFont="1" applyFill="1" applyBorder="1" applyAlignment="1">
      <alignment horizontal="center" vertical="center" wrapText="1"/>
    </xf>
    <xf numFmtId="0" fontId="53" fillId="9" borderId="50" xfId="0" applyFont="1" applyFill="1" applyBorder="1" applyAlignment="1">
      <alignment horizontal="center" vertical="center" wrapText="1"/>
    </xf>
    <xf numFmtId="0" fontId="53" fillId="9" borderId="60" xfId="0" applyFont="1" applyFill="1" applyBorder="1" applyAlignment="1">
      <alignment horizontal="left" vertical="center"/>
    </xf>
    <xf numFmtId="0" fontId="53" fillId="9" borderId="51" xfId="0" applyFont="1" applyFill="1" applyBorder="1" applyAlignment="1">
      <alignment horizontal="left" vertical="center"/>
    </xf>
    <xf numFmtId="0" fontId="53" fillId="9" borderId="25" xfId="0" applyFont="1" applyFill="1" applyBorder="1" applyAlignment="1">
      <alignment horizontal="left" vertical="center"/>
    </xf>
    <xf numFmtId="0" fontId="53" fillId="9" borderId="0" xfId="0" applyFont="1" applyFill="1" applyBorder="1" applyAlignment="1">
      <alignment horizontal="left" vertical="center"/>
    </xf>
    <xf numFmtId="0" fontId="117" fillId="24" borderId="0" xfId="0" applyFont="1" applyFill="1" applyBorder="1" applyAlignment="1">
      <alignment horizontal="left" vertical="center"/>
    </xf>
    <xf numFmtId="0" fontId="104" fillId="32" borderId="60" xfId="0" applyFont="1" applyFill="1" applyBorder="1" applyAlignment="1">
      <alignment horizontal="center"/>
    </xf>
    <xf numFmtId="0" fontId="104" fillId="32" borderId="51" xfId="0" applyFont="1" applyFill="1" applyBorder="1" applyAlignment="1">
      <alignment horizontal="center"/>
    </xf>
    <xf numFmtId="0" fontId="104" fillId="32" borderId="61" xfId="0" applyFont="1" applyFill="1" applyBorder="1" applyAlignment="1">
      <alignment horizontal="center"/>
    </xf>
    <xf numFmtId="0" fontId="104" fillId="32" borderId="25" xfId="0" applyFont="1" applyFill="1" applyBorder="1" applyAlignment="1">
      <alignment horizontal="center"/>
    </xf>
    <xf numFmtId="0" fontId="104" fillId="32" borderId="0" xfId="0" applyFont="1" applyFill="1" applyBorder="1" applyAlignment="1">
      <alignment horizontal="center"/>
    </xf>
    <xf numFmtId="0" fontId="104" fillId="32" borderId="26" xfId="0" applyFont="1" applyFill="1" applyBorder="1" applyAlignment="1">
      <alignment horizontal="center"/>
    </xf>
    <xf numFmtId="0" fontId="104" fillId="20" borderId="82" xfId="0" applyFont="1" applyFill="1" applyBorder="1" applyAlignment="1">
      <alignment horizontal="center"/>
    </xf>
    <xf numFmtId="0" fontId="104" fillId="20" borderId="91" xfId="0" applyFont="1" applyFill="1" applyBorder="1" applyAlignment="1">
      <alignment horizontal="center"/>
    </xf>
    <xf numFmtId="0" fontId="104" fillId="20" borderId="83" xfId="0" applyFont="1" applyFill="1" applyBorder="1" applyAlignment="1">
      <alignment horizontal="center"/>
    </xf>
    <xf numFmtId="0" fontId="104" fillId="20" borderId="84" xfId="0" applyFont="1" applyFill="1" applyBorder="1" applyAlignment="1">
      <alignment horizontal="center"/>
    </xf>
    <xf numFmtId="0" fontId="104" fillId="20" borderId="89" xfId="0" applyFont="1" applyFill="1" applyBorder="1" applyAlignment="1">
      <alignment horizontal="center"/>
    </xf>
    <xf numFmtId="0" fontId="104" fillId="20" borderId="85" xfId="0" applyFont="1" applyFill="1" applyBorder="1" applyAlignment="1">
      <alignment horizontal="center"/>
    </xf>
    <xf numFmtId="0" fontId="0" fillId="24" borderId="0" xfId="0" applyFont="1" applyFill="1" applyBorder="1" applyAlignment="1">
      <alignment horizontal="center"/>
    </xf>
    <xf numFmtId="0" fontId="0" fillId="20" borderId="82" xfId="0" applyFont="1" applyFill="1" applyBorder="1" applyAlignment="1">
      <alignment horizontal="center"/>
    </xf>
    <xf numFmtId="0" fontId="0" fillId="20" borderId="91" xfId="0" applyFont="1" applyFill="1" applyBorder="1" applyAlignment="1">
      <alignment horizontal="center"/>
    </xf>
    <xf numFmtId="0" fontId="0" fillId="20" borderId="83" xfId="0" applyFont="1" applyFill="1" applyBorder="1" applyAlignment="1">
      <alignment horizontal="center"/>
    </xf>
    <xf numFmtId="0" fontId="0" fillId="20" borderId="84" xfId="0" applyFont="1" applyFill="1" applyBorder="1" applyAlignment="1">
      <alignment horizontal="center"/>
    </xf>
    <xf numFmtId="0" fontId="0" fillId="20" borderId="89" xfId="0" applyFont="1" applyFill="1" applyBorder="1" applyAlignment="1">
      <alignment horizontal="center"/>
    </xf>
    <xf numFmtId="0" fontId="0" fillId="20" borderId="85" xfId="0" applyFont="1" applyFill="1" applyBorder="1" applyAlignment="1">
      <alignment horizontal="center"/>
    </xf>
    <xf numFmtId="0" fontId="117" fillId="24" borderId="0" xfId="0" applyFont="1" applyFill="1" applyBorder="1" applyAlignment="1">
      <alignment horizontal="center" vertical="center"/>
    </xf>
    <xf numFmtId="0" fontId="116" fillId="24" borderId="0" xfId="0" applyFont="1" applyFill="1" applyBorder="1" applyAlignment="1">
      <alignment horizontal="center"/>
    </xf>
    <xf numFmtId="0" fontId="113" fillId="29" borderId="63" xfId="0" applyFont="1" applyFill="1" applyBorder="1" applyAlignment="1">
      <alignment horizontal="center"/>
    </xf>
    <xf numFmtId="0" fontId="113" fillId="29" borderId="64" xfId="0" applyFont="1" applyFill="1" applyBorder="1" applyAlignment="1">
      <alignment horizontal="center"/>
    </xf>
    <xf numFmtId="0" fontId="113" fillId="29" borderId="65" xfId="0" applyFont="1" applyFill="1" applyBorder="1" applyAlignment="1">
      <alignment horizontal="center"/>
    </xf>
    <xf numFmtId="0" fontId="107" fillId="20" borderId="63" xfId="0" applyNumberFormat="1" applyFont="1" applyFill="1" applyBorder="1" applyAlignment="1">
      <alignment horizontal="center"/>
    </xf>
    <xf numFmtId="0" fontId="107" fillId="20" borderId="64" xfId="0" applyNumberFormat="1" applyFont="1" applyFill="1" applyBorder="1" applyAlignment="1">
      <alignment horizontal="center"/>
    </xf>
    <xf numFmtId="0" fontId="107" fillId="20" borderId="65" xfId="0" applyNumberFormat="1" applyFont="1" applyFill="1" applyBorder="1" applyAlignment="1">
      <alignment horizontal="center"/>
    </xf>
    <xf numFmtId="0" fontId="114" fillId="26" borderId="63" xfId="0" applyFont="1" applyFill="1" applyBorder="1" applyAlignment="1">
      <alignment horizontal="center"/>
    </xf>
    <xf numFmtId="0" fontId="114" fillId="26" borderId="64" xfId="0" applyFont="1" applyFill="1" applyBorder="1" applyAlignment="1">
      <alignment horizontal="center"/>
    </xf>
    <xf numFmtId="0" fontId="114" fillId="26" borderId="65" xfId="0" applyFont="1" applyFill="1" applyBorder="1" applyAlignment="1">
      <alignment horizontal="center"/>
    </xf>
    <xf numFmtId="0" fontId="54" fillId="15" borderId="73" xfId="0" applyFont="1" applyFill="1" applyBorder="1" applyAlignment="1">
      <alignment horizontal="right" wrapText="1"/>
    </xf>
    <xf numFmtId="0" fontId="0" fillId="15" borderId="41" xfId="0" applyFont="1" applyFill="1" applyBorder="1" applyAlignment="1">
      <alignment horizontal="right" wrapText="1"/>
    </xf>
    <xf numFmtId="0" fontId="54" fillId="15" borderId="73" xfId="0" applyFont="1" applyFill="1" applyBorder="1" applyAlignment="1">
      <alignment horizontal="right"/>
    </xf>
    <xf numFmtId="0" fontId="54" fillId="15" borderId="41" xfId="0" applyFont="1" applyFill="1" applyBorder="1" applyAlignment="1">
      <alignment horizontal="right"/>
    </xf>
    <xf numFmtId="0" fontId="0" fillId="0" borderId="86" xfId="0" applyFont="1" applyBorder="1" applyAlignment="1">
      <alignment horizontal="center"/>
    </xf>
    <xf numFmtId="0" fontId="0" fillId="0" borderId="87" xfId="0" applyFont="1" applyBorder="1" applyAlignment="1">
      <alignment horizontal="center"/>
    </xf>
    <xf numFmtId="0" fontId="111" fillId="30" borderId="49" xfId="0" applyFont="1" applyFill="1" applyBorder="1" applyAlignment="1">
      <alignment horizontal="center"/>
    </xf>
    <xf numFmtId="0" fontId="106" fillId="30" borderId="49" xfId="0" applyFont="1" applyFill="1" applyBorder="1" applyAlignment="1">
      <alignment horizontal="center"/>
    </xf>
    <xf numFmtId="0" fontId="112" fillId="19" borderId="63" xfId="0" applyFont="1" applyFill="1" applyBorder="1" applyAlignment="1">
      <alignment horizontal="left"/>
    </xf>
    <xf numFmtId="0" fontId="112" fillId="19" borderId="65" xfId="0" applyFont="1" applyFill="1" applyBorder="1" applyAlignment="1">
      <alignment horizontal="left"/>
    </xf>
    <xf numFmtId="0" fontId="112" fillId="28" borderId="63" xfId="0" applyFont="1" applyFill="1" applyBorder="1" applyAlignment="1">
      <alignment horizontal="left"/>
    </xf>
    <xf numFmtId="0" fontId="112" fillId="28" borderId="65" xfId="0" applyFont="1" applyFill="1" applyBorder="1" applyAlignment="1">
      <alignment horizontal="left"/>
    </xf>
    <xf numFmtId="0" fontId="53" fillId="31" borderId="63" xfId="0" applyFont="1" applyFill="1" applyBorder="1" applyAlignment="1">
      <alignment horizontal="left"/>
    </xf>
    <xf numFmtId="0" fontId="53" fillId="31" borderId="65" xfId="0" applyFont="1" applyFill="1" applyBorder="1" applyAlignment="1">
      <alignment horizontal="left"/>
    </xf>
    <xf numFmtId="0" fontId="53" fillId="9" borderId="63" xfId="0" applyFont="1" applyFill="1" applyBorder="1" applyAlignment="1">
      <alignment horizontal="left"/>
    </xf>
    <xf numFmtId="0" fontId="53" fillId="9" borderId="65" xfId="0" applyFont="1" applyFill="1" applyBorder="1" applyAlignment="1">
      <alignment horizontal="left"/>
    </xf>
    <xf numFmtId="0" fontId="53" fillId="26" borderId="63" xfId="0" applyFont="1" applyFill="1" applyBorder="1" applyAlignment="1">
      <alignment horizontal="left"/>
    </xf>
    <xf numFmtId="0" fontId="53" fillId="26" borderId="65" xfId="0" applyFont="1" applyFill="1" applyBorder="1" applyAlignment="1">
      <alignment horizontal="left"/>
    </xf>
    <xf numFmtId="0" fontId="0" fillId="24" borderId="51" xfId="0" applyFont="1" applyFill="1" applyBorder="1" applyAlignment="1">
      <alignment horizontal="center"/>
    </xf>
    <xf numFmtId="0" fontId="54" fillId="15" borderId="75" xfId="0" applyFont="1" applyFill="1" applyBorder="1" applyAlignment="1">
      <alignment horizontal="right"/>
    </xf>
    <xf numFmtId="0" fontId="54" fillId="15" borderId="79" xfId="0" applyFont="1" applyFill="1" applyBorder="1" applyAlignment="1">
      <alignment horizontal="right"/>
    </xf>
    <xf numFmtId="0" fontId="53" fillId="25" borderId="60" xfId="0" applyFont="1" applyFill="1" applyBorder="1" applyAlignment="1">
      <alignment horizontal="center" vertical="center"/>
    </xf>
    <xf numFmtId="0" fontId="53" fillId="25" borderId="51" xfId="0" applyFont="1" applyFill="1" applyBorder="1" applyAlignment="1">
      <alignment horizontal="center" vertical="center"/>
    </xf>
    <xf numFmtId="0" fontId="53" fillId="25" borderId="25" xfId="0" applyFont="1" applyFill="1" applyBorder="1" applyAlignment="1">
      <alignment horizontal="center" vertical="center"/>
    </xf>
    <xf numFmtId="0" fontId="53" fillId="25" borderId="0" xfId="0" applyFont="1" applyFill="1" applyBorder="1" applyAlignment="1">
      <alignment horizontal="center" vertical="center"/>
    </xf>
    <xf numFmtId="0" fontId="53" fillId="25" borderId="82" xfId="0" applyFont="1" applyFill="1" applyBorder="1" applyAlignment="1">
      <alignment horizontal="center" vertical="center"/>
    </xf>
    <xf numFmtId="0" fontId="53" fillId="25" borderId="83" xfId="0" applyFont="1" applyFill="1" applyBorder="1" applyAlignment="1">
      <alignment horizontal="center" vertical="center"/>
    </xf>
    <xf numFmtId="0" fontId="53" fillId="25" borderId="84" xfId="0" applyFont="1" applyFill="1" applyBorder="1" applyAlignment="1">
      <alignment horizontal="center" vertical="center"/>
    </xf>
    <xf numFmtId="0" fontId="53" fillId="25" borderId="85" xfId="0" applyFont="1" applyFill="1" applyBorder="1" applyAlignment="1">
      <alignment horizontal="center" vertical="center"/>
    </xf>
    <xf numFmtId="0" fontId="96" fillId="20" borderId="63" xfId="0" applyFont="1" applyFill="1" applyBorder="1" applyAlignment="1">
      <alignment horizontal="center"/>
    </xf>
    <xf numFmtId="0" fontId="96" fillId="20" borderId="64" xfId="0" applyFont="1" applyFill="1" applyBorder="1" applyAlignment="1">
      <alignment horizontal="center"/>
    </xf>
    <xf numFmtId="0" fontId="96" fillId="20" borderId="65" xfId="0" applyFont="1" applyFill="1" applyBorder="1" applyAlignment="1">
      <alignment horizontal="center"/>
    </xf>
    <xf numFmtId="0" fontId="0" fillId="0" borderId="83" xfId="0" applyFont="1" applyBorder="1" applyAlignment="1">
      <alignment horizontal="center"/>
    </xf>
    <xf numFmtId="0" fontId="0" fillId="0" borderId="85" xfId="0" applyFont="1" applyBorder="1" applyAlignment="1">
      <alignment horizontal="center"/>
    </xf>
    <xf numFmtId="0" fontId="96" fillId="28" borderId="48" xfId="0" applyFont="1" applyFill="1" applyBorder="1" applyAlignment="1">
      <alignment horizontal="center"/>
    </xf>
    <xf numFmtId="0" fontId="96" fillId="28" borderId="88" xfId="0" applyFont="1" applyFill="1" applyBorder="1" applyAlignment="1">
      <alignment horizontal="center"/>
    </xf>
    <xf numFmtId="0" fontId="110" fillId="15" borderId="73" xfId="0" applyFont="1" applyFill="1" applyBorder="1" applyAlignment="1">
      <alignment horizontal="right"/>
    </xf>
    <xf numFmtId="0" fontId="0" fillId="15" borderId="41" xfId="0" applyFont="1" applyFill="1" applyBorder="1" applyAlignment="1">
      <alignment horizontal="right"/>
    </xf>
    <xf numFmtId="0" fontId="73" fillId="15" borderId="78" xfId="0" applyFont="1" applyFill="1" applyBorder="1" applyAlignment="1">
      <alignment horizontal="right" vertical="center" wrapText="1"/>
    </xf>
    <xf numFmtId="0" fontId="73" fillId="15" borderId="68" xfId="0" applyFont="1" applyFill="1" applyBorder="1" applyAlignment="1">
      <alignment horizontal="right" vertical="center" wrapText="1"/>
    </xf>
    <xf numFmtId="0" fontId="73" fillId="15" borderId="78" xfId="0" applyFont="1" applyFill="1" applyBorder="1" applyAlignment="1">
      <alignment horizontal="right" vertical="center"/>
    </xf>
    <xf numFmtId="0" fontId="73" fillId="15" borderId="68" xfId="0" applyFont="1" applyFill="1" applyBorder="1" applyAlignment="1">
      <alignment horizontal="right" vertical="center"/>
    </xf>
    <xf numFmtId="0" fontId="73" fillId="15" borderId="73" xfId="0" applyFont="1" applyFill="1" applyBorder="1" applyAlignment="1">
      <alignment horizontal="right" vertical="center" wrapText="1"/>
    </xf>
    <xf numFmtId="0" fontId="73" fillId="15" borderId="77" xfId="0" applyFont="1" applyFill="1" applyBorder="1" applyAlignment="1">
      <alignment horizontal="right" vertical="center" wrapText="1"/>
    </xf>
    <xf numFmtId="0" fontId="73" fillId="15" borderId="73" xfId="0" applyFont="1" applyFill="1" applyBorder="1" applyAlignment="1">
      <alignment horizontal="right" vertical="center"/>
    </xf>
    <xf numFmtId="0" fontId="73" fillId="15" borderId="41" xfId="0" applyFont="1" applyFill="1" applyBorder="1" applyAlignment="1">
      <alignment horizontal="right" vertical="center"/>
    </xf>
    <xf numFmtId="0" fontId="73" fillId="15" borderId="77" xfId="0" applyFont="1" applyFill="1" applyBorder="1" applyAlignment="1">
      <alignment horizontal="right" vertical="center"/>
    </xf>
    <xf numFmtId="0" fontId="109" fillId="15" borderId="73" xfId="0" applyFont="1" applyFill="1" applyBorder="1" applyAlignment="1">
      <alignment horizontal="right" vertical="center" wrapText="1"/>
    </xf>
    <xf numFmtId="0" fontId="109" fillId="15" borderId="77" xfId="0" applyFont="1" applyFill="1" applyBorder="1" applyAlignment="1">
      <alignment horizontal="right" vertical="center" wrapText="1"/>
    </xf>
    <xf numFmtId="0" fontId="0" fillId="24" borderId="0" xfId="0" applyFont="1" applyFill="1" applyAlignment="1">
      <alignment horizontal="center" vertical="center"/>
    </xf>
    <xf numFmtId="0" fontId="0" fillId="0" borderId="60" xfId="0" applyFont="1" applyBorder="1" applyAlignment="1">
      <alignment horizontal="center"/>
    </xf>
    <xf numFmtId="0" fontId="0" fillId="0" borderId="51" xfId="0" applyFont="1" applyBorder="1" applyAlignment="1">
      <alignment horizontal="center"/>
    </xf>
    <xf numFmtId="0" fontId="0" fillId="0" borderId="61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109" fillId="26" borderId="66" xfId="0" applyFont="1" applyFill="1" applyBorder="1" applyAlignment="1">
      <alignment horizontal="center" wrapText="1"/>
    </xf>
    <xf numFmtId="0" fontId="109" fillId="26" borderId="67" xfId="0" applyFont="1" applyFill="1" applyBorder="1" applyAlignment="1">
      <alignment horizontal="center" wrapText="1"/>
    </xf>
    <xf numFmtId="0" fontId="104" fillId="26" borderId="66" xfId="0" applyFont="1" applyFill="1" applyBorder="1" applyAlignment="1">
      <alignment horizontal="center" wrapText="1"/>
    </xf>
    <xf numFmtId="0" fontId="104" fillId="26" borderId="67" xfId="0" applyFont="1" applyFill="1" applyBorder="1" applyAlignment="1">
      <alignment horizontal="center" wrapText="1"/>
    </xf>
    <xf numFmtId="0" fontId="95" fillId="24" borderId="66" xfId="0" applyFont="1" applyFill="1" applyBorder="1" applyAlignment="1">
      <alignment horizontal="center" vertical="center" wrapText="1"/>
    </xf>
    <xf numFmtId="0" fontId="95" fillId="24" borderId="67" xfId="0" applyFont="1" applyFill="1" applyBorder="1" applyAlignment="1">
      <alignment horizontal="center" vertical="center" wrapText="1"/>
    </xf>
    <xf numFmtId="0" fontId="108" fillId="24" borderId="0" xfId="0" applyFont="1" applyFill="1" applyAlignment="1">
      <alignment horizontal="center"/>
    </xf>
    <xf numFmtId="0" fontId="108" fillId="24" borderId="26" xfId="0" applyFont="1" applyFill="1" applyBorder="1" applyAlignment="1">
      <alignment horizontal="center"/>
    </xf>
    <xf numFmtId="0" fontId="95" fillId="24" borderId="63" xfId="0" applyFont="1" applyFill="1" applyBorder="1" applyAlignment="1">
      <alignment horizontal="left"/>
    </xf>
    <xf numFmtId="0" fontId="95" fillId="24" borderId="64" xfId="0" applyFont="1" applyFill="1" applyBorder="1" applyAlignment="1">
      <alignment horizontal="left"/>
    </xf>
    <xf numFmtId="0" fontId="103" fillId="24" borderId="63" xfId="0" applyFont="1" applyFill="1" applyBorder="1" applyAlignment="1">
      <alignment horizontal="left"/>
    </xf>
    <xf numFmtId="0" fontId="103" fillId="24" borderId="64" xfId="0" applyFont="1" applyFill="1" applyBorder="1" applyAlignment="1">
      <alignment horizontal="left"/>
    </xf>
    <xf numFmtId="0" fontId="0" fillId="24" borderId="64" xfId="0" applyFont="1" applyFill="1" applyBorder="1" applyAlignment="1">
      <alignment horizontal="left"/>
    </xf>
    <xf numFmtId="0" fontId="105" fillId="24" borderId="63" xfId="0" applyFont="1" applyFill="1" applyBorder="1" applyAlignment="1">
      <alignment horizontal="left" wrapText="1"/>
    </xf>
    <xf numFmtId="0" fontId="105" fillId="24" borderId="64" xfId="0" applyFont="1" applyFill="1" applyBorder="1" applyAlignment="1">
      <alignment horizontal="left" wrapText="1"/>
    </xf>
    <xf numFmtId="0" fontId="95" fillId="24" borderId="0" xfId="0" applyFont="1" applyFill="1" applyAlignment="1">
      <alignment horizontal="left"/>
    </xf>
    <xf numFmtId="0" fontId="95" fillId="24" borderId="26" xfId="0" applyFont="1" applyFill="1" applyBorder="1" applyAlignment="1">
      <alignment horizontal="left"/>
    </xf>
    <xf numFmtId="0" fontId="1" fillId="0" borderId="63" xfId="0" applyFont="1" applyBorder="1" applyAlignment="1">
      <alignment horizontal="center"/>
    </xf>
    <xf numFmtId="0" fontId="0" fillId="0" borderId="64" xfId="0" applyFont="1" applyBorder="1" applyAlignment="1">
      <alignment horizontal="center"/>
    </xf>
    <xf numFmtId="0" fontId="0" fillId="0" borderId="65" xfId="0" applyFont="1" applyBorder="1" applyAlignment="1">
      <alignment horizontal="center"/>
    </xf>
    <xf numFmtId="0" fontId="95" fillId="24" borderId="0" xfId="0" applyFont="1" applyFill="1" applyAlignment="1">
      <alignment horizontal="left" wrapText="1"/>
    </xf>
    <xf numFmtId="0" fontId="0" fillId="24" borderId="25" xfId="0" applyFont="1" applyFill="1" applyBorder="1" applyAlignment="1">
      <alignment horizontal="center"/>
    </xf>
    <xf numFmtId="0" fontId="107" fillId="24" borderId="0" xfId="0" applyFont="1" applyFill="1" applyBorder="1" applyAlignment="1">
      <alignment horizontal="center"/>
    </xf>
    <xf numFmtId="0" fontId="107" fillId="24" borderId="70" xfId="0" applyFont="1" applyFill="1" applyBorder="1" applyAlignment="1">
      <alignment horizontal="center" vertical="center"/>
    </xf>
    <xf numFmtId="0" fontId="107" fillId="24" borderId="71" xfId="0" applyFont="1" applyFill="1" applyBorder="1" applyAlignment="1">
      <alignment horizontal="center" vertical="center"/>
    </xf>
    <xf numFmtId="0" fontId="104" fillId="24" borderId="66" xfId="0" applyFont="1" applyFill="1" applyBorder="1" applyAlignment="1">
      <alignment horizontal="center" wrapText="1"/>
    </xf>
    <xf numFmtId="0" fontId="104" fillId="24" borderId="67" xfId="0" applyFont="1" applyFill="1" applyBorder="1" applyAlignment="1">
      <alignment horizontal="center" wrapText="1"/>
    </xf>
    <xf numFmtId="0" fontId="95" fillId="24" borderId="66" xfId="0" applyFont="1" applyFill="1" applyBorder="1" applyAlignment="1">
      <alignment horizontal="center" vertical="center"/>
    </xf>
    <xf numFmtId="0" fontId="95" fillId="24" borderId="67" xfId="0" applyFont="1" applyFill="1" applyBorder="1" applyAlignment="1">
      <alignment horizontal="center" vertical="center"/>
    </xf>
    <xf numFmtId="0" fontId="106" fillId="28" borderId="84" xfId="0" applyFont="1" applyFill="1" applyBorder="1" applyAlignment="1">
      <alignment horizontal="center"/>
    </xf>
    <xf numFmtId="0" fontId="106" fillId="28" borderId="85" xfId="0" applyFont="1" applyFill="1" applyBorder="1" applyAlignment="1">
      <alignment horizontal="center"/>
    </xf>
    <xf numFmtId="0" fontId="106" fillId="24" borderId="0" xfId="0" applyFont="1" applyFill="1" applyBorder="1" applyAlignment="1">
      <alignment horizontal="center"/>
    </xf>
    <xf numFmtId="0" fontId="106" fillId="28" borderId="89" xfId="0" applyFont="1" applyFill="1" applyBorder="1" applyAlignment="1">
      <alignment horizontal="center"/>
    </xf>
    <xf numFmtId="0" fontId="0" fillId="24" borderId="26" xfId="0" applyFont="1" applyFill="1" applyBorder="1" applyAlignment="1">
      <alignment horizontal="center"/>
    </xf>
    <xf numFmtId="0" fontId="97" fillId="14" borderId="60" xfId="0" applyFont="1" applyFill="1" applyBorder="1" applyAlignment="1">
      <alignment horizontal="center" vertical="top"/>
    </xf>
    <xf numFmtId="0" fontId="97" fillId="14" borderId="51" xfId="0" applyFont="1" applyFill="1" applyBorder="1" applyAlignment="1">
      <alignment horizontal="center" vertical="top"/>
    </xf>
    <xf numFmtId="0" fontId="97" fillId="14" borderId="61" xfId="0" applyFont="1" applyFill="1" applyBorder="1" applyAlignment="1">
      <alignment horizontal="center" vertical="top"/>
    </xf>
    <xf numFmtId="0" fontId="97" fillId="14" borderId="25" xfId="0" applyFont="1" applyFill="1" applyBorder="1" applyAlignment="1">
      <alignment horizontal="center" vertical="top"/>
    </xf>
    <xf numFmtId="0" fontId="97" fillId="14" borderId="0" xfId="0" applyFont="1" applyFill="1" applyBorder="1" applyAlignment="1">
      <alignment horizontal="center" vertical="top"/>
    </xf>
    <xf numFmtId="0" fontId="97" fillId="14" borderId="26" xfId="0" applyFont="1" applyFill="1" applyBorder="1" applyAlignment="1">
      <alignment horizontal="center" vertical="top"/>
    </xf>
    <xf numFmtId="0" fontId="97" fillId="14" borderId="48" xfId="0" applyFont="1" applyFill="1" applyBorder="1" applyAlignment="1">
      <alignment horizontal="center" vertical="top"/>
    </xf>
    <xf numFmtId="0" fontId="97" fillId="14" borderId="49" xfId="0" applyFont="1" applyFill="1" applyBorder="1" applyAlignment="1">
      <alignment horizontal="center" vertical="top"/>
    </xf>
    <xf numFmtId="0" fontId="97" fillId="14" borderId="50" xfId="0" applyFont="1" applyFill="1" applyBorder="1" applyAlignment="1">
      <alignment horizontal="center" vertical="top"/>
    </xf>
    <xf numFmtId="0" fontId="98" fillId="22" borderId="25" xfId="0" applyFont="1" applyFill="1" applyBorder="1" applyAlignment="1">
      <alignment horizontal="left" vertical="top"/>
    </xf>
    <xf numFmtId="0" fontId="98" fillId="22" borderId="0" xfId="0" applyFont="1" applyFill="1" applyBorder="1" applyAlignment="1">
      <alignment horizontal="left" vertical="top"/>
    </xf>
    <xf numFmtId="0" fontId="98" fillId="22" borderId="26" xfId="0" applyFont="1" applyFill="1" applyBorder="1" applyAlignment="1">
      <alignment horizontal="left" vertical="top"/>
    </xf>
    <xf numFmtId="0" fontId="99" fillId="23" borderId="25" xfId="0" applyFont="1" applyFill="1" applyBorder="1" applyAlignment="1">
      <alignment horizontal="center"/>
    </xf>
    <xf numFmtId="0" fontId="99" fillId="23" borderId="0" xfId="0" applyFont="1" applyFill="1" applyBorder="1" applyAlignment="1">
      <alignment horizontal="center"/>
    </xf>
    <xf numFmtId="0" fontId="99" fillId="23" borderId="26" xfId="0" applyFont="1" applyFill="1" applyBorder="1" applyAlignment="1">
      <alignment horizontal="center"/>
    </xf>
    <xf numFmtId="0" fontId="100" fillId="23" borderId="25" xfId="0" applyFont="1" applyFill="1" applyBorder="1" applyAlignment="1">
      <alignment horizontal="center"/>
    </xf>
    <xf numFmtId="0" fontId="100" fillId="23" borderId="0" xfId="0" applyFont="1" applyFill="1" applyBorder="1" applyAlignment="1">
      <alignment horizontal="center"/>
    </xf>
    <xf numFmtId="0" fontId="100" fillId="23" borderId="26" xfId="0" applyFont="1" applyFill="1" applyBorder="1" applyAlignment="1">
      <alignment horizontal="center"/>
    </xf>
    <xf numFmtId="0" fontId="0" fillId="24" borderId="81" xfId="0" applyFont="1" applyFill="1" applyBorder="1" applyAlignment="1">
      <alignment horizontal="center"/>
    </xf>
    <xf numFmtId="0" fontId="95" fillId="24" borderId="51" xfId="0" applyFont="1" applyFill="1" applyBorder="1" applyAlignment="1">
      <alignment horizontal="center" vertical="center" wrapText="1"/>
    </xf>
    <xf numFmtId="0" fontId="95" fillId="24" borderId="0" xfId="0" applyFont="1" applyFill="1" applyAlignment="1">
      <alignment horizontal="center" vertical="center" wrapText="1"/>
    </xf>
    <xf numFmtId="164" fontId="0" fillId="0" borderId="63" xfId="0" applyNumberFormat="1" applyFont="1" applyBorder="1" applyAlignment="1">
      <alignment horizontal="center"/>
    </xf>
    <xf numFmtId="164" fontId="0" fillId="0" borderId="64" xfId="0" applyNumberFormat="1" applyFont="1" applyBorder="1" applyAlignment="1">
      <alignment horizontal="center"/>
    </xf>
    <xf numFmtId="164" fontId="0" fillId="0" borderId="65" xfId="0" applyNumberFormat="1" applyFont="1" applyBorder="1" applyAlignment="1">
      <alignment horizontal="center"/>
    </xf>
    <xf numFmtId="0" fontId="95" fillId="24" borderId="0" xfId="0" applyFont="1" applyFill="1" applyAlignment="1">
      <alignment horizontal="center"/>
    </xf>
    <xf numFmtId="0" fontId="95" fillId="24" borderId="0" xfId="0" applyFont="1" applyFill="1" applyAlignment="1">
      <alignment horizontal="left" vertical="top" wrapText="1"/>
    </xf>
    <xf numFmtId="0" fontId="95" fillId="24" borderId="26" xfId="0" applyFont="1" applyFill="1" applyBorder="1" applyAlignment="1">
      <alignment horizontal="left" vertical="top" wrapText="1"/>
    </xf>
    <xf numFmtId="0" fontId="0" fillId="0" borderId="63" xfId="0" applyFont="1" applyBorder="1" applyAlignment="1">
      <alignment horizontal="center"/>
    </xf>
    <xf numFmtId="0" fontId="95" fillId="24" borderId="25" xfId="0" applyFont="1" applyFill="1" applyBorder="1" applyAlignment="1">
      <alignment horizontal="center"/>
    </xf>
    <xf numFmtId="0" fontId="0" fillId="20" borderId="63" xfId="0" applyFont="1" applyFill="1" applyBorder="1" applyAlignment="1">
      <alignment horizontal="center"/>
    </xf>
    <xf numFmtId="0" fontId="0" fillId="20" borderId="64" xfId="0" applyFont="1" applyFill="1" applyBorder="1" applyAlignment="1">
      <alignment horizontal="center"/>
    </xf>
    <xf numFmtId="0" fontId="0" fillId="20" borderId="65" xfId="0" applyFont="1" applyFill="1" applyBorder="1" applyAlignment="1">
      <alignment horizontal="center"/>
    </xf>
    <xf numFmtId="165" fontId="0" fillId="0" borderId="63" xfId="0" applyNumberFormat="1" applyFont="1" applyBorder="1" applyAlignment="1">
      <alignment horizontal="center"/>
    </xf>
    <xf numFmtId="165" fontId="0" fillId="0" borderId="65" xfId="0" applyNumberFormat="1" applyFont="1" applyBorder="1" applyAlignment="1">
      <alignment horizontal="center"/>
    </xf>
    <xf numFmtId="166" fontId="0" fillId="0" borderId="63" xfId="0" applyNumberFormat="1" applyFont="1" applyBorder="1" applyAlignment="1">
      <alignment horizontal="center"/>
    </xf>
    <xf numFmtId="166" fontId="0" fillId="0" borderId="65" xfId="0" applyNumberFormat="1" applyFont="1" applyBorder="1" applyAlignment="1">
      <alignment horizontal="center"/>
    </xf>
    <xf numFmtId="0" fontId="101" fillId="21" borderId="25" xfId="0" applyFont="1" applyFill="1" applyBorder="1" applyAlignment="1">
      <alignment horizontal="center" vertical="center"/>
    </xf>
    <xf numFmtId="0" fontId="101" fillId="21" borderId="0" xfId="0" applyFont="1" applyFill="1" applyBorder="1" applyAlignment="1">
      <alignment horizontal="center" vertical="center"/>
    </xf>
    <xf numFmtId="0" fontId="101" fillId="21" borderId="26" xfId="0" applyFont="1" applyFill="1" applyBorder="1" applyAlignment="1">
      <alignment horizontal="center" vertical="center"/>
    </xf>
    <xf numFmtId="0" fontId="102" fillId="21" borderId="25" xfId="0" applyFont="1" applyFill="1" applyBorder="1" applyAlignment="1">
      <alignment horizontal="center"/>
    </xf>
    <xf numFmtId="0" fontId="102" fillId="21" borderId="0" xfId="0" applyFont="1" applyFill="1" applyBorder="1" applyAlignment="1">
      <alignment horizontal="center"/>
    </xf>
    <xf numFmtId="0" fontId="102" fillId="21" borderId="26" xfId="0" applyFont="1" applyFill="1" applyBorder="1" applyAlignment="1">
      <alignment horizontal="center"/>
    </xf>
    <xf numFmtId="0" fontId="116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 wrapText="1"/>
    </xf>
    <xf numFmtId="0" fontId="121" fillId="24" borderId="0" xfId="0" applyFont="1" applyFill="1" applyAlignment="1">
      <alignment horizontal="center" vertical="top"/>
    </xf>
    <xf numFmtId="0" fontId="96" fillId="19" borderId="25" xfId="0" applyFont="1" applyFill="1" applyBorder="1" applyAlignment="1">
      <alignment horizontal="center" vertical="center"/>
    </xf>
    <xf numFmtId="0" fontId="96" fillId="19" borderId="0" xfId="0" applyFont="1" applyFill="1" applyBorder="1" applyAlignment="1">
      <alignment horizontal="center" vertical="center"/>
    </xf>
    <xf numFmtId="0" fontId="96" fillId="19" borderId="26" xfId="0" applyFont="1" applyFill="1" applyBorder="1" applyAlignment="1">
      <alignment horizontal="center" vertical="center"/>
    </xf>
    <xf numFmtId="0" fontId="96" fillId="19" borderId="48" xfId="0" applyFont="1" applyFill="1" applyBorder="1" applyAlignment="1">
      <alignment horizontal="center" vertical="center"/>
    </xf>
    <xf numFmtId="0" fontId="96" fillId="19" borderId="49" xfId="0" applyFont="1" applyFill="1" applyBorder="1" applyAlignment="1">
      <alignment horizontal="center" vertical="center"/>
    </xf>
    <xf numFmtId="0" fontId="96" fillId="19" borderId="50" xfId="0" applyFont="1" applyFill="1" applyBorder="1" applyAlignment="1">
      <alignment horizontal="center" vertical="center"/>
    </xf>
    <xf numFmtId="0" fontId="109" fillId="15" borderId="72" xfId="0" applyFont="1" applyFill="1" applyBorder="1" applyAlignment="1">
      <alignment horizontal="right" vertical="center" wrapText="1"/>
    </xf>
    <xf numFmtId="0" fontId="109" fillId="15" borderId="76" xfId="0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161925</xdr:rowOff>
    </xdr:from>
    <xdr:ext cx="2952750" cy="12477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61925"/>
          <a:ext cx="295275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7</xdr:row>
      <xdr:rowOff>0</xdr:rowOff>
    </xdr:from>
    <xdr:ext cx="356182" cy="20154899"/>
    <xdr:sp macro="" textlink="">
      <xdr:nvSpPr>
        <xdr:cNvPr id="6" name="TextBox 5"/>
        <xdr:cNvSpPr txBox="1"/>
      </xdr:nvSpPr>
      <xdr:spPr>
        <a:xfrm>
          <a:off x="9167813" y="2825750"/>
          <a:ext cx="356182" cy="20154899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  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 HO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Y</a:t>
          </a:r>
        </a:p>
      </xdr:txBody>
    </xdr:sp>
    <xdr:clientData/>
  </xdr:oneCellAnchor>
  <xdr:oneCellAnchor>
    <xdr:from>
      <xdr:col>78</xdr:col>
      <xdr:colOff>103189</xdr:colOff>
      <xdr:row>7</xdr:row>
      <xdr:rowOff>39688</xdr:rowOff>
    </xdr:from>
    <xdr:ext cx="1254124" cy="19994562"/>
    <xdr:sp macro="" textlink="">
      <xdr:nvSpPr>
        <xdr:cNvPr id="8" name="TextBox 7"/>
        <xdr:cNvSpPr txBox="1"/>
      </xdr:nvSpPr>
      <xdr:spPr>
        <a:xfrm>
          <a:off x="16375064" y="2865438"/>
          <a:ext cx="1254124" cy="19994562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 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8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K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161925</xdr:rowOff>
    </xdr:from>
    <xdr:ext cx="2952750" cy="12477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61925"/>
          <a:ext cx="295275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161925</xdr:colOff>
      <xdr:row>7</xdr:row>
      <xdr:rowOff>19050</xdr:rowOff>
    </xdr:from>
    <xdr:ext cx="356182" cy="20154899"/>
    <xdr:sp macro="" textlink="">
      <xdr:nvSpPr>
        <xdr:cNvPr id="4" name="TextBox 3"/>
        <xdr:cNvSpPr txBox="1"/>
      </xdr:nvSpPr>
      <xdr:spPr>
        <a:xfrm>
          <a:off x="9201150" y="2743200"/>
          <a:ext cx="356182" cy="20154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3600" b="1"/>
        </a:p>
        <a:p>
          <a:pPr algn="ctr"/>
          <a:endParaRPr lang="en-US" sz="3600" b="1"/>
        </a:p>
        <a:p>
          <a:pPr algn="ctr"/>
          <a:endParaRPr lang="en-US" sz="3600" b="1"/>
        </a:p>
        <a:p>
          <a:pPr algn="ctr"/>
          <a:endParaRPr lang="en-US" sz="3600" b="1"/>
        </a:p>
        <a:p>
          <a:pPr algn="ctr"/>
          <a:endParaRPr lang="en-US" sz="3600" b="1"/>
        </a:p>
        <a:p>
          <a:pPr algn="ctr"/>
          <a:r>
            <a:rPr lang="en-US" sz="3600" b="1"/>
            <a:t>P</a:t>
          </a:r>
        </a:p>
        <a:p>
          <a:pPr algn="ctr"/>
          <a:r>
            <a:rPr lang="en-US" sz="3600" b="1"/>
            <a:t>U</a:t>
          </a:r>
        </a:p>
        <a:p>
          <a:pPr algn="ctr"/>
          <a:r>
            <a:rPr lang="en-US" sz="3600" b="1"/>
            <a:t>B</a:t>
          </a:r>
        </a:p>
        <a:p>
          <a:pPr algn="ctr"/>
          <a:r>
            <a:rPr lang="en-US" sz="3600" b="1"/>
            <a:t>L</a:t>
          </a:r>
        </a:p>
        <a:p>
          <a:pPr algn="ctr"/>
          <a:r>
            <a:rPr lang="en-US" sz="3600" b="1" baseline="0"/>
            <a:t>I  C</a:t>
          </a:r>
        </a:p>
        <a:p>
          <a:pPr algn="ctr"/>
          <a:endParaRPr lang="en-US" sz="3600" b="1" baseline="0"/>
        </a:p>
        <a:p>
          <a:pPr algn="ctr"/>
          <a:endParaRPr lang="en-US" sz="3600" b="1" baseline="0"/>
        </a:p>
        <a:p>
          <a:pPr algn="ctr"/>
          <a:endParaRPr lang="en-US" sz="3600" b="1" baseline="0"/>
        </a:p>
        <a:p>
          <a:pPr algn="ctr"/>
          <a:endParaRPr lang="en-US" sz="3600" b="1" baseline="0"/>
        </a:p>
        <a:p>
          <a:pPr algn="ctr"/>
          <a:endParaRPr lang="en-US" sz="3600" b="1" baseline="0"/>
        </a:p>
        <a:p>
          <a:pPr algn="ctr"/>
          <a:endParaRPr lang="en-US" sz="3600" b="1" baseline="0"/>
        </a:p>
        <a:p>
          <a:pPr algn="ctr"/>
          <a:r>
            <a:rPr lang="en-US" sz="3600" b="1" baseline="0"/>
            <a:t> HO</a:t>
          </a:r>
        </a:p>
        <a:p>
          <a:pPr algn="ctr"/>
          <a:r>
            <a:rPr lang="en-US" sz="3600" b="1" baseline="0"/>
            <a:t>L</a:t>
          </a:r>
        </a:p>
        <a:p>
          <a:pPr algn="ctr"/>
          <a:r>
            <a:rPr lang="en-US" sz="3600" b="1" baseline="0"/>
            <a:t>I</a:t>
          </a:r>
        </a:p>
        <a:p>
          <a:pPr algn="ctr"/>
          <a:r>
            <a:rPr lang="en-US" sz="3600" b="1" baseline="0"/>
            <a:t>D</a:t>
          </a:r>
        </a:p>
        <a:p>
          <a:pPr algn="ctr"/>
          <a:r>
            <a:rPr lang="en-US" sz="3600" b="1" baseline="0"/>
            <a:t>A</a:t>
          </a:r>
        </a:p>
        <a:p>
          <a:pPr algn="ctr"/>
          <a:r>
            <a:rPr lang="en-US" sz="3600" b="1" baseline="0"/>
            <a:t>Y</a:t>
          </a:r>
          <a:endParaRPr lang="en-US" sz="3600" b="1"/>
        </a:p>
      </xdr:txBody>
    </xdr:sp>
    <xdr:clientData/>
  </xdr:oneCellAnchor>
  <xdr:oneCellAnchor>
    <xdr:from>
      <xdr:col>78</xdr:col>
      <xdr:colOff>133351</xdr:colOff>
      <xdr:row>7</xdr:row>
      <xdr:rowOff>47625</xdr:rowOff>
    </xdr:from>
    <xdr:ext cx="1190624" cy="20154899"/>
    <xdr:sp macro="" textlink="">
      <xdr:nvSpPr>
        <xdr:cNvPr id="9" name="TextBox 8"/>
        <xdr:cNvSpPr txBox="1"/>
      </xdr:nvSpPr>
      <xdr:spPr>
        <a:xfrm>
          <a:off x="16544926" y="2771775"/>
          <a:ext cx="1190624" cy="20154899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E  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72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BR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2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72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72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161925</xdr:rowOff>
    </xdr:from>
    <xdr:ext cx="2952750" cy="14097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61925"/>
          <a:ext cx="2952750" cy="1409700"/>
        </a:xfrm>
        <a:prstGeom prst="rect">
          <a:avLst/>
        </a:prstGeom>
        <a:noFill/>
      </xdr:spPr>
    </xdr:pic>
    <xdr:clientData fLocksWithSheet="0"/>
  </xdr:oneCellAnchor>
  <xdr:twoCellAnchor>
    <xdr:from>
      <xdr:col>78</xdr:col>
      <xdr:colOff>57150</xdr:colOff>
      <xdr:row>7</xdr:row>
      <xdr:rowOff>66675</xdr:rowOff>
    </xdr:from>
    <xdr:to>
      <xdr:col>88</xdr:col>
      <xdr:colOff>9525</xdr:colOff>
      <xdr:row>108</xdr:row>
      <xdr:rowOff>26380</xdr:rowOff>
    </xdr:to>
    <xdr:sp macro="" textlink="">
      <xdr:nvSpPr>
        <xdr:cNvPr id="9" name="TextBox 8"/>
        <xdr:cNvSpPr txBox="1"/>
      </xdr:nvSpPr>
      <xdr:spPr>
        <a:xfrm rot="5400000" flipH="1">
          <a:off x="6916247" y="12048028"/>
          <a:ext cx="19962205" cy="14478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             MIDTERM    BREAK</a:t>
          </a:r>
        </a:p>
      </xdr:txBody>
    </xdr:sp>
    <xdr:clientData/>
  </xdr:twoCellAnchor>
  <xdr:oneCellAnchor>
    <xdr:from>
      <xdr:col>32</xdr:col>
      <xdr:colOff>0</xdr:colOff>
      <xdr:row>7</xdr:row>
      <xdr:rowOff>0</xdr:rowOff>
    </xdr:from>
    <xdr:ext cx="356182" cy="20154899"/>
    <xdr:sp macro="" textlink="">
      <xdr:nvSpPr>
        <xdr:cNvPr id="17" name="TextBox 16"/>
        <xdr:cNvSpPr txBox="1"/>
      </xdr:nvSpPr>
      <xdr:spPr>
        <a:xfrm>
          <a:off x="9115425" y="2724150"/>
          <a:ext cx="356182" cy="20154899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U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  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600" b="1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 HO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Y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3646714</xdr:colOff>
      <xdr:row>3</xdr:row>
      <xdr:rowOff>167368</xdr:rowOff>
    </xdr:from>
    <xdr:to>
      <xdr:col>4</xdr:col>
      <xdr:colOff>409575</xdr:colOff>
      <xdr:row>7</xdr:row>
      <xdr:rowOff>110218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714" y="167368"/>
          <a:ext cx="2254704" cy="14804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15</xdr:col>
      <xdr:colOff>47625</xdr:colOff>
      <xdr:row>58</xdr:row>
      <xdr:rowOff>38100</xdr:rowOff>
    </xdr:from>
    <xdr:to>
      <xdr:col>20</xdr:col>
      <xdr:colOff>581025</xdr:colOff>
      <xdr:row>59</xdr:row>
      <xdr:rowOff>342899</xdr:rowOff>
    </xdr:to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0650" y="21440775"/>
          <a:ext cx="3581400" cy="685799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60</xdr:row>
      <xdr:rowOff>47626</xdr:rowOff>
    </xdr:from>
    <xdr:to>
      <xdr:col>20</xdr:col>
      <xdr:colOff>457200</xdr:colOff>
      <xdr:row>61</xdr:row>
      <xdr:rowOff>219076</xdr:rowOff>
    </xdr:to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9225" y="22221826"/>
          <a:ext cx="34290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1000"/>
  <sheetViews>
    <sheetView tabSelected="1" zoomScale="110" zoomScaleNormal="110" workbookViewId="0">
      <selection activeCell="I8" sqref="I8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7.7109375" customWidth="1"/>
    <col min="4" max="4" width="36.140625" customWidth="1"/>
    <col min="5" max="5" width="10.28515625" customWidth="1"/>
    <col min="6" max="6" width="6.140625" customWidth="1"/>
    <col min="7" max="7" width="5.140625" customWidth="1"/>
    <col min="8" max="8" width="7" customWidth="1"/>
    <col min="9" max="9" width="2.28515625" customWidth="1"/>
    <col min="10" max="13" width="1.85546875" customWidth="1"/>
    <col min="14" max="14" width="2.28515625" customWidth="1"/>
    <col min="15" max="16" width="2.140625" customWidth="1"/>
    <col min="17" max="18" width="2.28515625" customWidth="1"/>
    <col min="19" max="19" width="3.42578125" customWidth="1"/>
    <col min="20" max="20" width="2.28515625" customWidth="1"/>
    <col min="21" max="21" width="2.42578125" customWidth="1"/>
    <col min="22" max="22" width="2.28515625" customWidth="1"/>
    <col min="23" max="23" width="2.140625" customWidth="1"/>
    <col min="24" max="24" width="2.7109375" customWidth="1"/>
    <col min="25" max="25" width="2.42578125" customWidth="1"/>
    <col min="26" max="26" width="2.5703125" customWidth="1"/>
    <col min="27" max="27" width="2.42578125" customWidth="1"/>
    <col min="28" max="28" width="2.7109375" customWidth="1"/>
    <col min="29" max="29" width="2.42578125" customWidth="1"/>
    <col min="30" max="30" width="2.140625" customWidth="1"/>
    <col min="31" max="32" width="2.5703125" customWidth="1"/>
    <col min="33" max="33" width="2.42578125" customWidth="1"/>
    <col min="34" max="34" width="2.5703125" customWidth="1"/>
    <col min="35" max="35" width="2.140625" customWidth="1"/>
    <col min="36" max="36" width="2.7109375" customWidth="1"/>
    <col min="37" max="37" width="2.42578125" customWidth="1"/>
    <col min="38" max="38" width="2.28515625" customWidth="1"/>
    <col min="39" max="39" width="2.140625" customWidth="1"/>
    <col min="40" max="40" width="2.28515625" customWidth="1"/>
    <col min="41" max="41" width="1.85546875" customWidth="1"/>
    <col min="42" max="43" width="2.140625" customWidth="1"/>
    <col min="44" max="44" width="2" customWidth="1"/>
    <col min="45" max="45" width="2.42578125" customWidth="1"/>
    <col min="46" max="46" width="2.28515625" customWidth="1"/>
    <col min="47" max="47" width="2.140625" customWidth="1"/>
    <col min="48" max="48" width="2.42578125" customWidth="1"/>
    <col min="49" max="51" width="1.85546875" customWidth="1"/>
    <col min="52" max="52" width="2.28515625" customWidth="1"/>
    <col min="53" max="53" width="2.140625" customWidth="1"/>
    <col min="54" max="54" width="2.28515625" customWidth="1"/>
    <col min="55" max="55" width="2.7109375" customWidth="1"/>
    <col min="56" max="56" width="2.42578125" customWidth="1"/>
    <col min="57" max="57" width="2.28515625" customWidth="1"/>
    <col min="58" max="58" width="2.42578125" customWidth="1"/>
    <col min="59" max="59" width="2" customWidth="1"/>
    <col min="60" max="60" width="1.85546875" customWidth="1"/>
    <col min="61" max="61" width="2.42578125" customWidth="1"/>
    <col min="62" max="62" width="2.140625" customWidth="1"/>
    <col min="63" max="63" width="2.7109375" customWidth="1"/>
    <col min="64" max="67" width="2.28515625" customWidth="1"/>
    <col min="68" max="68" width="2.5703125" customWidth="1"/>
    <col min="69" max="70" width="2.28515625" customWidth="1"/>
    <col min="71" max="71" width="2.140625" customWidth="1"/>
    <col min="72" max="72" width="2.7109375" customWidth="1"/>
    <col min="73" max="73" width="2.85546875" customWidth="1"/>
    <col min="74" max="74" width="3.42578125" customWidth="1"/>
    <col min="75" max="75" width="2.140625" customWidth="1"/>
    <col min="76" max="76" width="2.42578125" customWidth="1"/>
    <col min="77" max="77" width="2.5703125" customWidth="1"/>
    <col min="78" max="79" width="2.42578125" customWidth="1"/>
    <col min="80" max="80" width="2.7109375" customWidth="1"/>
    <col min="81" max="81" width="2" customWidth="1"/>
    <col min="82" max="82" width="2.140625" customWidth="1"/>
    <col min="83" max="83" width="1.85546875" customWidth="1"/>
    <col min="84" max="84" width="2.42578125" customWidth="1"/>
    <col min="85" max="85" width="1.7109375" customWidth="1"/>
    <col min="86" max="86" width="2.140625" customWidth="1"/>
    <col min="87" max="88" width="2.28515625" customWidth="1"/>
    <col min="89" max="89" width="2.5703125" customWidth="1"/>
    <col min="90" max="90" width="2" customWidth="1"/>
    <col min="91" max="91" width="2.140625" customWidth="1"/>
    <col min="92" max="92" width="2.42578125" customWidth="1"/>
    <col min="93" max="94" width="2" customWidth="1"/>
    <col min="95" max="95" width="1.85546875" customWidth="1"/>
    <col min="96" max="97" width="2.140625" customWidth="1"/>
    <col min="98" max="98" width="2.5703125" customWidth="1"/>
    <col min="99" max="99" width="2.42578125" customWidth="1"/>
    <col min="100" max="100" width="3" customWidth="1"/>
    <col min="101" max="101" width="2.7109375" customWidth="1"/>
    <col min="102" max="102" width="2.28515625" customWidth="1"/>
    <col min="103" max="103" width="1.85546875" customWidth="1"/>
    <col min="104" max="104" width="2.7109375" customWidth="1"/>
    <col min="105" max="105" width="2.140625" customWidth="1"/>
    <col min="106" max="106" width="2" customWidth="1"/>
    <col min="107" max="107" width="2.140625" customWidth="1"/>
    <col min="108" max="108" width="2.28515625" customWidth="1"/>
    <col min="109" max="109" width="2.42578125" customWidth="1"/>
    <col min="110" max="110" width="2.5703125" customWidth="1"/>
    <col min="111" max="111" width="2.28515625" customWidth="1"/>
    <col min="112" max="112" width="2.140625" customWidth="1"/>
    <col min="113" max="115" width="2" customWidth="1"/>
    <col min="116" max="116" width="2.28515625" customWidth="1"/>
    <col min="117" max="118" width="2.7109375" customWidth="1"/>
    <col min="119" max="119" width="2.28515625" customWidth="1"/>
    <col min="120" max="120" width="2" customWidth="1"/>
    <col min="121" max="121" width="1.85546875" customWidth="1"/>
    <col min="122" max="122" width="2" customWidth="1"/>
    <col min="123" max="123" width="2.28515625" customWidth="1"/>
    <col min="124" max="124" width="2.5703125" customWidth="1"/>
    <col min="125" max="125" width="2" customWidth="1"/>
    <col min="126" max="126" width="2.42578125" customWidth="1"/>
    <col min="127" max="127" width="2.28515625" customWidth="1"/>
    <col min="128" max="128" width="3.140625" customWidth="1"/>
    <col min="129" max="129" width="2.42578125" customWidth="1"/>
    <col min="130" max="130" width="1.85546875" customWidth="1"/>
    <col min="131" max="131" width="2" customWidth="1"/>
    <col min="132" max="132" width="1.85546875" customWidth="1"/>
    <col min="133" max="133" width="2.140625" customWidth="1"/>
    <col min="134" max="134" width="2" customWidth="1"/>
    <col min="135" max="135" width="2.28515625" customWidth="1"/>
    <col min="136" max="136" width="2.5703125" customWidth="1"/>
    <col min="137" max="137" width="1.85546875" customWidth="1"/>
    <col min="138" max="138" width="2.28515625" customWidth="1"/>
    <col min="139" max="139" width="3" customWidth="1"/>
    <col min="140" max="140" width="2.42578125" customWidth="1"/>
    <col min="141" max="141" width="2.140625" customWidth="1"/>
    <col min="142" max="142" width="2" customWidth="1"/>
    <col min="143" max="143" width="2.5703125" customWidth="1"/>
    <col min="144" max="144" width="2.28515625" customWidth="1"/>
    <col min="145" max="145" width="2.140625" customWidth="1"/>
    <col min="146" max="146" width="2.7109375" customWidth="1"/>
    <col min="147" max="147" width="2.42578125" customWidth="1"/>
    <col min="148" max="148" width="2.140625" customWidth="1"/>
    <col min="149" max="150" width="3.5703125" customWidth="1"/>
    <col min="151" max="151" width="2.85546875" customWidth="1"/>
    <col min="152" max="152" width="3.28515625" customWidth="1"/>
    <col min="153" max="153" width="2.85546875" customWidth="1"/>
    <col min="154" max="155" width="3.7109375" customWidth="1"/>
    <col min="156" max="156" width="2.85546875" customWidth="1"/>
    <col min="157" max="158" width="3" customWidth="1"/>
    <col min="159" max="159" width="3.5703125" customWidth="1"/>
    <col min="160" max="160" width="3" customWidth="1"/>
    <col min="161" max="161" width="3.5703125" customWidth="1"/>
    <col min="162" max="162" width="4" customWidth="1"/>
    <col min="163" max="163" width="5.7109375" customWidth="1"/>
    <col min="164" max="164" width="9.140625" customWidth="1"/>
    <col min="165" max="165" width="6.42578125" customWidth="1"/>
    <col min="166" max="166" width="5.42578125" bestFit="1" customWidth="1"/>
    <col min="167" max="167" width="3.42578125" customWidth="1"/>
  </cols>
  <sheetData>
    <row r="1" spans="1:167" ht="53.25" customHeight="1">
      <c r="A1" s="549"/>
      <c r="B1" s="449"/>
      <c r="C1" s="449"/>
      <c r="D1" s="449"/>
      <c r="E1" s="448" t="s">
        <v>0</v>
      </c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U1" s="449"/>
      <c r="CV1" s="449"/>
      <c r="CW1" s="449"/>
      <c r="CX1" s="449"/>
      <c r="CY1" s="449"/>
      <c r="CZ1" s="449"/>
      <c r="DA1" s="449"/>
      <c r="DB1" s="449"/>
      <c r="DC1" s="449"/>
      <c r="DD1" s="449"/>
      <c r="DE1" s="449"/>
      <c r="DF1" s="449"/>
      <c r="DG1" s="449"/>
      <c r="DH1" s="449"/>
      <c r="DI1" s="449"/>
      <c r="DJ1" s="449"/>
      <c r="DK1" s="449"/>
      <c r="DL1" s="449"/>
      <c r="DM1" s="449"/>
      <c r="DN1" s="449"/>
      <c r="DO1" s="449"/>
      <c r="DP1" s="449"/>
      <c r="DQ1" s="449"/>
      <c r="DR1" s="449"/>
      <c r="DS1" s="449"/>
      <c r="DT1" s="449"/>
      <c r="DU1" s="449"/>
      <c r="DV1" s="449"/>
      <c r="DW1" s="449"/>
      <c r="DX1" s="449"/>
      <c r="DY1" s="449"/>
      <c r="DZ1" s="449"/>
      <c r="EA1" s="449"/>
      <c r="EB1" s="449"/>
      <c r="EC1" s="449"/>
      <c r="ED1" s="449"/>
      <c r="EE1" s="449"/>
      <c r="EF1" s="449"/>
      <c r="EG1" s="449"/>
      <c r="EH1" s="449"/>
      <c r="EI1" s="449"/>
      <c r="EJ1" s="449"/>
      <c r="EK1" s="449"/>
      <c r="EL1" s="449"/>
      <c r="EM1" s="449"/>
      <c r="EN1" s="449"/>
      <c r="EO1" s="449"/>
      <c r="EP1" s="449"/>
      <c r="EQ1" s="449"/>
      <c r="ER1" s="449"/>
      <c r="ES1" s="449"/>
      <c r="ET1" s="449"/>
      <c r="EU1" s="449"/>
      <c r="EV1" s="449"/>
      <c r="EW1" s="449"/>
      <c r="EX1" s="449"/>
      <c r="EY1" s="449"/>
      <c r="EZ1" s="449"/>
      <c r="FA1" s="449"/>
      <c r="FB1" s="449"/>
      <c r="FC1" s="449"/>
      <c r="FD1" s="449"/>
      <c r="FE1" s="449"/>
      <c r="FF1" s="449"/>
      <c r="FG1" s="449"/>
      <c r="FH1" s="449"/>
      <c r="FI1" s="449"/>
      <c r="FJ1" s="449"/>
      <c r="FK1" s="450"/>
    </row>
    <row r="2" spans="1:167" ht="21.75" customHeight="1">
      <c r="A2" s="551"/>
      <c r="B2" s="548"/>
      <c r="C2" s="548"/>
      <c r="D2" s="548"/>
      <c r="E2" s="451" t="s">
        <v>1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  <c r="AL2" s="452"/>
      <c r="AM2" s="452"/>
      <c r="AN2" s="452"/>
      <c r="AO2" s="452"/>
      <c r="AP2" s="452"/>
      <c r="AQ2" s="452"/>
      <c r="AR2" s="452"/>
      <c r="AS2" s="452"/>
      <c r="AT2" s="452"/>
      <c r="AU2" s="452"/>
      <c r="AV2" s="452"/>
      <c r="AW2" s="452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2"/>
      <c r="BI2" s="452"/>
      <c r="BJ2" s="452"/>
      <c r="BK2" s="452"/>
      <c r="BL2" s="452"/>
      <c r="BM2" s="452"/>
      <c r="BN2" s="452"/>
      <c r="BO2" s="452"/>
      <c r="BP2" s="452"/>
      <c r="BQ2" s="452"/>
      <c r="BR2" s="452"/>
      <c r="BS2" s="452"/>
      <c r="BT2" s="452"/>
      <c r="BU2" s="452"/>
      <c r="BV2" s="452"/>
      <c r="BW2" s="452"/>
      <c r="BX2" s="452"/>
      <c r="BY2" s="452"/>
      <c r="BZ2" s="452"/>
      <c r="CA2" s="452"/>
      <c r="CB2" s="452"/>
      <c r="CC2" s="452"/>
      <c r="CD2" s="452"/>
      <c r="CE2" s="452"/>
      <c r="CF2" s="452"/>
      <c r="CG2" s="452"/>
      <c r="CH2" s="452"/>
      <c r="CI2" s="452"/>
      <c r="CJ2" s="452"/>
      <c r="CK2" s="452"/>
      <c r="CL2" s="452"/>
      <c r="CM2" s="452"/>
      <c r="CN2" s="452"/>
      <c r="CO2" s="452"/>
      <c r="CP2" s="452"/>
      <c r="CQ2" s="452"/>
      <c r="CR2" s="452"/>
      <c r="CS2" s="452"/>
      <c r="CT2" s="452"/>
      <c r="CU2" s="452"/>
      <c r="CV2" s="452"/>
      <c r="CW2" s="452"/>
      <c r="CX2" s="452"/>
      <c r="CY2" s="452"/>
      <c r="CZ2" s="452"/>
      <c r="DA2" s="452"/>
      <c r="DB2" s="452"/>
      <c r="DC2" s="452"/>
      <c r="DD2" s="452"/>
      <c r="DE2" s="452"/>
      <c r="DF2" s="452"/>
      <c r="DG2" s="452"/>
      <c r="DH2" s="452"/>
      <c r="DI2" s="452"/>
      <c r="DJ2" s="452"/>
      <c r="DK2" s="452"/>
      <c r="DL2" s="452"/>
      <c r="DM2" s="452"/>
      <c r="DN2" s="452"/>
      <c r="DO2" s="452"/>
      <c r="DP2" s="452"/>
      <c r="DQ2" s="452"/>
      <c r="DR2" s="452"/>
      <c r="DS2" s="452"/>
      <c r="DT2" s="452"/>
      <c r="DU2" s="452"/>
      <c r="DV2" s="452"/>
      <c r="DW2" s="452"/>
      <c r="DX2" s="452"/>
      <c r="DY2" s="452"/>
      <c r="DZ2" s="452"/>
      <c r="EA2" s="452"/>
      <c r="EB2" s="452"/>
      <c r="EC2" s="452"/>
      <c r="ED2" s="452"/>
      <c r="EE2" s="452"/>
      <c r="EF2" s="452"/>
      <c r="EG2" s="452"/>
      <c r="EH2" s="452"/>
      <c r="EI2" s="452"/>
      <c r="EJ2" s="452"/>
      <c r="EK2" s="452"/>
      <c r="EL2" s="452"/>
      <c r="EM2" s="452"/>
      <c r="EN2" s="452"/>
      <c r="EO2" s="452"/>
      <c r="EP2" s="452"/>
      <c r="EQ2" s="452"/>
      <c r="ER2" s="452"/>
      <c r="ES2" s="452"/>
      <c r="ET2" s="452"/>
      <c r="EU2" s="452"/>
      <c r="EV2" s="452"/>
      <c r="EW2" s="452"/>
      <c r="EX2" s="452"/>
      <c r="EY2" s="452"/>
      <c r="EZ2" s="452"/>
      <c r="FA2" s="452"/>
      <c r="FB2" s="452"/>
      <c r="FC2" s="452"/>
      <c r="FD2" s="452"/>
      <c r="FE2" s="452"/>
      <c r="FF2" s="452"/>
      <c r="FG2" s="452"/>
      <c r="FH2" s="452"/>
      <c r="FI2" s="452"/>
      <c r="FJ2" s="452"/>
      <c r="FK2" s="453"/>
    </row>
    <row r="3" spans="1:167" ht="21.75" customHeight="1">
      <c r="A3" s="551"/>
      <c r="B3" s="548"/>
      <c r="C3" s="548"/>
      <c r="D3" s="548"/>
      <c r="E3" s="454" t="s">
        <v>2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  <c r="BJ3" s="452"/>
      <c r="BK3" s="452"/>
      <c r="BL3" s="452"/>
      <c r="BM3" s="452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  <c r="BY3" s="452"/>
      <c r="BZ3" s="452"/>
      <c r="CA3" s="452"/>
      <c r="CB3" s="452"/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  <c r="DJ3" s="452"/>
      <c r="DK3" s="452"/>
      <c r="DL3" s="452"/>
      <c r="DM3" s="452"/>
      <c r="DN3" s="452"/>
      <c r="DO3" s="452"/>
      <c r="DP3" s="452"/>
      <c r="DQ3" s="452"/>
      <c r="DR3" s="452"/>
      <c r="DS3" s="452"/>
      <c r="DT3" s="452"/>
      <c r="DU3" s="452"/>
      <c r="DV3" s="452"/>
      <c r="DW3" s="452"/>
      <c r="DX3" s="452"/>
      <c r="DY3" s="452"/>
      <c r="DZ3" s="452"/>
      <c r="EA3" s="452"/>
      <c r="EB3" s="452"/>
      <c r="EC3" s="452"/>
      <c r="ED3" s="452"/>
      <c r="EE3" s="452"/>
      <c r="EF3" s="452"/>
      <c r="EG3" s="452"/>
      <c r="EH3" s="452"/>
      <c r="EI3" s="452"/>
      <c r="EJ3" s="452"/>
      <c r="EK3" s="452"/>
      <c r="EL3" s="452"/>
      <c r="EM3" s="452"/>
      <c r="EN3" s="452"/>
      <c r="EO3" s="452"/>
      <c r="EP3" s="452"/>
      <c r="EQ3" s="452"/>
      <c r="ER3" s="452"/>
      <c r="ES3" s="452"/>
      <c r="ET3" s="452"/>
      <c r="EU3" s="452"/>
      <c r="EV3" s="452"/>
      <c r="EW3" s="452"/>
      <c r="EX3" s="452"/>
      <c r="EY3" s="452"/>
      <c r="EZ3" s="452"/>
      <c r="FA3" s="452"/>
      <c r="FB3" s="452"/>
      <c r="FC3" s="452"/>
      <c r="FD3" s="452"/>
      <c r="FE3" s="452"/>
      <c r="FF3" s="452"/>
      <c r="FG3" s="452"/>
      <c r="FH3" s="452"/>
      <c r="FI3" s="452"/>
      <c r="FJ3" s="452"/>
      <c r="FK3" s="453"/>
    </row>
    <row r="4" spans="1:167" ht="35.25" customHeight="1">
      <c r="A4" s="551"/>
      <c r="B4" s="548"/>
      <c r="C4" s="548"/>
      <c r="D4" s="548"/>
      <c r="E4" s="455" t="s">
        <v>3</v>
      </c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D4" s="456"/>
      <c r="BE4" s="456"/>
      <c r="BF4" s="456"/>
      <c r="BG4" s="456"/>
      <c r="BH4" s="456"/>
      <c r="BI4" s="456"/>
      <c r="BJ4" s="456"/>
      <c r="BK4" s="456"/>
      <c r="BL4" s="456"/>
      <c r="BM4" s="456"/>
      <c r="BN4" s="456"/>
      <c r="BO4" s="456"/>
      <c r="BP4" s="456"/>
      <c r="BQ4" s="456"/>
      <c r="BR4" s="456"/>
      <c r="BS4" s="456"/>
      <c r="BT4" s="456"/>
      <c r="BU4" s="456"/>
      <c r="BV4" s="456"/>
      <c r="BW4" s="456"/>
      <c r="BX4" s="456"/>
      <c r="BY4" s="456"/>
      <c r="BZ4" s="456"/>
      <c r="CA4" s="456"/>
      <c r="CB4" s="456"/>
      <c r="CC4" s="456"/>
      <c r="CD4" s="456"/>
      <c r="CE4" s="456"/>
      <c r="CF4" s="456"/>
      <c r="CG4" s="456"/>
      <c r="CH4" s="456"/>
      <c r="CI4" s="456"/>
      <c r="CJ4" s="456"/>
      <c r="CK4" s="456"/>
      <c r="CL4" s="456"/>
      <c r="CM4" s="456"/>
      <c r="CN4" s="456"/>
      <c r="CO4" s="456"/>
      <c r="CP4" s="456"/>
      <c r="CQ4" s="456"/>
      <c r="CR4" s="456"/>
      <c r="CS4" s="456"/>
      <c r="CT4" s="456"/>
      <c r="CU4" s="456"/>
      <c r="CV4" s="456"/>
      <c r="CW4" s="456"/>
      <c r="CX4" s="456"/>
      <c r="CY4" s="456"/>
      <c r="CZ4" s="456"/>
      <c r="DA4" s="456"/>
      <c r="DB4" s="456"/>
      <c r="DC4" s="456"/>
      <c r="DD4" s="456"/>
      <c r="DE4" s="456"/>
      <c r="DF4" s="456"/>
      <c r="DG4" s="456"/>
      <c r="DH4" s="456"/>
      <c r="DI4" s="456"/>
      <c r="DJ4" s="456"/>
      <c r="DK4" s="456"/>
      <c r="DL4" s="456"/>
      <c r="DM4" s="456"/>
      <c r="DN4" s="456"/>
      <c r="DO4" s="456"/>
      <c r="DP4" s="456"/>
      <c r="DQ4" s="456"/>
      <c r="DR4" s="456"/>
      <c r="DS4" s="456"/>
      <c r="DT4" s="456"/>
      <c r="DU4" s="456"/>
      <c r="DV4" s="456"/>
      <c r="DW4" s="456"/>
      <c r="DX4" s="456"/>
      <c r="DY4" s="456"/>
      <c r="DZ4" s="456"/>
      <c r="EA4" s="456"/>
      <c r="EB4" s="456"/>
      <c r="EC4" s="456"/>
      <c r="ED4" s="456"/>
      <c r="EE4" s="456"/>
      <c r="EF4" s="456"/>
      <c r="EG4" s="456"/>
      <c r="EH4" s="456"/>
      <c r="EI4" s="456"/>
      <c r="EJ4" s="456"/>
      <c r="EK4" s="456"/>
      <c r="EL4" s="456"/>
      <c r="EM4" s="456"/>
      <c r="EN4" s="456"/>
      <c r="EO4" s="456"/>
      <c r="EP4" s="456"/>
      <c r="EQ4" s="456"/>
      <c r="ER4" s="456"/>
      <c r="ES4" s="456"/>
      <c r="ET4" s="456"/>
      <c r="EU4" s="456"/>
      <c r="EV4" s="456"/>
      <c r="EW4" s="456"/>
      <c r="EX4" s="456"/>
      <c r="EY4" s="456"/>
      <c r="EZ4" s="456"/>
      <c r="FA4" s="456"/>
      <c r="FB4" s="456"/>
      <c r="FC4" s="456"/>
      <c r="FD4" s="456"/>
      <c r="FE4" s="456"/>
      <c r="FF4" s="456"/>
      <c r="FG4" s="456"/>
      <c r="FH4" s="456"/>
      <c r="FI4" s="456"/>
      <c r="FJ4" s="456"/>
      <c r="FK4" s="457"/>
    </row>
    <row r="5" spans="1:167" ht="19.5" customHeight="1">
      <c r="A5" s="1"/>
      <c r="B5" s="169"/>
      <c r="C5" s="458" t="s">
        <v>48</v>
      </c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60"/>
      <c r="Y5" s="461"/>
      <c r="Z5" s="459"/>
      <c r="AA5" s="459"/>
      <c r="AB5" s="459"/>
      <c r="AC5" s="459"/>
      <c r="AD5" s="459"/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9"/>
      <c r="AQ5" s="459"/>
      <c r="AR5" s="459"/>
      <c r="AS5" s="459"/>
      <c r="AT5" s="459"/>
      <c r="AU5" s="459"/>
      <c r="AV5" s="459"/>
      <c r="AW5" s="459"/>
      <c r="AX5" s="459"/>
      <c r="AY5" s="459"/>
      <c r="AZ5" s="459"/>
      <c r="BA5" s="459"/>
      <c r="BB5" s="459"/>
      <c r="BC5" s="459"/>
      <c r="BD5" s="459"/>
      <c r="BE5" s="459"/>
      <c r="BF5" s="459"/>
      <c r="BG5" s="459"/>
      <c r="BH5" s="459"/>
      <c r="BI5" s="459"/>
      <c r="BJ5" s="459"/>
      <c r="BK5" s="459"/>
      <c r="BL5" s="459"/>
      <c r="BM5" s="459"/>
      <c r="BN5" s="459"/>
      <c r="BO5" s="459"/>
      <c r="BP5" s="459"/>
      <c r="BQ5" s="459"/>
      <c r="BR5" s="459"/>
      <c r="BS5" s="459"/>
      <c r="BT5" s="459"/>
      <c r="BU5" s="459"/>
      <c r="BV5" s="459"/>
      <c r="BW5" s="459"/>
      <c r="BX5" s="459"/>
      <c r="BY5" s="459"/>
      <c r="BZ5" s="459"/>
      <c r="CA5" s="459"/>
      <c r="CB5" s="459"/>
      <c r="CC5" s="459"/>
      <c r="CD5" s="459"/>
      <c r="CE5" s="459"/>
      <c r="CF5" s="459"/>
      <c r="CG5" s="459"/>
      <c r="CH5" s="459"/>
      <c r="CI5" s="459"/>
      <c r="CJ5" s="459"/>
      <c r="CK5" s="459"/>
      <c r="CL5" s="459"/>
      <c r="CM5" s="459"/>
      <c r="CN5" s="459"/>
      <c r="CO5" s="459"/>
      <c r="CP5" s="459"/>
      <c r="CQ5" s="459"/>
      <c r="CR5" s="459"/>
      <c r="CS5" s="459"/>
      <c r="CT5" s="459"/>
      <c r="CU5" s="459"/>
      <c r="CV5" s="459"/>
      <c r="CW5" s="459"/>
      <c r="CX5" s="459"/>
      <c r="CY5" s="459"/>
      <c r="CZ5" s="459"/>
      <c r="DA5" s="459"/>
      <c r="DB5" s="459"/>
      <c r="DC5" s="459"/>
      <c r="DD5" s="459"/>
      <c r="DE5" s="459"/>
      <c r="DF5" s="459"/>
      <c r="DG5" s="459"/>
      <c r="DH5" s="459"/>
      <c r="DI5" s="459"/>
      <c r="DJ5" s="459"/>
      <c r="DK5" s="459"/>
      <c r="DL5" s="459"/>
      <c r="DM5" s="459"/>
      <c r="DN5" s="459"/>
      <c r="DO5" s="459"/>
      <c r="DP5" s="459"/>
      <c r="DQ5" s="459"/>
      <c r="DR5" s="459"/>
      <c r="DS5" s="459"/>
      <c r="DT5" s="459"/>
      <c r="DU5" s="459"/>
      <c r="DV5" s="459"/>
      <c r="DW5" s="459"/>
      <c r="DX5" s="459"/>
      <c r="DY5" s="459"/>
      <c r="DZ5" s="459"/>
      <c r="EA5" s="459"/>
      <c r="EB5" s="459"/>
      <c r="EC5" s="459"/>
      <c r="ED5" s="459"/>
      <c r="EE5" s="459"/>
      <c r="EF5" s="459"/>
      <c r="EG5" s="459"/>
      <c r="EH5" s="459"/>
      <c r="EI5" s="459"/>
      <c r="EJ5" s="459"/>
      <c r="EK5" s="459"/>
      <c r="EL5" s="459"/>
      <c r="EM5" s="459"/>
      <c r="EN5" s="459"/>
      <c r="EO5" s="459"/>
      <c r="EP5" s="459"/>
      <c r="EQ5" s="459"/>
      <c r="ER5" s="459"/>
      <c r="ES5" s="459"/>
      <c r="ET5" s="459"/>
      <c r="EU5" s="459"/>
      <c r="EV5" s="459"/>
      <c r="EW5" s="459"/>
      <c r="EX5" s="459"/>
      <c r="EY5" s="459"/>
      <c r="EZ5" s="459"/>
      <c r="FA5" s="459"/>
      <c r="FB5" s="459"/>
      <c r="FC5" s="459"/>
      <c r="FD5" s="459"/>
      <c r="FE5" s="459"/>
      <c r="FF5" s="459"/>
      <c r="FG5" s="459"/>
      <c r="FH5" s="459"/>
      <c r="FI5" s="459"/>
      <c r="FJ5" s="459"/>
      <c r="FK5" s="460"/>
    </row>
    <row r="6" spans="1:167" ht="53.25" customHeight="1" thickBot="1">
      <c r="A6" s="1"/>
      <c r="B6" s="159" t="s">
        <v>4</v>
      </c>
      <c r="C6" s="160" t="s">
        <v>5</v>
      </c>
      <c r="D6" s="161" t="s">
        <v>49</v>
      </c>
      <c r="E6" s="162" t="s">
        <v>7</v>
      </c>
      <c r="F6" s="163" t="s">
        <v>8</v>
      </c>
      <c r="G6" s="462" t="s">
        <v>9</v>
      </c>
      <c r="H6" s="460"/>
      <c r="I6" s="463" t="s">
        <v>50</v>
      </c>
      <c r="J6" s="464"/>
      <c r="K6" s="464"/>
      <c r="L6" s="464"/>
      <c r="M6" s="464"/>
      <c r="N6" s="464"/>
      <c r="O6" s="464"/>
      <c r="P6" s="464"/>
      <c r="Q6" s="464"/>
      <c r="R6" s="465"/>
      <c r="S6" s="466" t="s">
        <v>51</v>
      </c>
      <c r="T6" s="459"/>
      <c r="U6" s="459"/>
      <c r="V6" s="459"/>
      <c r="W6" s="459"/>
      <c r="X6" s="459"/>
      <c r="Y6" s="459"/>
      <c r="Z6" s="459"/>
      <c r="AA6" s="459"/>
      <c r="AB6" s="460"/>
      <c r="AC6" s="467" t="s">
        <v>52</v>
      </c>
      <c r="AD6" s="468"/>
      <c r="AE6" s="468"/>
      <c r="AF6" s="468"/>
      <c r="AG6" s="468"/>
      <c r="AH6" s="468"/>
      <c r="AI6" s="468"/>
      <c r="AJ6" s="468"/>
      <c r="AK6" s="468"/>
      <c r="AL6" s="469"/>
      <c r="AM6" s="470" t="s">
        <v>182</v>
      </c>
      <c r="AN6" s="468"/>
      <c r="AO6" s="468"/>
      <c r="AP6" s="468"/>
      <c r="AQ6" s="468"/>
      <c r="AR6" s="468"/>
      <c r="AS6" s="468"/>
      <c r="AT6" s="468"/>
      <c r="AU6" s="468"/>
      <c r="AV6" s="469"/>
      <c r="AW6" s="467" t="s">
        <v>53</v>
      </c>
      <c r="AX6" s="468"/>
      <c r="AY6" s="468"/>
      <c r="AZ6" s="468"/>
      <c r="BA6" s="468"/>
      <c r="BB6" s="468"/>
      <c r="BC6" s="468"/>
      <c r="BD6" s="468"/>
      <c r="BE6" s="468"/>
      <c r="BF6" s="469"/>
      <c r="BG6" s="471" t="s">
        <v>183</v>
      </c>
      <c r="BH6" s="472"/>
      <c r="BI6" s="472"/>
      <c r="BJ6" s="472"/>
      <c r="BK6" s="472"/>
      <c r="BL6" s="472"/>
      <c r="BM6" s="472"/>
      <c r="BN6" s="472"/>
      <c r="BO6" s="472"/>
      <c r="BP6" s="473"/>
      <c r="BQ6" s="467" t="s">
        <v>54</v>
      </c>
      <c r="BR6" s="468"/>
      <c r="BS6" s="468"/>
      <c r="BT6" s="468"/>
      <c r="BU6" s="468"/>
      <c r="BV6" s="468"/>
      <c r="BW6" s="468"/>
      <c r="BX6" s="468"/>
      <c r="BY6" s="468"/>
      <c r="BZ6" s="469"/>
      <c r="CA6" s="474" t="s">
        <v>184</v>
      </c>
      <c r="CB6" s="475"/>
      <c r="CC6" s="475"/>
      <c r="CD6" s="475"/>
      <c r="CE6" s="475"/>
      <c r="CF6" s="475"/>
      <c r="CG6" s="475"/>
      <c r="CH6" s="475"/>
      <c r="CI6" s="475"/>
      <c r="CJ6" s="476"/>
      <c r="CK6" s="477" t="s">
        <v>261</v>
      </c>
      <c r="CL6" s="478"/>
      <c r="CM6" s="478"/>
      <c r="CN6" s="478"/>
      <c r="CO6" s="478"/>
      <c r="CP6" s="478"/>
      <c r="CQ6" s="478"/>
      <c r="CR6" s="478"/>
      <c r="CS6" s="478"/>
      <c r="CT6" s="479"/>
      <c r="CU6" s="480" t="s">
        <v>185</v>
      </c>
      <c r="CV6" s="475"/>
      <c r="CW6" s="475"/>
      <c r="CX6" s="475"/>
      <c r="CY6" s="475"/>
      <c r="CZ6" s="475"/>
      <c r="DA6" s="475"/>
      <c r="DB6" s="475"/>
      <c r="DC6" s="475"/>
      <c r="DD6" s="476"/>
      <c r="DE6" s="481" t="s">
        <v>186</v>
      </c>
      <c r="DF6" s="459"/>
      <c r="DG6" s="459"/>
      <c r="DH6" s="459"/>
      <c r="DI6" s="459"/>
      <c r="DJ6" s="459"/>
      <c r="DK6" s="459"/>
      <c r="DL6" s="459"/>
      <c r="DM6" s="459"/>
      <c r="DN6" s="460"/>
      <c r="DO6" s="482" t="s">
        <v>187</v>
      </c>
      <c r="DP6" s="483"/>
      <c r="DQ6" s="483"/>
      <c r="DR6" s="483"/>
      <c r="DS6" s="483"/>
      <c r="DT6" s="483"/>
      <c r="DU6" s="483"/>
      <c r="DV6" s="483"/>
      <c r="DW6" s="483"/>
      <c r="DX6" s="484"/>
      <c r="DY6" s="485" t="s">
        <v>55</v>
      </c>
      <c r="DZ6" s="486"/>
      <c r="EA6" s="486"/>
      <c r="EB6" s="486"/>
      <c r="EC6" s="486"/>
      <c r="ED6" s="486"/>
      <c r="EE6" s="486"/>
      <c r="EF6" s="486"/>
      <c r="EG6" s="486"/>
      <c r="EH6" s="487"/>
      <c r="EI6" s="467" t="s">
        <v>56</v>
      </c>
      <c r="EJ6" s="468"/>
      <c r="EK6" s="468"/>
      <c r="EL6" s="468"/>
      <c r="EM6" s="468"/>
      <c r="EN6" s="468"/>
      <c r="EO6" s="468"/>
      <c r="EP6" s="468"/>
      <c r="EQ6" s="468"/>
      <c r="ER6" s="469"/>
      <c r="ES6" s="488" t="s">
        <v>260</v>
      </c>
      <c r="ET6" s="489"/>
      <c r="EU6" s="489"/>
      <c r="EV6" s="489"/>
      <c r="EW6" s="489"/>
      <c r="EX6" s="489"/>
      <c r="EY6" s="489"/>
      <c r="EZ6" s="489"/>
      <c r="FA6" s="489"/>
      <c r="FB6" s="489"/>
      <c r="FC6" s="489"/>
      <c r="FD6" s="489"/>
      <c r="FE6" s="489"/>
      <c r="FF6" s="490"/>
      <c r="FG6" s="189" t="s">
        <v>5</v>
      </c>
      <c r="FH6" s="190" t="s">
        <v>21</v>
      </c>
      <c r="FI6" s="191" t="s">
        <v>22</v>
      </c>
      <c r="FJ6" s="192" t="s">
        <v>23</v>
      </c>
      <c r="FK6" s="6"/>
    </row>
    <row r="7" spans="1:167" ht="18" customHeight="1" thickBot="1">
      <c r="A7" s="2"/>
      <c r="B7" s="17"/>
      <c r="C7" s="18"/>
      <c r="D7" s="179" t="s">
        <v>24</v>
      </c>
      <c r="E7" s="15"/>
      <c r="F7" s="16"/>
      <c r="G7" s="491"/>
      <c r="H7" s="492"/>
      <c r="I7" s="353">
        <v>1</v>
      </c>
      <c r="J7" s="354">
        <v>1</v>
      </c>
      <c r="K7" s="354">
        <v>1</v>
      </c>
      <c r="L7" s="354">
        <v>1</v>
      </c>
      <c r="M7" s="354">
        <v>1</v>
      </c>
      <c r="N7" s="354">
        <v>1</v>
      </c>
      <c r="O7" s="354">
        <v>1</v>
      </c>
      <c r="P7" s="354">
        <v>1</v>
      </c>
      <c r="Q7" s="354">
        <v>1</v>
      </c>
      <c r="R7" s="355">
        <v>1</v>
      </c>
      <c r="S7" s="232">
        <v>1</v>
      </c>
      <c r="T7" s="208">
        <v>1</v>
      </c>
      <c r="U7" s="208">
        <v>1</v>
      </c>
      <c r="V7" s="208">
        <v>1</v>
      </c>
      <c r="W7" s="208">
        <v>1</v>
      </c>
      <c r="X7" s="208">
        <v>1</v>
      </c>
      <c r="Y7" s="208">
        <v>1</v>
      </c>
      <c r="Z7" s="208">
        <v>1</v>
      </c>
      <c r="AA7" s="208">
        <v>1</v>
      </c>
      <c r="AB7" s="208">
        <v>1</v>
      </c>
      <c r="AC7" s="22">
        <v>1</v>
      </c>
      <c r="AD7" s="22">
        <v>1</v>
      </c>
      <c r="AE7" s="22">
        <v>1</v>
      </c>
      <c r="AF7" s="22">
        <v>1</v>
      </c>
      <c r="AG7" s="21"/>
      <c r="AH7" s="21"/>
      <c r="AI7" s="21">
        <v>1</v>
      </c>
      <c r="AJ7" s="21">
        <v>1</v>
      </c>
      <c r="AK7" s="21">
        <v>1</v>
      </c>
      <c r="AL7" s="21">
        <v>1</v>
      </c>
      <c r="AM7" s="358">
        <v>1</v>
      </c>
      <c r="AN7" s="358">
        <v>1</v>
      </c>
      <c r="AO7" s="358">
        <v>1</v>
      </c>
      <c r="AP7" s="358">
        <v>1</v>
      </c>
      <c r="AQ7" s="358">
        <v>1</v>
      </c>
      <c r="AR7" s="358">
        <v>1</v>
      </c>
      <c r="AS7" s="358">
        <v>1</v>
      </c>
      <c r="AT7" s="358">
        <v>1</v>
      </c>
      <c r="AU7" s="358">
        <v>1</v>
      </c>
      <c r="AV7" s="358">
        <v>1</v>
      </c>
      <c r="AW7" s="358">
        <v>1</v>
      </c>
      <c r="AX7" s="358">
        <v>1</v>
      </c>
      <c r="AY7" s="358">
        <v>1</v>
      </c>
      <c r="AZ7" s="358">
        <v>1</v>
      </c>
      <c r="BA7" s="358">
        <v>1</v>
      </c>
      <c r="BB7" s="358">
        <v>1</v>
      </c>
      <c r="BC7" s="358">
        <v>1</v>
      </c>
      <c r="BD7" s="358">
        <v>1</v>
      </c>
      <c r="BE7" s="358">
        <v>1</v>
      </c>
      <c r="BF7" s="358">
        <v>1</v>
      </c>
      <c r="BG7" s="358">
        <v>1</v>
      </c>
      <c r="BH7" s="358">
        <v>1</v>
      </c>
      <c r="BI7" s="358">
        <v>1</v>
      </c>
      <c r="BJ7" s="358">
        <v>1</v>
      </c>
      <c r="BK7" s="358">
        <v>1</v>
      </c>
      <c r="BL7" s="358">
        <v>1</v>
      </c>
      <c r="BM7" s="358">
        <v>1</v>
      </c>
      <c r="BN7" s="358">
        <v>1</v>
      </c>
      <c r="BO7" s="358">
        <v>1</v>
      </c>
      <c r="BP7" s="358">
        <v>1</v>
      </c>
      <c r="BQ7" s="22">
        <v>1</v>
      </c>
      <c r="BR7" s="21">
        <v>1</v>
      </c>
      <c r="BS7" s="21">
        <v>1</v>
      </c>
      <c r="BT7" s="21">
        <v>1</v>
      </c>
      <c r="BU7" s="21">
        <v>1</v>
      </c>
      <c r="BV7" s="21">
        <v>1</v>
      </c>
      <c r="BW7" s="21">
        <v>1</v>
      </c>
      <c r="BX7" s="21">
        <v>1</v>
      </c>
      <c r="BY7" s="21">
        <v>1</v>
      </c>
      <c r="BZ7" s="21">
        <v>1</v>
      </c>
      <c r="CA7" s="208"/>
      <c r="CB7" s="208"/>
      <c r="CC7" s="208"/>
      <c r="CD7" s="208"/>
      <c r="CE7" s="208"/>
      <c r="CF7" s="208"/>
      <c r="CG7" s="208"/>
      <c r="CH7" s="208"/>
      <c r="CI7" s="208"/>
      <c r="CJ7" s="208"/>
      <c r="CK7" s="22">
        <v>1</v>
      </c>
      <c r="CL7" s="22">
        <v>1</v>
      </c>
      <c r="CM7" s="22">
        <v>1</v>
      </c>
      <c r="CN7" s="22">
        <v>1</v>
      </c>
      <c r="CO7" s="22">
        <v>1</v>
      </c>
      <c r="CP7" s="22">
        <v>1</v>
      </c>
      <c r="CQ7" s="22">
        <v>1</v>
      </c>
      <c r="CR7" s="22">
        <v>1</v>
      </c>
      <c r="CS7" s="22">
        <v>1</v>
      </c>
      <c r="CT7" s="22">
        <v>1</v>
      </c>
      <c r="CU7" s="208">
        <v>1</v>
      </c>
      <c r="CV7" s="208">
        <v>1</v>
      </c>
      <c r="CW7" s="208">
        <v>1</v>
      </c>
      <c r="CX7" s="208">
        <v>1</v>
      </c>
      <c r="CY7" s="208">
        <v>1</v>
      </c>
      <c r="CZ7" s="208">
        <v>1</v>
      </c>
      <c r="DA7" s="208">
        <v>1</v>
      </c>
      <c r="DB7" s="208">
        <v>1</v>
      </c>
      <c r="DC7" s="208">
        <v>1</v>
      </c>
      <c r="DD7" s="208">
        <v>1</v>
      </c>
      <c r="DE7" s="208">
        <v>1</v>
      </c>
      <c r="DF7" s="208">
        <v>1</v>
      </c>
      <c r="DG7" s="208">
        <v>1</v>
      </c>
      <c r="DH7" s="208">
        <v>1</v>
      </c>
      <c r="DI7" s="208">
        <v>1</v>
      </c>
      <c r="DJ7" s="208">
        <v>1</v>
      </c>
      <c r="DK7" s="208">
        <v>1</v>
      </c>
      <c r="DL7" s="208">
        <v>1</v>
      </c>
      <c r="DM7" s="208">
        <v>1</v>
      </c>
      <c r="DN7" s="208">
        <v>1</v>
      </c>
      <c r="DO7" s="208">
        <v>1</v>
      </c>
      <c r="DP7" s="208">
        <v>1</v>
      </c>
      <c r="DQ7" s="208">
        <v>1</v>
      </c>
      <c r="DR7" s="208">
        <v>1</v>
      </c>
      <c r="DS7" s="208">
        <v>1</v>
      </c>
      <c r="DT7" s="208">
        <v>1</v>
      </c>
      <c r="DU7" s="208">
        <v>1</v>
      </c>
      <c r="DV7" s="208">
        <v>1</v>
      </c>
      <c r="DW7" s="208">
        <v>1</v>
      </c>
      <c r="DX7" s="208">
        <v>1</v>
      </c>
      <c r="DY7" s="22">
        <v>1</v>
      </c>
      <c r="DZ7" s="22">
        <v>1</v>
      </c>
      <c r="EA7" s="22">
        <v>1</v>
      </c>
      <c r="EB7" s="22">
        <v>1</v>
      </c>
      <c r="EC7" s="22">
        <v>1</v>
      </c>
      <c r="ED7" s="22">
        <v>1</v>
      </c>
      <c r="EE7" s="22">
        <v>1</v>
      </c>
      <c r="EF7" s="22">
        <v>1</v>
      </c>
      <c r="EG7" s="22">
        <v>1</v>
      </c>
      <c r="EH7" s="22">
        <v>1</v>
      </c>
      <c r="EI7" s="22">
        <v>1</v>
      </c>
      <c r="EJ7" s="22">
        <v>1</v>
      </c>
      <c r="EK7" s="22">
        <v>1</v>
      </c>
      <c r="EL7" s="22">
        <v>1</v>
      </c>
      <c r="EM7" s="22">
        <v>1</v>
      </c>
      <c r="EN7" s="22">
        <v>1</v>
      </c>
      <c r="EO7" s="22">
        <v>1</v>
      </c>
      <c r="EP7" s="23">
        <v>1</v>
      </c>
      <c r="EQ7" s="23">
        <v>1</v>
      </c>
      <c r="ER7" s="22">
        <v>1</v>
      </c>
      <c r="ES7" s="199"/>
      <c r="ET7" s="199"/>
      <c r="EU7" s="199"/>
      <c r="EV7" s="199"/>
      <c r="EW7" s="199"/>
      <c r="EX7" s="199"/>
      <c r="EY7" s="199"/>
      <c r="EZ7" s="199"/>
      <c r="FA7" s="199"/>
      <c r="FB7" s="199"/>
      <c r="FC7" s="199"/>
      <c r="FD7" s="199"/>
      <c r="FE7" s="199"/>
      <c r="FF7" s="199"/>
      <c r="FG7" s="195"/>
      <c r="FH7" s="196"/>
      <c r="FI7" s="197"/>
      <c r="FJ7" s="198"/>
      <c r="FK7" s="7"/>
    </row>
    <row r="8" spans="1:167" ht="15" customHeight="1">
      <c r="A8" s="2"/>
      <c r="B8" s="3">
        <f t="shared" ref="B8:B57" si="0">IF(ISTEXT(D8),1,0)</f>
        <v>1</v>
      </c>
      <c r="C8" s="347">
        <f t="shared" ref="C8:C24" si="1">ROW(D1)</f>
        <v>1</v>
      </c>
      <c r="D8" s="183" t="s">
        <v>57</v>
      </c>
      <c r="E8" s="347"/>
      <c r="F8" s="347"/>
      <c r="G8" s="493">
        <v>45915</v>
      </c>
      <c r="H8" s="494"/>
      <c r="I8" s="351">
        <v>0</v>
      </c>
      <c r="J8" s="205">
        <v>0</v>
      </c>
      <c r="K8" s="205">
        <v>1</v>
      </c>
      <c r="L8" s="205">
        <v>1</v>
      </c>
      <c r="M8" s="205">
        <v>1</v>
      </c>
      <c r="N8" s="205">
        <v>1</v>
      </c>
      <c r="O8" s="205">
        <v>1</v>
      </c>
      <c r="P8" s="205">
        <v>1</v>
      </c>
      <c r="Q8" s="205">
        <v>1</v>
      </c>
      <c r="R8" s="352">
        <v>1</v>
      </c>
      <c r="S8" s="220">
        <v>1</v>
      </c>
      <c r="T8" s="221">
        <v>1</v>
      </c>
      <c r="U8" s="221">
        <v>1</v>
      </c>
      <c r="V8" s="221">
        <v>1</v>
      </c>
      <c r="W8" s="221">
        <v>1</v>
      </c>
      <c r="X8" s="221">
        <v>1</v>
      </c>
      <c r="Y8" s="221">
        <v>1</v>
      </c>
      <c r="Z8" s="221">
        <v>1</v>
      </c>
      <c r="AA8" s="221">
        <v>1</v>
      </c>
      <c r="AB8" s="222">
        <v>1</v>
      </c>
      <c r="AC8" s="255">
        <v>1</v>
      </c>
      <c r="AD8" s="256">
        <v>1</v>
      </c>
      <c r="AE8" s="256">
        <v>1</v>
      </c>
      <c r="AF8" s="256">
        <v>1</v>
      </c>
      <c r="AG8" s="528"/>
      <c r="AH8" s="529"/>
      <c r="AI8" s="256">
        <v>1</v>
      </c>
      <c r="AJ8" s="256">
        <v>1</v>
      </c>
      <c r="AK8" s="256">
        <v>1</v>
      </c>
      <c r="AL8" s="356">
        <v>1</v>
      </c>
      <c r="AM8" s="233">
        <v>1</v>
      </c>
      <c r="AN8" s="234">
        <v>1</v>
      </c>
      <c r="AO8" s="234">
        <v>1</v>
      </c>
      <c r="AP8" s="234">
        <v>1</v>
      </c>
      <c r="AQ8" s="234">
        <v>1</v>
      </c>
      <c r="AR8" s="234">
        <v>1</v>
      </c>
      <c r="AS8" s="234">
        <v>1</v>
      </c>
      <c r="AT8" s="234">
        <v>1</v>
      </c>
      <c r="AU8" s="234">
        <v>1</v>
      </c>
      <c r="AV8" s="270">
        <v>1</v>
      </c>
      <c r="AW8" s="359">
        <v>1</v>
      </c>
      <c r="AX8" s="360">
        <v>1</v>
      </c>
      <c r="AY8" s="360">
        <v>1</v>
      </c>
      <c r="AZ8" s="360">
        <v>1</v>
      </c>
      <c r="BA8" s="360">
        <v>1</v>
      </c>
      <c r="BB8" s="360">
        <v>1</v>
      </c>
      <c r="BC8" s="360">
        <v>1</v>
      </c>
      <c r="BD8" s="360">
        <v>1</v>
      </c>
      <c r="BE8" s="360">
        <v>1</v>
      </c>
      <c r="BF8" s="361">
        <v>1</v>
      </c>
      <c r="BG8" s="209">
        <v>1</v>
      </c>
      <c r="BH8" s="210">
        <v>1</v>
      </c>
      <c r="BI8" s="210">
        <v>1</v>
      </c>
      <c r="BJ8" s="210">
        <v>1</v>
      </c>
      <c r="BK8" s="304">
        <v>1</v>
      </c>
      <c r="BL8" s="304">
        <v>1</v>
      </c>
      <c r="BM8" s="304">
        <v>1</v>
      </c>
      <c r="BN8" s="304">
        <v>1</v>
      </c>
      <c r="BO8" s="304">
        <v>1</v>
      </c>
      <c r="BP8" s="305">
        <v>1</v>
      </c>
      <c r="BQ8" s="365">
        <v>1</v>
      </c>
      <c r="BR8" s="366">
        <v>1</v>
      </c>
      <c r="BS8" s="366">
        <v>1</v>
      </c>
      <c r="BT8" s="366">
        <v>1</v>
      </c>
      <c r="BU8" s="366">
        <v>1</v>
      </c>
      <c r="BV8" s="366">
        <v>1</v>
      </c>
      <c r="BW8" s="366">
        <v>1</v>
      </c>
      <c r="BX8" s="366">
        <v>1</v>
      </c>
      <c r="BY8" s="366">
        <v>1</v>
      </c>
      <c r="BZ8" s="367">
        <v>1</v>
      </c>
      <c r="CA8" s="534"/>
      <c r="CB8" s="535"/>
      <c r="CC8" s="535"/>
      <c r="CD8" s="535"/>
      <c r="CE8" s="535"/>
      <c r="CF8" s="535"/>
      <c r="CG8" s="535"/>
      <c r="CH8" s="535"/>
      <c r="CI8" s="535"/>
      <c r="CJ8" s="536"/>
      <c r="CK8" s="368">
        <v>1</v>
      </c>
      <c r="CL8" s="308">
        <v>1</v>
      </c>
      <c r="CM8" s="308">
        <v>1</v>
      </c>
      <c r="CN8" s="308">
        <v>1</v>
      </c>
      <c r="CO8" s="308">
        <v>1</v>
      </c>
      <c r="CP8" s="308">
        <v>1</v>
      </c>
      <c r="CQ8" s="308">
        <v>1</v>
      </c>
      <c r="CR8" s="308">
        <v>1</v>
      </c>
      <c r="CS8" s="308">
        <v>1</v>
      </c>
      <c r="CT8" s="369">
        <v>1</v>
      </c>
      <c r="CU8" s="291">
        <v>1</v>
      </c>
      <c r="CV8" s="292">
        <v>1</v>
      </c>
      <c r="CW8" s="292">
        <v>1</v>
      </c>
      <c r="CX8" s="292">
        <v>1</v>
      </c>
      <c r="CY8" s="292">
        <v>1</v>
      </c>
      <c r="CZ8" s="292">
        <v>1</v>
      </c>
      <c r="DA8" s="292">
        <v>1</v>
      </c>
      <c r="DB8" s="292">
        <v>1</v>
      </c>
      <c r="DC8" s="292">
        <v>1</v>
      </c>
      <c r="DD8" s="293">
        <v>1</v>
      </c>
      <c r="DE8" s="303">
        <v>1</v>
      </c>
      <c r="DF8" s="304">
        <v>1</v>
      </c>
      <c r="DG8" s="304">
        <v>1</v>
      </c>
      <c r="DH8" s="304">
        <v>1</v>
      </c>
      <c r="DI8" s="304">
        <v>1</v>
      </c>
      <c r="DJ8" s="304">
        <v>1</v>
      </c>
      <c r="DK8" s="304">
        <v>1</v>
      </c>
      <c r="DL8" s="304">
        <v>1</v>
      </c>
      <c r="DM8" s="304">
        <v>1</v>
      </c>
      <c r="DN8" s="305">
        <v>1</v>
      </c>
      <c r="DO8" s="282">
        <v>1</v>
      </c>
      <c r="DP8" s="283">
        <v>1</v>
      </c>
      <c r="DQ8" s="283">
        <v>1</v>
      </c>
      <c r="DR8" s="283">
        <v>1</v>
      </c>
      <c r="DS8" s="283">
        <v>1</v>
      </c>
      <c r="DT8" s="283">
        <v>1</v>
      </c>
      <c r="DU8" s="283">
        <v>1</v>
      </c>
      <c r="DV8" s="283">
        <v>1</v>
      </c>
      <c r="DW8" s="283">
        <v>1</v>
      </c>
      <c r="DX8" s="284">
        <v>1</v>
      </c>
      <c r="DY8" s="306">
        <v>1</v>
      </c>
      <c r="DZ8" s="142">
        <v>1</v>
      </c>
      <c r="EA8" s="142">
        <v>1</v>
      </c>
      <c r="EB8" s="142">
        <v>1</v>
      </c>
      <c r="EC8" s="142">
        <v>1</v>
      </c>
      <c r="ED8" s="142">
        <v>1</v>
      </c>
      <c r="EE8" s="142">
        <v>1</v>
      </c>
      <c r="EF8" s="142">
        <v>1</v>
      </c>
      <c r="EG8" s="142">
        <v>1</v>
      </c>
      <c r="EH8" s="142">
        <v>1</v>
      </c>
      <c r="EI8" s="308">
        <v>1</v>
      </c>
      <c r="EJ8" s="308">
        <v>1</v>
      </c>
      <c r="EK8" s="308">
        <v>1</v>
      </c>
      <c r="EL8" s="308">
        <v>1</v>
      </c>
      <c r="EM8" s="308">
        <v>1</v>
      </c>
      <c r="EN8" s="308">
        <v>1</v>
      </c>
      <c r="EO8" s="308">
        <v>1</v>
      </c>
      <c r="EP8" s="308">
        <v>1</v>
      </c>
      <c r="EQ8" s="308">
        <v>1</v>
      </c>
      <c r="ER8" s="308">
        <v>1</v>
      </c>
      <c r="ES8" s="350">
        <f>SUM(I9:R9)</f>
        <v>8</v>
      </c>
      <c r="ET8" s="350">
        <f t="shared" ref="ET8:ET71" si="2">SUM(S8:AB8)</f>
        <v>10</v>
      </c>
      <c r="EU8" s="350">
        <f t="shared" ref="EU8:EU40" si="3">SUM(AC8:AL8)</f>
        <v>8</v>
      </c>
      <c r="EV8" s="350">
        <f t="shared" ref="EV8:EV71" si="4">SUM(AM8:AV8)</f>
        <v>10</v>
      </c>
      <c r="EW8" s="350">
        <f>SUM(BG8:BP8)</f>
        <v>10</v>
      </c>
      <c r="EX8" s="350">
        <f>SUM(BQ8:BZ8)</f>
        <v>10</v>
      </c>
      <c r="EY8" s="350">
        <f t="shared" ref="EY8:EY40" si="5">SUM(BQ8:BZ8)</f>
        <v>10</v>
      </c>
      <c r="EZ8" s="350">
        <f t="shared" ref="EZ8:EZ40" si="6">SUM(CA8:CJ8)</f>
        <v>0</v>
      </c>
      <c r="FA8" s="350">
        <f t="shared" ref="FA8:FA40" si="7">SUM(CK8:CT8)</f>
        <v>10</v>
      </c>
      <c r="FB8" s="350">
        <f t="shared" ref="FB8:FB40" si="8">SUM(CU8:DD8)</f>
        <v>10</v>
      </c>
      <c r="FC8" s="350">
        <f t="shared" ref="FC8:FC40" si="9">SUM(DE8:DN8)</f>
        <v>10</v>
      </c>
      <c r="FD8" s="350">
        <f t="shared" ref="FD8:FD40" si="10">SUM(DO8:DX8)</f>
        <v>10</v>
      </c>
      <c r="FE8" s="350">
        <f t="shared" ref="FE8:FE40" si="11">SUM(DY8:EH8)</f>
        <v>10</v>
      </c>
      <c r="FF8" s="350">
        <f>SUM(EI8:ER8)</f>
        <v>10</v>
      </c>
      <c r="FG8" s="349">
        <v>1</v>
      </c>
      <c r="FH8" s="319">
        <f t="shared" ref="FH8:FH56" si="12">SUM(ES8:FF8)</f>
        <v>126</v>
      </c>
      <c r="FI8" s="319">
        <f>SUM(I7:ER7)-SUM(ES8:FF8)</f>
        <v>2</v>
      </c>
      <c r="FJ8" s="319">
        <f t="shared" ref="FJ8:FJ56" si="13">SUM(FH8:FI8)</f>
        <v>128</v>
      </c>
      <c r="FK8" s="7"/>
    </row>
    <row r="9" spans="1:167" ht="15" customHeight="1">
      <c r="A9" s="2"/>
      <c r="B9" s="3">
        <f t="shared" si="0"/>
        <v>1</v>
      </c>
      <c r="C9" s="347">
        <f t="shared" si="1"/>
        <v>2</v>
      </c>
      <c r="D9" s="183" t="s">
        <v>58</v>
      </c>
      <c r="E9" s="347"/>
      <c r="F9" s="347"/>
      <c r="G9" s="493">
        <v>45915</v>
      </c>
      <c r="H9" s="494"/>
      <c r="I9" s="212">
        <v>0</v>
      </c>
      <c r="J9" s="206">
        <v>0</v>
      </c>
      <c r="K9" s="206">
        <v>1</v>
      </c>
      <c r="L9" s="206">
        <v>1</v>
      </c>
      <c r="M9" s="206">
        <v>1</v>
      </c>
      <c r="N9" s="206">
        <v>1</v>
      </c>
      <c r="O9" s="206">
        <v>1</v>
      </c>
      <c r="P9" s="206">
        <v>1</v>
      </c>
      <c r="Q9" s="206">
        <v>1</v>
      </c>
      <c r="R9" s="213">
        <v>1</v>
      </c>
      <c r="S9" s="223">
        <v>1</v>
      </c>
      <c r="T9" s="224">
        <v>1</v>
      </c>
      <c r="U9" s="224">
        <v>1</v>
      </c>
      <c r="V9" s="224">
        <v>1</v>
      </c>
      <c r="W9" s="224">
        <v>1</v>
      </c>
      <c r="X9" s="224">
        <v>1</v>
      </c>
      <c r="Y9" s="224">
        <v>1</v>
      </c>
      <c r="Z9" s="224">
        <v>1</v>
      </c>
      <c r="AA9" s="224">
        <v>1</v>
      </c>
      <c r="AB9" s="225">
        <v>1</v>
      </c>
      <c r="AC9" s="257">
        <v>1</v>
      </c>
      <c r="AD9" s="177">
        <v>1</v>
      </c>
      <c r="AE9" s="177">
        <v>1</v>
      </c>
      <c r="AF9" s="177">
        <v>1</v>
      </c>
      <c r="AG9" s="530"/>
      <c r="AH9" s="531"/>
      <c r="AI9" s="177">
        <v>1</v>
      </c>
      <c r="AJ9" s="177">
        <v>1</v>
      </c>
      <c r="AK9" s="177">
        <v>1</v>
      </c>
      <c r="AL9" s="357">
        <v>1</v>
      </c>
      <c r="AM9" s="235">
        <v>1</v>
      </c>
      <c r="AN9" s="236">
        <v>1</v>
      </c>
      <c r="AO9" s="236">
        <v>1</v>
      </c>
      <c r="AP9" s="236">
        <v>1</v>
      </c>
      <c r="AQ9" s="236">
        <v>1</v>
      </c>
      <c r="AR9" s="236">
        <v>1</v>
      </c>
      <c r="AS9" s="236">
        <v>1</v>
      </c>
      <c r="AT9" s="236">
        <v>1</v>
      </c>
      <c r="AU9" s="236">
        <v>1</v>
      </c>
      <c r="AV9" s="272">
        <v>1</v>
      </c>
      <c r="AW9" s="362">
        <v>1</v>
      </c>
      <c r="AX9" s="363">
        <v>1</v>
      </c>
      <c r="AY9" s="363">
        <v>1</v>
      </c>
      <c r="AZ9" s="363">
        <v>1</v>
      </c>
      <c r="BA9" s="363">
        <v>1</v>
      </c>
      <c r="BB9" s="363">
        <v>1</v>
      </c>
      <c r="BC9" s="363">
        <v>1</v>
      </c>
      <c r="BD9" s="363">
        <v>1</v>
      </c>
      <c r="BE9" s="363">
        <v>1</v>
      </c>
      <c r="BF9" s="364">
        <v>1</v>
      </c>
      <c r="BG9" s="212">
        <v>1</v>
      </c>
      <c r="BH9" s="206">
        <v>1</v>
      </c>
      <c r="BI9" s="206">
        <v>1</v>
      </c>
      <c r="BJ9" s="206">
        <v>1</v>
      </c>
      <c r="BK9" s="207">
        <v>1</v>
      </c>
      <c r="BL9" s="207">
        <v>1</v>
      </c>
      <c r="BM9" s="207">
        <v>1</v>
      </c>
      <c r="BN9" s="207">
        <v>1</v>
      </c>
      <c r="BO9" s="207">
        <v>1</v>
      </c>
      <c r="BP9" s="215">
        <v>1</v>
      </c>
      <c r="BQ9" s="249">
        <v>1</v>
      </c>
      <c r="BR9" s="227">
        <v>1</v>
      </c>
      <c r="BS9" s="227">
        <v>1</v>
      </c>
      <c r="BT9" s="227">
        <v>1</v>
      </c>
      <c r="BU9" s="227">
        <v>1</v>
      </c>
      <c r="BV9" s="227">
        <v>1</v>
      </c>
      <c r="BW9" s="227">
        <v>1</v>
      </c>
      <c r="BX9" s="227">
        <v>1</v>
      </c>
      <c r="BY9" s="227">
        <v>1</v>
      </c>
      <c r="BZ9" s="247">
        <v>1</v>
      </c>
      <c r="CA9" s="537"/>
      <c r="CB9" s="538"/>
      <c r="CC9" s="538"/>
      <c r="CD9" s="538"/>
      <c r="CE9" s="538"/>
      <c r="CF9" s="538"/>
      <c r="CG9" s="538"/>
      <c r="CH9" s="538"/>
      <c r="CI9" s="538"/>
      <c r="CJ9" s="539"/>
      <c r="CK9" s="240">
        <v>1</v>
      </c>
      <c r="CL9" s="238">
        <v>1</v>
      </c>
      <c r="CM9" s="238">
        <v>1</v>
      </c>
      <c r="CN9" s="238">
        <v>1</v>
      </c>
      <c r="CO9" s="238">
        <v>1</v>
      </c>
      <c r="CP9" s="238">
        <v>1</v>
      </c>
      <c r="CQ9" s="238">
        <v>1</v>
      </c>
      <c r="CR9" s="238">
        <v>1</v>
      </c>
      <c r="CS9" s="238">
        <v>1</v>
      </c>
      <c r="CT9" s="239">
        <v>1</v>
      </c>
      <c r="CU9" s="295">
        <v>1</v>
      </c>
      <c r="CV9" s="296">
        <v>1</v>
      </c>
      <c r="CW9" s="296">
        <v>1</v>
      </c>
      <c r="CX9" s="296">
        <v>1</v>
      </c>
      <c r="CY9" s="296">
        <v>1</v>
      </c>
      <c r="CZ9" s="296">
        <v>1</v>
      </c>
      <c r="DA9" s="296">
        <v>1</v>
      </c>
      <c r="DB9" s="296">
        <v>1</v>
      </c>
      <c r="DC9" s="296">
        <v>1</v>
      </c>
      <c r="DD9" s="297">
        <v>1</v>
      </c>
      <c r="DE9" s="214">
        <v>1</v>
      </c>
      <c r="DF9" s="207">
        <v>1</v>
      </c>
      <c r="DG9" s="207">
        <v>1</v>
      </c>
      <c r="DH9" s="207">
        <v>1</v>
      </c>
      <c r="DI9" s="207">
        <v>1</v>
      </c>
      <c r="DJ9" s="207">
        <v>1</v>
      </c>
      <c r="DK9" s="207">
        <v>1</v>
      </c>
      <c r="DL9" s="207">
        <v>1</v>
      </c>
      <c r="DM9" s="207">
        <v>1</v>
      </c>
      <c r="DN9" s="215">
        <v>1</v>
      </c>
      <c r="DO9" s="226">
        <v>1</v>
      </c>
      <c r="DP9" s="227">
        <v>1</v>
      </c>
      <c r="DQ9" s="227">
        <v>1</v>
      </c>
      <c r="DR9" s="227">
        <v>1</v>
      </c>
      <c r="DS9" s="227">
        <v>1</v>
      </c>
      <c r="DT9" s="227">
        <v>1</v>
      </c>
      <c r="DU9" s="227">
        <v>1</v>
      </c>
      <c r="DV9" s="227">
        <v>1</v>
      </c>
      <c r="DW9" s="227">
        <v>1</v>
      </c>
      <c r="DX9" s="228">
        <v>1</v>
      </c>
      <c r="DY9" s="307">
        <v>1</v>
      </c>
      <c r="DZ9" s="91">
        <v>1</v>
      </c>
      <c r="EA9" s="91">
        <v>1</v>
      </c>
      <c r="EB9" s="91">
        <v>1</v>
      </c>
      <c r="EC9" s="91">
        <v>1</v>
      </c>
      <c r="ED9" s="91">
        <v>1</v>
      </c>
      <c r="EE9" s="91">
        <v>1</v>
      </c>
      <c r="EF9" s="91">
        <v>1</v>
      </c>
      <c r="EG9" s="91">
        <v>1</v>
      </c>
      <c r="EH9" s="91">
        <v>1</v>
      </c>
      <c r="EI9" s="238">
        <v>1</v>
      </c>
      <c r="EJ9" s="238">
        <v>1</v>
      </c>
      <c r="EK9" s="238">
        <v>1</v>
      </c>
      <c r="EL9" s="238">
        <v>1</v>
      </c>
      <c r="EM9" s="238">
        <v>1</v>
      </c>
      <c r="EN9" s="238">
        <v>1</v>
      </c>
      <c r="EO9" s="238">
        <v>1</v>
      </c>
      <c r="EP9" s="238">
        <v>1</v>
      </c>
      <c r="EQ9" s="238">
        <v>1</v>
      </c>
      <c r="ER9" s="238">
        <v>1</v>
      </c>
      <c r="ES9" s="350">
        <f t="shared" ref="ES9:ES72" si="14">SUM(I10:R10)</f>
        <v>8</v>
      </c>
      <c r="ET9" s="350">
        <f t="shared" si="2"/>
        <v>10</v>
      </c>
      <c r="EU9" s="350">
        <f t="shared" si="3"/>
        <v>8</v>
      </c>
      <c r="EV9" s="350">
        <f t="shared" si="4"/>
        <v>10</v>
      </c>
      <c r="EW9" s="350">
        <f t="shared" ref="EW9:EW72" si="15">SUM(BG9:BP9)</f>
        <v>10</v>
      </c>
      <c r="EX9" s="350">
        <f t="shared" ref="EX9:EX40" si="16">SUM(BG9:BP9)</f>
        <v>10</v>
      </c>
      <c r="EY9" s="350">
        <f t="shared" si="5"/>
        <v>10</v>
      </c>
      <c r="EZ9" s="350">
        <f t="shared" si="6"/>
        <v>0</v>
      </c>
      <c r="FA9" s="350">
        <f t="shared" si="7"/>
        <v>10</v>
      </c>
      <c r="FB9" s="350">
        <f t="shared" si="8"/>
        <v>10</v>
      </c>
      <c r="FC9" s="350">
        <f t="shared" si="9"/>
        <v>10</v>
      </c>
      <c r="FD9" s="350">
        <f t="shared" si="10"/>
        <v>10</v>
      </c>
      <c r="FE9" s="350">
        <f t="shared" si="11"/>
        <v>10</v>
      </c>
      <c r="FF9" s="350">
        <f t="shared" ref="FF9:FF40" si="17">SUM(EI9:ER9)</f>
        <v>10</v>
      </c>
      <c r="FG9" s="349">
        <v>2</v>
      </c>
      <c r="FH9" s="319">
        <f t="shared" si="12"/>
        <v>126</v>
      </c>
      <c r="FI9" s="319">
        <f>SUM(I7:ER7)-SUM(ES9:FF9)</f>
        <v>2</v>
      </c>
      <c r="FJ9" s="319">
        <f t="shared" si="13"/>
        <v>128</v>
      </c>
      <c r="FK9" s="7"/>
    </row>
    <row r="10" spans="1:167" ht="15" customHeight="1">
      <c r="A10" s="2"/>
      <c r="B10" s="3">
        <f t="shared" si="0"/>
        <v>1</v>
      </c>
      <c r="C10" s="347">
        <f t="shared" si="1"/>
        <v>3</v>
      </c>
      <c r="D10" s="183" t="s">
        <v>59</v>
      </c>
      <c r="E10" s="347"/>
      <c r="F10" s="347"/>
      <c r="G10" s="493">
        <v>45915</v>
      </c>
      <c r="H10" s="494"/>
      <c r="I10" s="212">
        <v>0</v>
      </c>
      <c r="J10" s="206">
        <v>0</v>
      </c>
      <c r="K10" s="206">
        <v>1</v>
      </c>
      <c r="L10" s="206">
        <v>1</v>
      </c>
      <c r="M10" s="206">
        <v>1</v>
      </c>
      <c r="N10" s="206">
        <v>1</v>
      </c>
      <c r="O10" s="206">
        <v>1</v>
      </c>
      <c r="P10" s="206">
        <v>1</v>
      </c>
      <c r="Q10" s="206">
        <v>1</v>
      </c>
      <c r="R10" s="213">
        <v>1</v>
      </c>
      <c r="S10" s="223">
        <v>1</v>
      </c>
      <c r="T10" s="224">
        <v>1</v>
      </c>
      <c r="U10" s="224">
        <v>1</v>
      </c>
      <c r="V10" s="224">
        <v>1</v>
      </c>
      <c r="W10" s="224">
        <v>1</v>
      </c>
      <c r="X10" s="224">
        <v>1</v>
      </c>
      <c r="Y10" s="224">
        <v>1</v>
      </c>
      <c r="Z10" s="224">
        <v>1</v>
      </c>
      <c r="AA10" s="224">
        <v>1</v>
      </c>
      <c r="AB10" s="225">
        <v>1</v>
      </c>
      <c r="AC10" s="257">
        <v>1</v>
      </c>
      <c r="AD10" s="177">
        <v>1</v>
      </c>
      <c r="AE10" s="177">
        <v>1</v>
      </c>
      <c r="AF10" s="177">
        <v>1</v>
      </c>
      <c r="AG10" s="530"/>
      <c r="AH10" s="531"/>
      <c r="AI10" s="177">
        <v>1</v>
      </c>
      <c r="AJ10" s="177">
        <v>1</v>
      </c>
      <c r="AK10" s="177">
        <v>1</v>
      </c>
      <c r="AL10" s="357">
        <v>1</v>
      </c>
      <c r="AM10" s="235">
        <v>1</v>
      </c>
      <c r="AN10" s="236">
        <v>1</v>
      </c>
      <c r="AO10" s="236">
        <v>1</v>
      </c>
      <c r="AP10" s="236">
        <v>1</v>
      </c>
      <c r="AQ10" s="236">
        <v>1</v>
      </c>
      <c r="AR10" s="236">
        <v>1</v>
      </c>
      <c r="AS10" s="236">
        <v>1</v>
      </c>
      <c r="AT10" s="236">
        <v>1</v>
      </c>
      <c r="AU10" s="236">
        <v>1</v>
      </c>
      <c r="AV10" s="272">
        <v>1</v>
      </c>
      <c r="AW10" s="362">
        <v>1</v>
      </c>
      <c r="AX10" s="363">
        <v>1</v>
      </c>
      <c r="AY10" s="363">
        <v>1</v>
      </c>
      <c r="AZ10" s="363">
        <v>1</v>
      </c>
      <c r="BA10" s="363">
        <v>1</v>
      </c>
      <c r="BB10" s="363">
        <v>1</v>
      </c>
      <c r="BC10" s="363">
        <v>1</v>
      </c>
      <c r="BD10" s="363">
        <v>1</v>
      </c>
      <c r="BE10" s="363">
        <v>1</v>
      </c>
      <c r="BF10" s="364">
        <v>1</v>
      </c>
      <c r="BG10" s="212">
        <v>1</v>
      </c>
      <c r="BH10" s="206">
        <v>1</v>
      </c>
      <c r="BI10" s="206">
        <v>1</v>
      </c>
      <c r="BJ10" s="206">
        <v>1</v>
      </c>
      <c r="BK10" s="207">
        <v>1</v>
      </c>
      <c r="BL10" s="207">
        <v>1</v>
      </c>
      <c r="BM10" s="207">
        <v>1</v>
      </c>
      <c r="BN10" s="207">
        <v>1</v>
      </c>
      <c r="BO10" s="207">
        <v>1</v>
      </c>
      <c r="BP10" s="215">
        <v>1</v>
      </c>
      <c r="BQ10" s="249">
        <v>1</v>
      </c>
      <c r="BR10" s="227">
        <v>1</v>
      </c>
      <c r="BS10" s="227">
        <v>1</v>
      </c>
      <c r="BT10" s="227">
        <v>1</v>
      </c>
      <c r="BU10" s="227">
        <v>1</v>
      </c>
      <c r="BV10" s="227">
        <v>1</v>
      </c>
      <c r="BW10" s="227">
        <v>1</v>
      </c>
      <c r="BX10" s="227">
        <v>1</v>
      </c>
      <c r="BY10" s="227">
        <v>1</v>
      </c>
      <c r="BZ10" s="247">
        <v>1</v>
      </c>
      <c r="CA10" s="537"/>
      <c r="CB10" s="538"/>
      <c r="CC10" s="538"/>
      <c r="CD10" s="538"/>
      <c r="CE10" s="538"/>
      <c r="CF10" s="538"/>
      <c r="CG10" s="538"/>
      <c r="CH10" s="538"/>
      <c r="CI10" s="538"/>
      <c r="CJ10" s="539"/>
      <c r="CK10" s="240">
        <v>1</v>
      </c>
      <c r="CL10" s="238">
        <v>1</v>
      </c>
      <c r="CM10" s="238">
        <v>1</v>
      </c>
      <c r="CN10" s="238">
        <v>1</v>
      </c>
      <c r="CO10" s="238">
        <v>1</v>
      </c>
      <c r="CP10" s="238">
        <v>1</v>
      </c>
      <c r="CQ10" s="238">
        <v>1</v>
      </c>
      <c r="CR10" s="238">
        <v>1</v>
      </c>
      <c r="CS10" s="238">
        <v>1</v>
      </c>
      <c r="CT10" s="239">
        <v>1</v>
      </c>
      <c r="CU10" s="295">
        <v>1</v>
      </c>
      <c r="CV10" s="296">
        <v>1</v>
      </c>
      <c r="CW10" s="296">
        <v>1</v>
      </c>
      <c r="CX10" s="296">
        <v>1</v>
      </c>
      <c r="CY10" s="296">
        <v>1</v>
      </c>
      <c r="CZ10" s="296">
        <v>1</v>
      </c>
      <c r="DA10" s="296">
        <v>1</v>
      </c>
      <c r="DB10" s="296">
        <v>1</v>
      </c>
      <c r="DC10" s="296">
        <v>1</v>
      </c>
      <c r="DD10" s="297">
        <v>1</v>
      </c>
      <c r="DE10" s="214">
        <v>1</v>
      </c>
      <c r="DF10" s="207">
        <v>1</v>
      </c>
      <c r="DG10" s="207">
        <v>1</v>
      </c>
      <c r="DH10" s="207">
        <v>1</v>
      </c>
      <c r="DI10" s="207">
        <v>1</v>
      </c>
      <c r="DJ10" s="207">
        <v>1</v>
      </c>
      <c r="DK10" s="207">
        <v>1</v>
      </c>
      <c r="DL10" s="207">
        <v>1</v>
      </c>
      <c r="DM10" s="207">
        <v>1</v>
      </c>
      <c r="DN10" s="215">
        <v>1</v>
      </c>
      <c r="DO10" s="226">
        <v>1</v>
      </c>
      <c r="DP10" s="227">
        <v>1</v>
      </c>
      <c r="DQ10" s="227">
        <v>1</v>
      </c>
      <c r="DR10" s="227">
        <v>1</v>
      </c>
      <c r="DS10" s="227">
        <v>1</v>
      </c>
      <c r="DT10" s="227">
        <v>1</v>
      </c>
      <c r="DU10" s="227">
        <v>1</v>
      </c>
      <c r="DV10" s="227">
        <v>1</v>
      </c>
      <c r="DW10" s="227">
        <v>1</v>
      </c>
      <c r="DX10" s="228">
        <v>1</v>
      </c>
      <c r="DY10" s="307">
        <v>1</v>
      </c>
      <c r="DZ10" s="91">
        <v>1</v>
      </c>
      <c r="EA10" s="91">
        <v>1</v>
      </c>
      <c r="EB10" s="91">
        <v>1</v>
      </c>
      <c r="EC10" s="91">
        <v>1</v>
      </c>
      <c r="ED10" s="91">
        <v>1</v>
      </c>
      <c r="EE10" s="91">
        <v>1</v>
      </c>
      <c r="EF10" s="91">
        <v>1</v>
      </c>
      <c r="EG10" s="91">
        <v>1</v>
      </c>
      <c r="EH10" s="91">
        <v>1</v>
      </c>
      <c r="EI10" s="238">
        <v>1</v>
      </c>
      <c r="EJ10" s="238">
        <v>1</v>
      </c>
      <c r="EK10" s="238">
        <v>1</v>
      </c>
      <c r="EL10" s="238">
        <v>1</v>
      </c>
      <c r="EM10" s="238">
        <v>1</v>
      </c>
      <c r="EN10" s="238">
        <v>1</v>
      </c>
      <c r="EO10" s="238">
        <v>1</v>
      </c>
      <c r="EP10" s="238">
        <v>1</v>
      </c>
      <c r="EQ10" s="238">
        <v>1</v>
      </c>
      <c r="ER10" s="238">
        <v>1</v>
      </c>
      <c r="ES10" s="350">
        <f t="shared" si="14"/>
        <v>6</v>
      </c>
      <c r="ET10" s="350">
        <f t="shared" si="2"/>
        <v>10</v>
      </c>
      <c r="EU10" s="350">
        <f t="shared" si="3"/>
        <v>8</v>
      </c>
      <c r="EV10" s="350">
        <f t="shared" si="4"/>
        <v>10</v>
      </c>
      <c r="EW10" s="350">
        <f t="shared" si="15"/>
        <v>10</v>
      </c>
      <c r="EX10" s="350">
        <f t="shared" si="16"/>
        <v>10</v>
      </c>
      <c r="EY10" s="350">
        <f t="shared" si="5"/>
        <v>10</v>
      </c>
      <c r="EZ10" s="350">
        <f t="shared" si="6"/>
        <v>0</v>
      </c>
      <c r="FA10" s="350">
        <f t="shared" si="7"/>
        <v>10</v>
      </c>
      <c r="FB10" s="350">
        <f t="shared" si="8"/>
        <v>10</v>
      </c>
      <c r="FC10" s="350">
        <f t="shared" si="9"/>
        <v>10</v>
      </c>
      <c r="FD10" s="350">
        <f t="shared" si="10"/>
        <v>10</v>
      </c>
      <c r="FE10" s="350">
        <f t="shared" si="11"/>
        <v>10</v>
      </c>
      <c r="FF10" s="350">
        <f t="shared" si="17"/>
        <v>10</v>
      </c>
      <c r="FG10" s="349">
        <v>3</v>
      </c>
      <c r="FH10" s="319">
        <f t="shared" si="12"/>
        <v>124</v>
      </c>
      <c r="FI10" s="319">
        <f>SUM(I7:ER7)-SUM(ES10:FF10)</f>
        <v>4</v>
      </c>
      <c r="FJ10" s="319">
        <f t="shared" si="13"/>
        <v>128</v>
      </c>
      <c r="FK10" s="7"/>
    </row>
    <row r="11" spans="1:167" ht="15" customHeight="1">
      <c r="A11" s="2"/>
      <c r="B11" s="3">
        <f t="shared" si="0"/>
        <v>1</v>
      </c>
      <c r="C11" s="347">
        <f t="shared" si="1"/>
        <v>4</v>
      </c>
      <c r="D11" s="183" t="s">
        <v>60</v>
      </c>
      <c r="E11" s="347"/>
      <c r="F11" s="347"/>
      <c r="G11" s="493">
        <v>45915</v>
      </c>
      <c r="H11" s="494"/>
      <c r="I11" s="212">
        <v>1</v>
      </c>
      <c r="J11" s="206">
        <v>1</v>
      </c>
      <c r="K11" s="206">
        <v>0</v>
      </c>
      <c r="L11" s="206">
        <v>0</v>
      </c>
      <c r="M11" s="206">
        <v>1</v>
      </c>
      <c r="N11" s="206">
        <v>1</v>
      </c>
      <c r="O11" s="206">
        <v>1</v>
      </c>
      <c r="P11" s="206">
        <v>1</v>
      </c>
      <c r="Q11" s="206">
        <v>0</v>
      </c>
      <c r="R11" s="213">
        <v>0</v>
      </c>
      <c r="S11" s="223">
        <v>1</v>
      </c>
      <c r="T11" s="224">
        <v>1</v>
      </c>
      <c r="U11" s="224">
        <v>1</v>
      </c>
      <c r="V11" s="224">
        <v>1</v>
      </c>
      <c r="W11" s="224">
        <v>0</v>
      </c>
      <c r="X11" s="224">
        <v>0</v>
      </c>
      <c r="Y11" s="224">
        <v>1</v>
      </c>
      <c r="Z11" s="224">
        <v>1</v>
      </c>
      <c r="AA11" s="224">
        <v>1</v>
      </c>
      <c r="AB11" s="225">
        <v>1</v>
      </c>
      <c r="AC11" s="257">
        <v>0</v>
      </c>
      <c r="AD11" s="177">
        <v>0</v>
      </c>
      <c r="AE11" s="177">
        <v>0</v>
      </c>
      <c r="AF11" s="177">
        <v>0</v>
      </c>
      <c r="AG11" s="530"/>
      <c r="AH11" s="531"/>
      <c r="AI11" s="177">
        <v>1</v>
      </c>
      <c r="AJ11" s="177">
        <v>1</v>
      </c>
      <c r="AK11" s="177">
        <v>1</v>
      </c>
      <c r="AL11" s="357">
        <v>1</v>
      </c>
      <c r="AM11" s="235">
        <v>1</v>
      </c>
      <c r="AN11" s="236">
        <v>1</v>
      </c>
      <c r="AO11" s="236">
        <v>0</v>
      </c>
      <c r="AP11" s="236">
        <v>0</v>
      </c>
      <c r="AQ11" s="236">
        <v>1</v>
      </c>
      <c r="AR11" s="236">
        <v>1</v>
      </c>
      <c r="AS11" s="236">
        <v>0</v>
      </c>
      <c r="AT11" s="236">
        <v>0</v>
      </c>
      <c r="AU11" s="236">
        <v>1</v>
      </c>
      <c r="AV11" s="272">
        <v>1</v>
      </c>
      <c r="AW11" s="362">
        <v>1</v>
      </c>
      <c r="AX11" s="363">
        <v>1</v>
      </c>
      <c r="AY11" s="363">
        <v>1</v>
      </c>
      <c r="AZ11" s="363">
        <v>1</v>
      </c>
      <c r="BA11" s="363">
        <v>1</v>
      </c>
      <c r="BB11" s="363">
        <v>1</v>
      </c>
      <c r="BC11" s="363">
        <v>1</v>
      </c>
      <c r="BD11" s="363">
        <v>1</v>
      </c>
      <c r="BE11" s="363">
        <v>1</v>
      </c>
      <c r="BF11" s="364">
        <v>1</v>
      </c>
      <c r="BG11" s="212">
        <v>1</v>
      </c>
      <c r="BH11" s="206">
        <v>1</v>
      </c>
      <c r="BI11" s="206">
        <v>1</v>
      </c>
      <c r="BJ11" s="206">
        <v>1</v>
      </c>
      <c r="BK11" s="207">
        <v>1</v>
      </c>
      <c r="BL11" s="207">
        <v>1</v>
      </c>
      <c r="BM11" s="207">
        <v>1</v>
      </c>
      <c r="BN11" s="207">
        <v>1</v>
      </c>
      <c r="BO11" s="207">
        <v>1</v>
      </c>
      <c r="BP11" s="215">
        <v>1</v>
      </c>
      <c r="BQ11" s="249">
        <v>1</v>
      </c>
      <c r="BR11" s="227">
        <v>1</v>
      </c>
      <c r="BS11" s="227">
        <v>1</v>
      </c>
      <c r="BT11" s="227">
        <v>1</v>
      </c>
      <c r="BU11" s="227">
        <v>1</v>
      </c>
      <c r="BV11" s="227">
        <v>1</v>
      </c>
      <c r="BW11" s="227">
        <v>1</v>
      </c>
      <c r="BX11" s="227">
        <v>1</v>
      </c>
      <c r="BY11" s="227">
        <v>1</v>
      </c>
      <c r="BZ11" s="247">
        <v>1</v>
      </c>
      <c r="CA11" s="537"/>
      <c r="CB11" s="538"/>
      <c r="CC11" s="538"/>
      <c r="CD11" s="538"/>
      <c r="CE11" s="538"/>
      <c r="CF11" s="538"/>
      <c r="CG11" s="538"/>
      <c r="CH11" s="538"/>
      <c r="CI11" s="538"/>
      <c r="CJ11" s="539"/>
      <c r="CK11" s="240">
        <v>1</v>
      </c>
      <c r="CL11" s="238">
        <v>1</v>
      </c>
      <c r="CM11" s="238">
        <v>1</v>
      </c>
      <c r="CN11" s="238">
        <v>1</v>
      </c>
      <c r="CO11" s="238">
        <v>1</v>
      </c>
      <c r="CP11" s="238">
        <v>1</v>
      </c>
      <c r="CQ11" s="238">
        <v>1</v>
      </c>
      <c r="CR11" s="238">
        <v>1</v>
      </c>
      <c r="CS11" s="238">
        <v>1</v>
      </c>
      <c r="CT11" s="239">
        <v>1</v>
      </c>
      <c r="CU11" s="295">
        <v>1</v>
      </c>
      <c r="CV11" s="296">
        <v>1</v>
      </c>
      <c r="CW11" s="296">
        <v>1</v>
      </c>
      <c r="CX11" s="296">
        <v>1</v>
      </c>
      <c r="CY11" s="296">
        <v>1</v>
      </c>
      <c r="CZ11" s="296">
        <v>1</v>
      </c>
      <c r="DA11" s="296">
        <v>1</v>
      </c>
      <c r="DB11" s="296">
        <v>1</v>
      </c>
      <c r="DC11" s="296">
        <v>1</v>
      </c>
      <c r="DD11" s="297">
        <v>1</v>
      </c>
      <c r="DE11" s="214">
        <v>1</v>
      </c>
      <c r="DF11" s="207">
        <v>1</v>
      </c>
      <c r="DG11" s="207">
        <v>1</v>
      </c>
      <c r="DH11" s="207">
        <v>1</v>
      </c>
      <c r="DI11" s="207">
        <v>1</v>
      </c>
      <c r="DJ11" s="207">
        <v>1</v>
      </c>
      <c r="DK11" s="207">
        <v>1</v>
      </c>
      <c r="DL11" s="207">
        <v>1</v>
      </c>
      <c r="DM11" s="207">
        <v>1</v>
      </c>
      <c r="DN11" s="215">
        <v>1</v>
      </c>
      <c r="DO11" s="226">
        <v>1</v>
      </c>
      <c r="DP11" s="227">
        <v>1</v>
      </c>
      <c r="DQ11" s="227">
        <v>1</v>
      </c>
      <c r="DR11" s="227">
        <v>1</v>
      </c>
      <c r="DS11" s="227">
        <v>1</v>
      </c>
      <c r="DT11" s="227">
        <v>1</v>
      </c>
      <c r="DU11" s="227">
        <v>1</v>
      </c>
      <c r="DV11" s="227">
        <v>1</v>
      </c>
      <c r="DW11" s="227">
        <v>1</v>
      </c>
      <c r="DX11" s="228">
        <v>1</v>
      </c>
      <c r="DY11" s="307">
        <v>1</v>
      </c>
      <c r="DZ11" s="91">
        <v>1</v>
      </c>
      <c r="EA11" s="91">
        <v>1</v>
      </c>
      <c r="EB11" s="91">
        <v>1</v>
      </c>
      <c r="EC11" s="91">
        <v>1</v>
      </c>
      <c r="ED11" s="91">
        <v>1</v>
      </c>
      <c r="EE11" s="91">
        <v>1</v>
      </c>
      <c r="EF11" s="91">
        <v>1</v>
      </c>
      <c r="EG11" s="91">
        <v>1</v>
      </c>
      <c r="EH11" s="91">
        <v>1</v>
      </c>
      <c r="EI11" s="238">
        <v>1</v>
      </c>
      <c r="EJ11" s="238">
        <v>1</v>
      </c>
      <c r="EK11" s="238">
        <v>1</v>
      </c>
      <c r="EL11" s="238">
        <v>1</v>
      </c>
      <c r="EM11" s="238">
        <v>1</v>
      </c>
      <c r="EN11" s="238">
        <v>1</v>
      </c>
      <c r="EO11" s="238">
        <v>1</v>
      </c>
      <c r="EP11" s="238">
        <v>1</v>
      </c>
      <c r="EQ11" s="238">
        <v>1</v>
      </c>
      <c r="ER11" s="238">
        <v>1</v>
      </c>
      <c r="ES11" s="350">
        <f t="shared" si="14"/>
        <v>10</v>
      </c>
      <c r="ET11" s="350">
        <f t="shared" si="2"/>
        <v>8</v>
      </c>
      <c r="EU11" s="350">
        <f t="shared" si="3"/>
        <v>4</v>
      </c>
      <c r="EV11" s="350">
        <f t="shared" si="4"/>
        <v>6</v>
      </c>
      <c r="EW11" s="350">
        <f t="shared" si="15"/>
        <v>10</v>
      </c>
      <c r="EX11" s="350">
        <f t="shared" si="16"/>
        <v>10</v>
      </c>
      <c r="EY11" s="350">
        <f t="shared" si="5"/>
        <v>10</v>
      </c>
      <c r="EZ11" s="350">
        <f t="shared" si="6"/>
        <v>0</v>
      </c>
      <c r="FA11" s="350">
        <f t="shared" si="7"/>
        <v>10</v>
      </c>
      <c r="FB11" s="350">
        <f t="shared" si="8"/>
        <v>10</v>
      </c>
      <c r="FC11" s="350">
        <f t="shared" si="9"/>
        <v>10</v>
      </c>
      <c r="FD11" s="350">
        <f t="shared" si="10"/>
        <v>10</v>
      </c>
      <c r="FE11" s="350">
        <f t="shared" si="11"/>
        <v>10</v>
      </c>
      <c r="FF11" s="350">
        <f t="shared" si="17"/>
        <v>10</v>
      </c>
      <c r="FG11" s="349">
        <f t="shared" ref="FG11:FG56" si="18">ROW(FG9)</f>
        <v>9</v>
      </c>
      <c r="FH11" s="319">
        <f t="shared" si="12"/>
        <v>118</v>
      </c>
      <c r="FI11" s="319">
        <f>SUM(I7:ER7)-SUM(ES11:FF11)</f>
        <v>10</v>
      </c>
      <c r="FJ11" s="319">
        <f t="shared" si="13"/>
        <v>128</v>
      </c>
      <c r="FK11" s="7"/>
    </row>
    <row r="12" spans="1:167" ht="15" customHeight="1">
      <c r="A12" s="2"/>
      <c r="B12" s="3">
        <f t="shared" si="0"/>
        <v>1</v>
      </c>
      <c r="C12" s="347">
        <f t="shared" si="1"/>
        <v>5</v>
      </c>
      <c r="D12" s="183" t="s">
        <v>61</v>
      </c>
      <c r="E12" s="347"/>
      <c r="F12" s="347"/>
      <c r="G12" s="493">
        <v>45915</v>
      </c>
      <c r="H12" s="494"/>
      <c r="I12" s="212">
        <v>1</v>
      </c>
      <c r="J12" s="206">
        <v>1</v>
      </c>
      <c r="K12" s="206">
        <v>1</v>
      </c>
      <c r="L12" s="206">
        <v>1</v>
      </c>
      <c r="M12" s="206">
        <v>1</v>
      </c>
      <c r="N12" s="206">
        <v>1</v>
      </c>
      <c r="O12" s="206">
        <v>1</v>
      </c>
      <c r="P12" s="206">
        <v>1</v>
      </c>
      <c r="Q12" s="206">
        <v>1</v>
      </c>
      <c r="R12" s="213">
        <v>1</v>
      </c>
      <c r="S12" s="223">
        <v>1</v>
      </c>
      <c r="T12" s="224">
        <v>1</v>
      </c>
      <c r="U12" s="224">
        <v>1</v>
      </c>
      <c r="V12" s="224">
        <v>1</v>
      </c>
      <c r="W12" s="224">
        <v>1</v>
      </c>
      <c r="X12" s="224">
        <v>1</v>
      </c>
      <c r="Y12" s="224">
        <v>1</v>
      </c>
      <c r="Z12" s="224">
        <v>1</v>
      </c>
      <c r="AA12" s="224">
        <v>1</v>
      </c>
      <c r="AB12" s="225">
        <v>1</v>
      </c>
      <c r="AC12" s="257">
        <v>1</v>
      </c>
      <c r="AD12" s="177">
        <v>1</v>
      </c>
      <c r="AE12" s="177">
        <v>1</v>
      </c>
      <c r="AF12" s="177">
        <v>1</v>
      </c>
      <c r="AG12" s="530"/>
      <c r="AH12" s="531"/>
      <c r="AI12" s="177">
        <v>1</v>
      </c>
      <c r="AJ12" s="177">
        <v>1</v>
      </c>
      <c r="AK12" s="177">
        <v>1</v>
      </c>
      <c r="AL12" s="357">
        <v>1</v>
      </c>
      <c r="AM12" s="235">
        <v>1</v>
      </c>
      <c r="AN12" s="236">
        <v>1</v>
      </c>
      <c r="AO12" s="236">
        <v>1</v>
      </c>
      <c r="AP12" s="236">
        <v>1</v>
      </c>
      <c r="AQ12" s="236">
        <v>1</v>
      </c>
      <c r="AR12" s="236">
        <v>1</v>
      </c>
      <c r="AS12" s="236">
        <v>1</v>
      </c>
      <c r="AT12" s="236">
        <v>1</v>
      </c>
      <c r="AU12" s="236">
        <v>1</v>
      </c>
      <c r="AV12" s="272">
        <v>1</v>
      </c>
      <c r="AW12" s="362">
        <v>1</v>
      </c>
      <c r="AX12" s="363">
        <v>1</v>
      </c>
      <c r="AY12" s="363">
        <v>1</v>
      </c>
      <c r="AZ12" s="363">
        <v>1</v>
      </c>
      <c r="BA12" s="363">
        <v>1</v>
      </c>
      <c r="BB12" s="363">
        <v>1</v>
      </c>
      <c r="BC12" s="363">
        <v>1</v>
      </c>
      <c r="BD12" s="363">
        <v>1</v>
      </c>
      <c r="BE12" s="363">
        <v>1</v>
      </c>
      <c r="BF12" s="364">
        <v>1</v>
      </c>
      <c r="BG12" s="212">
        <v>1</v>
      </c>
      <c r="BH12" s="206">
        <v>1</v>
      </c>
      <c r="BI12" s="206">
        <v>1</v>
      </c>
      <c r="BJ12" s="206">
        <v>1</v>
      </c>
      <c r="BK12" s="206">
        <v>1</v>
      </c>
      <c r="BL12" s="206">
        <v>1</v>
      </c>
      <c r="BM12" s="207">
        <v>1</v>
      </c>
      <c r="BN12" s="207">
        <v>1</v>
      </c>
      <c r="BO12" s="207">
        <v>1</v>
      </c>
      <c r="BP12" s="215">
        <v>1</v>
      </c>
      <c r="BQ12" s="249">
        <v>1</v>
      </c>
      <c r="BR12" s="227">
        <v>1</v>
      </c>
      <c r="BS12" s="227">
        <v>1</v>
      </c>
      <c r="BT12" s="227">
        <v>1</v>
      </c>
      <c r="BU12" s="227">
        <v>1</v>
      </c>
      <c r="BV12" s="227">
        <v>1</v>
      </c>
      <c r="BW12" s="227">
        <v>1</v>
      </c>
      <c r="BX12" s="227">
        <v>1</v>
      </c>
      <c r="BY12" s="227">
        <v>1</v>
      </c>
      <c r="BZ12" s="247">
        <v>1</v>
      </c>
      <c r="CA12" s="537"/>
      <c r="CB12" s="538"/>
      <c r="CC12" s="538"/>
      <c r="CD12" s="538"/>
      <c r="CE12" s="538"/>
      <c r="CF12" s="538"/>
      <c r="CG12" s="538"/>
      <c r="CH12" s="538"/>
      <c r="CI12" s="538"/>
      <c r="CJ12" s="539"/>
      <c r="CK12" s="240">
        <v>1</v>
      </c>
      <c r="CL12" s="238">
        <v>1</v>
      </c>
      <c r="CM12" s="238">
        <v>1</v>
      </c>
      <c r="CN12" s="238">
        <v>1</v>
      </c>
      <c r="CO12" s="238">
        <v>1</v>
      </c>
      <c r="CP12" s="238">
        <v>1</v>
      </c>
      <c r="CQ12" s="238">
        <v>1</v>
      </c>
      <c r="CR12" s="238">
        <v>1</v>
      </c>
      <c r="CS12" s="238">
        <v>1</v>
      </c>
      <c r="CT12" s="239">
        <v>1</v>
      </c>
      <c r="CU12" s="295">
        <v>1</v>
      </c>
      <c r="CV12" s="296">
        <v>1</v>
      </c>
      <c r="CW12" s="296">
        <v>1</v>
      </c>
      <c r="CX12" s="296">
        <v>1</v>
      </c>
      <c r="CY12" s="296">
        <v>1</v>
      </c>
      <c r="CZ12" s="296">
        <v>1</v>
      </c>
      <c r="DA12" s="296">
        <v>1</v>
      </c>
      <c r="DB12" s="296">
        <v>1</v>
      </c>
      <c r="DC12" s="296">
        <v>1</v>
      </c>
      <c r="DD12" s="297">
        <v>1</v>
      </c>
      <c r="DE12" s="214">
        <v>1</v>
      </c>
      <c r="DF12" s="207">
        <v>1</v>
      </c>
      <c r="DG12" s="207">
        <v>1</v>
      </c>
      <c r="DH12" s="207">
        <v>1</v>
      </c>
      <c r="DI12" s="207">
        <v>1</v>
      </c>
      <c r="DJ12" s="207">
        <v>1</v>
      </c>
      <c r="DK12" s="207">
        <v>1</v>
      </c>
      <c r="DL12" s="207">
        <v>1</v>
      </c>
      <c r="DM12" s="207">
        <v>1</v>
      </c>
      <c r="DN12" s="215">
        <v>1</v>
      </c>
      <c r="DO12" s="226">
        <v>1</v>
      </c>
      <c r="DP12" s="227">
        <v>1</v>
      </c>
      <c r="DQ12" s="227">
        <v>1</v>
      </c>
      <c r="DR12" s="227">
        <v>1</v>
      </c>
      <c r="DS12" s="227">
        <v>1</v>
      </c>
      <c r="DT12" s="227">
        <v>1</v>
      </c>
      <c r="DU12" s="227">
        <v>1</v>
      </c>
      <c r="DV12" s="227">
        <v>1</v>
      </c>
      <c r="DW12" s="227">
        <v>1</v>
      </c>
      <c r="DX12" s="228">
        <v>1</v>
      </c>
      <c r="DY12" s="307">
        <v>1</v>
      </c>
      <c r="DZ12" s="91">
        <v>1</v>
      </c>
      <c r="EA12" s="91">
        <v>1</v>
      </c>
      <c r="EB12" s="91">
        <v>1</v>
      </c>
      <c r="EC12" s="91">
        <v>1</v>
      </c>
      <c r="ED12" s="91">
        <v>1</v>
      </c>
      <c r="EE12" s="91">
        <v>1</v>
      </c>
      <c r="EF12" s="91">
        <v>1</v>
      </c>
      <c r="EG12" s="91">
        <v>1</v>
      </c>
      <c r="EH12" s="91">
        <v>1</v>
      </c>
      <c r="EI12" s="238">
        <v>1</v>
      </c>
      <c r="EJ12" s="238">
        <v>1</v>
      </c>
      <c r="EK12" s="238">
        <v>1</v>
      </c>
      <c r="EL12" s="238">
        <v>1</v>
      </c>
      <c r="EM12" s="238">
        <v>1</v>
      </c>
      <c r="EN12" s="238">
        <v>1</v>
      </c>
      <c r="EO12" s="238">
        <v>1</v>
      </c>
      <c r="EP12" s="238">
        <v>1</v>
      </c>
      <c r="EQ12" s="238">
        <v>1</v>
      </c>
      <c r="ER12" s="238">
        <v>1</v>
      </c>
      <c r="ES12" s="350">
        <f t="shared" si="14"/>
        <v>8</v>
      </c>
      <c r="ET12" s="350">
        <f t="shared" si="2"/>
        <v>10</v>
      </c>
      <c r="EU12" s="350">
        <f t="shared" si="3"/>
        <v>8</v>
      </c>
      <c r="EV12" s="350">
        <f t="shared" si="4"/>
        <v>10</v>
      </c>
      <c r="EW12" s="350">
        <f t="shared" si="15"/>
        <v>10</v>
      </c>
      <c r="EX12" s="350">
        <f t="shared" si="16"/>
        <v>10</v>
      </c>
      <c r="EY12" s="350">
        <f t="shared" si="5"/>
        <v>10</v>
      </c>
      <c r="EZ12" s="350">
        <f t="shared" si="6"/>
        <v>0</v>
      </c>
      <c r="FA12" s="350">
        <f t="shared" si="7"/>
        <v>10</v>
      </c>
      <c r="FB12" s="350">
        <f t="shared" si="8"/>
        <v>10</v>
      </c>
      <c r="FC12" s="350">
        <f t="shared" si="9"/>
        <v>10</v>
      </c>
      <c r="FD12" s="350">
        <f t="shared" si="10"/>
        <v>10</v>
      </c>
      <c r="FE12" s="350">
        <f t="shared" si="11"/>
        <v>10</v>
      </c>
      <c r="FF12" s="350">
        <f t="shared" si="17"/>
        <v>10</v>
      </c>
      <c r="FG12" s="349">
        <f t="shared" si="18"/>
        <v>10</v>
      </c>
      <c r="FH12" s="319">
        <f t="shared" si="12"/>
        <v>126</v>
      </c>
      <c r="FI12" s="319">
        <f>SUM(I7:ER7)-SUM(ES12:FF12)</f>
        <v>2</v>
      </c>
      <c r="FJ12" s="319">
        <f t="shared" si="13"/>
        <v>128</v>
      </c>
      <c r="FK12" s="7"/>
    </row>
    <row r="13" spans="1:167" ht="15" customHeight="1">
      <c r="A13" s="2"/>
      <c r="B13" s="3">
        <f t="shared" si="0"/>
        <v>1</v>
      </c>
      <c r="C13" s="347">
        <f t="shared" si="1"/>
        <v>6</v>
      </c>
      <c r="D13" s="183" t="s">
        <v>62</v>
      </c>
      <c r="E13" s="347"/>
      <c r="F13" s="347"/>
      <c r="G13" s="493">
        <v>45915</v>
      </c>
      <c r="H13" s="494"/>
      <c r="I13" s="212">
        <v>0</v>
      </c>
      <c r="J13" s="206">
        <v>0</v>
      </c>
      <c r="K13" s="206">
        <v>1</v>
      </c>
      <c r="L13" s="206">
        <v>1</v>
      </c>
      <c r="M13" s="206">
        <v>1</v>
      </c>
      <c r="N13" s="206">
        <v>1</v>
      </c>
      <c r="O13" s="206">
        <v>1</v>
      </c>
      <c r="P13" s="206">
        <v>1</v>
      </c>
      <c r="Q13" s="206">
        <v>1</v>
      </c>
      <c r="R13" s="213">
        <v>1</v>
      </c>
      <c r="S13" s="223">
        <v>1</v>
      </c>
      <c r="T13" s="224">
        <v>1</v>
      </c>
      <c r="U13" s="224">
        <v>1</v>
      </c>
      <c r="V13" s="224">
        <v>1</v>
      </c>
      <c r="W13" s="224">
        <v>1</v>
      </c>
      <c r="X13" s="224">
        <v>1</v>
      </c>
      <c r="Y13" s="224">
        <v>1</v>
      </c>
      <c r="Z13" s="224">
        <v>1</v>
      </c>
      <c r="AA13" s="224">
        <v>1</v>
      </c>
      <c r="AB13" s="225">
        <v>1</v>
      </c>
      <c r="AC13" s="257">
        <v>1</v>
      </c>
      <c r="AD13" s="177">
        <v>1</v>
      </c>
      <c r="AE13" s="177">
        <v>1</v>
      </c>
      <c r="AF13" s="177">
        <v>1</v>
      </c>
      <c r="AG13" s="530"/>
      <c r="AH13" s="531"/>
      <c r="AI13" s="177">
        <v>1</v>
      </c>
      <c r="AJ13" s="177">
        <v>1</v>
      </c>
      <c r="AK13" s="177">
        <v>1</v>
      </c>
      <c r="AL13" s="357">
        <v>1</v>
      </c>
      <c r="AM13" s="235">
        <v>1</v>
      </c>
      <c r="AN13" s="236">
        <v>1</v>
      </c>
      <c r="AO13" s="236">
        <v>1</v>
      </c>
      <c r="AP13" s="236">
        <v>1</v>
      </c>
      <c r="AQ13" s="236">
        <v>1</v>
      </c>
      <c r="AR13" s="236">
        <v>1</v>
      </c>
      <c r="AS13" s="236">
        <v>1</v>
      </c>
      <c r="AT13" s="236">
        <v>1</v>
      </c>
      <c r="AU13" s="236">
        <v>1</v>
      </c>
      <c r="AV13" s="272">
        <v>1</v>
      </c>
      <c r="AW13" s="362">
        <v>1</v>
      </c>
      <c r="AX13" s="363">
        <v>1</v>
      </c>
      <c r="AY13" s="363">
        <v>1</v>
      </c>
      <c r="AZ13" s="363">
        <v>1</v>
      </c>
      <c r="BA13" s="363">
        <v>1</v>
      </c>
      <c r="BB13" s="363">
        <v>1</v>
      </c>
      <c r="BC13" s="363">
        <v>1</v>
      </c>
      <c r="BD13" s="363">
        <v>1</v>
      </c>
      <c r="BE13" s="363">
        <v>1</v>
      </c>
      <c r="BF13" s="364">
        <v>1</v>
      </c>
      <c r="BG13" s="212">
        <v>1</v>
      </c>
      <c r="BH13" s="206">
        <v>1</v>
      </c>
      <c r="BI13" s="206">
        <v>1</v>
      </c>
      <c r="BJ13" s="206">
        <v>1</v>
      </c>
      <c r="BK13" s="206">
        <v>1</v>
      </c>
      <c r="BL13" s="206">
        <v>1</v>
      </c>
      <c r="BM13" s="207">
        <v>1</v>
      </c>
      <c r="BN13" s="207">
        <v>1</v>
      </c>
      <c r="BO13" s="207">
        <v>1</v>
      </c>
      <c r="BP13" s="215">
        <v>1</v>
      </c>
      <c r="BQ13" s="249">
        <v>1</v>
      </c>
      <c r="BR13" s="227">
        <v>1</v>
      </c>
      <c r="BS13" s="227">
        <v>1</v>
      </c>
      <c r="BT13" s="227">
        <v>1</v>
      </c>
      <c r="BU13" s="227">
        <v>1</v>
      </c>
      <c r="BV13" s="227">
        <v>1</v>
      </c>
      <c r="BW13" s="227">
        <v>1</v>
      </c>
      <c r="BX13" s="227">
        <v>1</v>
      </c>
      <c r="BY13" s="227">
        <v>1</v>
      </c>
      <c r="BZ13" s="247">
        <v>1</v>
      </c>
      <c r="CA13" s="537"/>
      <c r="CB13" s="538"/>
      <c r="CC13" s="538"/>
      <c r="CD13" s="538"/>
      <c r="CE13" s="538"/>
      <c r="CF13" s="538"/>
      <c r="CG13" s="538"/>
      <c r="CH13" s="538"/>
      <c r="CI13" s="538"/>
      <c r="CJ13" s="539"/>
      <c r="CK13" s="240">
        <v>1</v>
      </c>
      <c r="CL13" s="238">
        <v>1</v>
      </c>
      <c r="CM13" s="238">
        <v>1</v>
      </c>
      <c r="CN13" s="238">
        <v>1</v>
      </c>
      <c r="CO13" s="238">
        <v>1</v>
      </c>
      <c r="CP13" s="238">
        <v>1</v>
      </c>
      <c r="CQ13" s="238">
        <v>1</v>
      </c>
      <c r="CR13" s="238">
        <v>1</v>
      </c>
      <c r="CS13" s="238">
        <v>1</v>
      </c>
      <c r="CT13" s="239">
        <v>1</v>
      </c>
      <c r="CU13" s="295">
        <v>1</v>
      </c>
      <c r="CV13" s="296">
        <v>1</v>
      </c>
      <c r="CW13" s="296">
        <v>1</v>
      </c>
      <c r="CX13" s="296">
        <v>1</v>
      </c>
      <c r="CY13" s="296">
        <v>1</v>
      </c>
      <c r="CZ13" s="296">
        <v>1</v>
      </c>
      <c r="DA13" s="296">
        <v>1</v>
      </c>
      <c r="DB13" s="296">
        <v>1</v>
      </c>
      <c r="DC13" s="296">
        <v>1</v>
      </c>
      <c r="DD13" s="297">
        <v>1</v>
      </c>
      <c r="DE13" s="214">
        <v>1</v>
      </c>
      <c r="DF13" s="207">
        <v>1</v>
      </c>
      <c r="DG13" s="207">
        <v>1</v>
      </c>
      <c r="DH13" s="207">
        <v>1</v>
      </c>
      <c r="DI13" s="207">
        <v>1</v>
      </c>
      <c r="DJ13" s="207">
        <v>1</v>
      </c>
      <c r="DK13" s="207">
        <v>1</v>
      </c>
      <c r="DL13" s="207">
        <v>1</v>
      </c>
      <c r="DM13" s="207">
        <v>1</v>
      </c>
      <c r="DN13" s="215">
        <v>1</v>
      </c>
      <c r="DO13" s="226">
        <v>1</v>
      </c>
      <c r="DP13" s="227">
        <v>1</v>
      </c>
      <c r="DQ13" s="227">
        <v>1</v>
      </c>
      <c r="DR13" s="227">
        <v>1</v>
      </c>
      <c r="DS13" s="227">
        <v>1</v>
      </c>
      <c r="DT13" s="227">
        <v>1</v>
      </c>
      <c r="DU13" s="227">
        <v>1</v>
      </c>
      <c r="DV13" s="227">
        <v>1</v>
      </c>
      <c r="DW13" s="227">
        <v>1</v>
      </c>
      <c r="DX13" s="228">
        <v>1</v>
      </c>
      <c r="DY13" s="307">
        <v>1</v>
      </c>
      <c r="DZ13" s="91">
        <v>1</v>
      </c>
      <c r="EA13" s="91">
        <v>1</v>
      </c>
      <c r="EB13" s="91">
        <v>1</v>
      </c>
      <c r="EC13" s="91">
        <v>1</v>
      </c>
      <c r="ED13" s="91">
        <v>1</v>
      </c>
      <c r="EE13" s="91">
        <v>1</v>
      </c>
      <c r="EF13" s="91">
        <v>1</v>
      </c>
      <c r="EG13" s="91">
        <v>1</v>
      </c>
      <c r="EH13" s="91">
        <v>1</v>
      </c>
      <c r="EI13" s="238">
        <v>1</v>
      </c>
      <c r="EJ13" s="238">
        <v>1</v>
      </c>
      <c r="EK13" s="238">
        <v>1</v>
      </c>
      <c r="EL13" s="238">
        <v>1</v>
      </c>
      <c r="EM13" s="238">
        <v>1</v>
      </c>
      <c r="EN13" s="238">
        <v>1</v>
      </c>
      <c r="EO13" s="238">
        <v>1</v>
      </c>
      <c r="EP13" s="238">
        <v>1</v>
      </c>
      <c r="EQ13" s="238">
        <v>1</v>
      </c>
      <c r="ER13" s="238">
        <v>1</v>
      </c>
      <c r="ES13" s="350">
        <f t="shared" si="14"/>
        <v>8</v>
      </c>
      <c r="ET13" s="350">
        <f t="shared" si="2"/>
        <v>10</v>
      </c>
      <c r="EU13" s="350">
        <f t="shared" si="3"/>
        <v>8</v>
      </c>
      <c r="EV13" s="350">
        <f t="shared" si="4"/>
        <v>10</v>
      </c>
      <c r="EW13" s="350">
        <f t="shared" si="15"/>
        <v>10</v>
      </c>
      <c r="EX13" s="350">
        <f t="shared" si="16"/>
        <v>10</v>
      </c>
      <c r="EY13" s="350">
        <f t="shared" si="5"/>
        <v>10</v>
      </c>
      <c r="EZ13" s="350">
        <f t="shared" si="6"/>
        <v>0</v>
      </c>
      <c r="FA13" s="350">
        <f t="shared" si="7"/>
        <v>10</v>
      </c>
      <c r="FB13" s="350">
        <f t="shared" si="8"/>
        <v>10</v>
      </c>
      <c r="FC13" s="350">
        <f t="shared" si="9"/>
        <v>10</v>
      </c>
      <c r="FD13" s="350">
        <f t="shared" si="10"/>
        <v>10</v>
      </c>
      <c r="FE13" s="350">
        <f t="shared" si="11"/>
        <v>10</v>
      </c>
      <c r="FF13" s="350">
        <f t="shared" si="17"/>
        <v>10</v>
      </c>
      <c r="FG13" s="349">
        <f t="shared" si="18"/>
        <v>11</v>
      </c>
      <c r="FH13" s="319">
        <f t="shared" si="12"/>
        <v>126</v>
      </c>
      <c r="FI13" s="319">
        <f>SUM(I7:ER7)-SUM(ES13:FF13)</f>
        <v>2</v>
      </c>
      <c r="FJ13" s="319">
        <f t="shared" si="13"/>
        <v>128</v>
      </c>
      <c r="FK13" s="7"/>
    </row>
    <row r="14" spans="1:167" ht="15" customHeight="1">
      <c r="A14" s="2"/>
      <c r="B14" s="3">
        <f t="shared" si="0"/>
        <v>1</v>
      </c>
      <c r="C14" s="347">
        <f t="shared" si="1"/>
        <v>7</v>
      </c>
      <c r="D14" s="183" t="s">
        <v>63</v>
      </c>
      <c r="E14" s="347"/>
      <c r="F14" s="347"/>
      <c r="G14" s="493">
        <v>45915</v>
      </c>
      <c r="H14" s="494"/>
      <c r="I14" s="212">
        <v>0</v>
      </c>
      <c r="J14" s="206">
        <v>0</v>
      </c>
      <c r="K14" s="206">
        <v>1</v>
      </c>
      <c r="L14" s="206">
        <v>1</v>
      </c>
      <c r="M14" s="206">
        <v>1</v>
      </c>
      <c r="N14" s="206">
        <v>1</v>
      </c>
      <c r="O14" s="206">
        <v>1</v>
      </c>
      <c r="P14" s="206">
        <v>1</v>
      </c>
      <c r="Q14" s="206">
        <v>1</v>
      </c>
      <c r="R14" s="213">
        <v>1</v>
      </c>
      <c r="S14" s="223">
        <v>1</v>
      </c>
      <c r="T14" s="224">
        <v>1</v>
      </c>
      <c r="U14" s="224">
        <v>1</v>
      </c>
      <c r="V14" s="224">
        <v>1</v>
      </c>
      <c r="W14" s="224">
        <v>1</v>
      </c>
      <c r="X14" s="224">
        <v>1</v>
      </c>
      <c r="Y14" s="224">
        <v>1</v>
      </c>
      <c r="Z14" s="224">
        <v>1</v>
      </c>
      <c r="AA14" s="224">
        <v>1</v>
      </c>
      <c r="AB14" s="225">
        <v>1</v>
      </c>
      <c r="AC14" s="257">
        <v>1</v>
      </c>
      <c r="AD14" s="177">
        <v>1</v>
      </c>
      <c r="AE14" s="177">
        <v>1</v>
      </c>
      <c r="AF14" s="177">
        <v>1</v>
      </c>
      <c r="AG14" s="530"/>
      <c r="AH14" s="531"/>
      <c r="AI14" s="177">
        <v>1</v>
      </c>
      <c r="AJ14" s="177">
        <v>1</v>
      </c>
      <c r="AK14" s="177">
        <v>1</v>
      </c>
      <c r="AL14" s="357">
        <v>1</v>
      </c>
      <c r="AM14" s="235">
        <v>1</v>
      </c>
      <c r="AN14" s="236">
        <v>1</v>
      </c>
      <c r="AO14" s="236">
        <v>1</v>
      </c>
      <c r="AP14" s="236">
        <v>1</v>
      </c>
      <c r="AQ14" s="236">
        <v>1</v>
      </c>
      <c r="AR14" s="236">
        <v>1</v>
      </c>
      <c r="AS14" s="236">
        <v>1</v>
      </c>
      <c r="AT14" s="236">
        <v>1</v>
      </c>
      <c r="AU14" s="236">
        <v>1</v>
      </c>
      <c r="AV14" s="272">
        <v>1</v>
      </c>
      <c r="AW14" s="362">
        <v>1</v>
      </c>
      <c r="AX14" s="363">
        <v>1</v>
      </c>
      <c r="AY14" s="363">
        <v>1</v>
      </c>
      <c r="AZ14" s="363">
        <v>1</v>
      </c>
      <c r="BA14" s="363">
        <v>1</v>
      </c>
      <c r="BB14" s="363">
        <v>1</v>
      </c>
      <c r="BC14" s="363">
        <v>1</v>
      </c>
      <c r="BD14" s="363">
        <v>1</v>
      </c>
      <c r="BE14" s="363">
        <v>1</v>
      </c>
      <c r="BF14" s="364">
        <v>1</v>
      </c>
      <c r="BG14" s="212">
        <v>1</v>
      </c>
      <c r="BH14" s="206">
        <v>1</v>
      </c>
      <c r="BI14" s="206">
        <v>1</v>
      </c>
      <c r="BJ14" s="206">
        <v>1</v>
      </c>
      <c r="BK14" s="207">
        <v>1</v>
      </c>
      <c r="BL14" s="207">
        <v>1</v>
      </c>
      <c r="BM14" s="207">
        <v>1</v>
      </c>
      <c r="BN14" s="207">
        <v>1</v>
      </c>
      <c r="BO14" s="207">
        <v>1</v>
      </c>
      <c r="BP14" s="215">
        <v>1</v>
      </c>
      <c r="BQ14" s="249">
        <v>1</v>
      </c>
      <c r="BR14" s="227">
        <v>1</v>
      </c>
      <c r="BS14" s="227">
        <v>1</v>
      </c>
      <c r="BT14" s="227">
        <v>1</v>
      </c>
      <c r="BU14" s="227">
        <v>1</v>
      </c>
      <c r="BV14" s="227">
        <v>1</v>
      </c>
      <c r="BW14" s="227">
        <v>1</v>
      </c>
      <c r="BX14" s="227">
        <v>1</v>
      </c>
      <c r="BY14" s="227">
        <v>1</v>
      </c>
      <c r="BZ14" s="247">
        <v>1</v>
      </c>
      <c r="CA14" s="537"/>
      <c r="CB14" s="538"/>
      <c r="CC14" s="538"/>
      <c r="CD14" s="538"/>
      <c r="CE14" s="538"/>
      <c r="CF14" s="538"/>
      <c r="CG14" s="538"/>
      <c r="CH14" s="538"/>
      <c r="CI14" s="538"/>
      <c r="CJ14" s="539"/>
      <c r="CK14" s="240">
        <v>1</v>
      </c>
      <c r="CL14" s="238">
        <v>1</v>
      </c>
      <c r="CM14" s="238">
        <v>1</v>
      </c>
      <c r="CN14" s="238">
        <v>1</v>
      </c>
      <c r="CO14" s="238">
        <v>1</v>
      </c>
      <c r="CP14" s="238">
        <v>1</v>
      </c>
      <c r="CQ14" s="238">
        <v>1</v>
      </c>
      <c r="CR14" s="238">
        <v>1</v>
      </c>
      <c r="CS14" s="238">
        <v>1</v>
      </c>
      <c r="CT14" s="239">
        <v>1</v>
      </c>
      <c r="CU14" s="295">
        <v>1</v>
      </c>
      <c r="CV14" s="296">
        <v>1</v>
      </c>
      <c r="CW14" s="296">
        <v>1</v>
      </c>
      <c r="CX14" s="296">
        <v>1</v>
      </c>
      <c r="CY14" s="296">
        <v>1</v>
      </c>
      <c r="CZ14" s="296">
        <v>1</v>
      </c>
      <c r="DA14" s="296">
        <v>1</v>
      </c>
      <c r="DB14" s="296">
        <v>1</v>
      </c>
      <c r="DC14" s="296">
        <v>1</v>
      </c>
      <c r="DD14" s="297">
        <v>1</v>
      </c>
      <c r="DE14" s="214">
        <v>1</v>
      </c>
      <c r="DF14" s="207">
        <v>1</v>
      </c>
      <c r="DG14" s="207">
        <v>1</v>
      </c>
      <c r="DH14" s="207">
        <v>1</v>
      </c>
      <c r="DI14" s="207">
        <v>1</v>
      </c>
      <c r="DJ14" s="207">
        <v>1</v>
      </c>
      <c r="DK14" s="207">
        <v>1</v>
      </c>
      <c r="DL14" s="207">
        <v>1</v>
      </c>
      <c r="DM14" s="207">
        <v>1</v>
      </c>
      <c r="DN14" s="215">
        <v>1</v>
      </c>
      <c r="DO14" s="226">
        <v>1</v>
      </c>
      <c r="DP14" s="227">
        <v>1</v>
      </c>
      <c r="DQ14" s="227">
        <v>1</v>
      </c>
      <c r="DR14" s="227">
        <v>1</v>
      </c>
      <c r="DS14" s="227">
        <v>1</v>
      </c>
      <c r="DT14" s="227">
        <v>1</v>
      </c>
      <c r="DU14" s="227">
        <v>1</v>
      </c>
      <c r="DV14" s="227">
        <v>1</v>
      </c>
      <c r="DW14" s="227">
        <v>1</v>
      </c>
      <c r="DX14" s="228">
        <v>1</v>
      </c>
      <c r="DY14" s="307">
        <v>1</v>
      </c>
      <c r="DZ14" s="91">
        <v>1</v>
      </c>
      <c r="EA14" s="91">
        <v>1</v>
      </c>
      <c r="EB14" s="91">
        <v>1</v>
      </c>
      <c r="EC14" s="91">
        <v>1</v>
      </c>
      <c r="ED14" s="91">
        <v>1</v>
      </c>
      <c r="EE14" s="91">
        <v>1</v>
      </c>
      <c r="EF14" s="91">
        <v>1</v>
      </c>
      <c r="EG14" s="91">
        <v>1</v>
      </c>
      <c r="EH14" s="91">
        <v>1</v>
      </c>
      <c r="EI14" s="238">
        <v>1</v>
      </c>
      <c r="EJ14" s="238">
        <v>1</v>
      </c>
      <c r="EK14" s="238">
        <v>1</v>
      </c>
      <c r="EL14" s="238">
        <v>1</v>
      </c>
      <c r="EM14" s="238">
        <v>1</v>
      </c>
      <c r="EN14" s="238">
        <v>1</v>
      </c>
      <c r="EO14" s="238">
        <v>1</v>
      </c>
      <c r="EP14" s="238">
        <v>1</v>
      </c>
      <c r="EQ14" s="238">
        <v>1</v>
      </c>
      <c r="ER14" s="238">
        <v>1</v>
      </c>
      <c r="ES14" s="350">
        <f t="shared" si="14"/>
        <v>0</v>
      </c>
      <c r="ET14" s="350">
        <f t="shared" si="2"/>
        <v>10</v>
      </c>
      <c r="EU14" s="350">
        <f t="shared" si="3"/>
        <v>8</v>
      </c>
      <c r="EV14" s="350">
        <f t="shared" si="4"/>
        <v>10</v>
      </c>
      <c r="EW14" s="350">
        <f t="shared" si="15"/>
        <v>10</v>
      </c>
      <c r="EX14" s="350">
        <f t="shared" si="16"/>
        <v>10</v>
      </c>
      <c r="EY14" s="350">
        <f t="shared" si="5"/>
        <v>10</v>
      </c>
      <c r="EZ14" s="350">
        <f t="shared" si="6"/>
        <v>0</v>
      </c>
      <c r="FA14" s="350">
        <f t="shared" si="7"/>
        <v>10</v>
      </c>
      <c r="FB14" s="350">
        <f t="shared" si="8"/>
        <v>10</v>
      </c>
      <c r="FC14" s="350">
        <f t="shared" si="9"/>
        <v>10</v>
      </c>
      <c r="FD14" s="350">
        <f t="shared" si="10"/>
        <v>10</v>
      </c>
      <c r="FE14" s="350">
        <f t="shared" si="11"/>
        <v>10</v>
      </c>
      <c r="FF14" s="350">
        <f t="shared" si="17"/>
        <v>10</v>
      </c>
      <c r="FG14" s="349">
        <f t="shared" si="18"/>
        <v>12</v>
      </c>
      <c r="FH14" s="319">
        <f t="shared" si="12"/>
        <v>118</v>
      </c>
      <c r="FI14" s="319">
        <f>SUM(I7:ER7)-SUM(ES14:FF14)</f>
        <v>10</v>
      </c>
      <c r="FJ14" s="319">
        <f t="shared" si="13"/>
        <v>128</v>
      </c>
      <c r="FK14" s="7"/>
    </row>
    <row r="15" spans="1:167" ht="15" customHeight="1">
      <c r="A15" s="2"/>
      <c r="B15" s="3">
        <f t="shared" si="0"/>
        <v>1</v>
      </c>
      <c r="C15" s="347">
        <f t="shared" si="1"/>
        <v>8</v>
      </c>
      <c r="D15" s="183" t="s">
        <v>64</v>
      </c>
      <c r="E15" s="347"/>
      <c r="F15" s="347"/>
      <c r="G15" s="493">
        <v>45915</v>
      </c>
      <c r="H15" s="494"/>
      <c r="I15" s="212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13">
        <v>0</v>
      </c>
      <c r="S15" s="223">
        <v>1</v>
      </c>
      <c r="T15" s="224">
        <v>1</v>
      </c>
      <c r="U15" s="224">
        <v>1</v>
      </c>
      <c r="V15" s="224">
        <v>1</v>
      </c>
      <c r="W15" s="224">
        <v>1</v>
      </c>
      <c r="X15" s="224">
        <v>1</v>
      </c>
      <c r="Y15" s="224">
        <v>1</v>
      </c>
      <c r="Z15" s="224">
        <v>1</v>
      </c>
      <c r="AA15" s="224">
        <v>1</v>
      </c>
      <c r="AB15" s="225">
        <v>1</v>
      </c>
      <c r="AC15" s="257">
        <v>1</v>
      </c>
      <c r="AD15" s="177">
        <v>1</v>
      </c>
      <c r="AE15" s="177">
        <v>1</v>
      </c>
      <c r="AF15" s="177">
        <v>1</v>
      </c>
      <c r="AG15" s="530"/>
      <c r="AH15" s="531"/>
      <c r="AI15" s="177">
        <v>1</v>
      </c>
      <c r="AJ15" s="177">
        <v>1</v>
      </c>
      <c r="AK15" s="177">
        <v>1</v>
      </c>
      <c r="AL15" s="357">
        <v>1</v>
      </c>
      <c r="AM15" s="235">
        <v>1</v>
      </c>
      <c r="AN15" s="236">
        <v>1</v>
      </c>
      <c r="AO15" s="236">
        <v>1</v>
      </c>
      <c r="AP15" s="236">
        <v>1</v>
      </c>
      <c r="AQ15" s="236">
        <v>1</v>
      </c>
      <c r="AR15" s="236">
        <v>1</v>
      </c>
      <c r="AS15" s="236">
        <v>1</v>
      </c>
      <c r="AT15" s="236">
        <v>1</v>
      </c>
      <c r="AU15" s="236">
        <v>1</v>
      </c>
      <c r="AV15" s="272">
        <v>1</v>
      </c>
      <c r="AW15" s="362">
        <v>1</v>
      </c>
      <c r="AX15" s="363">
        <v>1</v>
      </c>
      <c r="AY15" s="363">
        <v>1</v>
      </c>
      <c r="AZ15" s="363">
        <v>1</v>
      </c>
      <c r="BA15" s="363">
        <v>1</v>
      </c>
      <c r="BB15" s="363">
        <v>1</v>
      </c>
      <c r="BC15" s="363">
        <v>1</v>
      </c>
      <c r="BD15" s="363">
        <v>1</v>
      </c>
      <c r="BE15" s="363">
        <v>1</v>
      </c>
      <c r="BF15" s="364">
        <v>1</v>
      </c>
      <c r="BG15" s="212">
        <v>1</v>
      </c>
      <c r="BH15" s="206">
        <v>1</v>
      </c>
      <c r="BI15" s="206">
        <v>1</v>
      </c>
      <c r="BJ15" s="206">
        <v>1</v>
      </c>
      <c r="BK15" s="206">
        <v>1</v>
      </c>
      <c r="BL15" s="206">
        <v>1</v>
      </c>
      <c r="BM15" s="206">
        <v>1</v>
      </c>
      <c r="BN15" s="207">
        <v>1</v>
      </c>
      <c r="BO15" s="207">
        <v>1</v>
      </c>
      <c r="BP15" s="215">
        <v>1</v>
      </c>
      <c r="BQ15" s="249">
        <v>1</v>
      </c>
      <c r="BR15" s="227">
        <v>1</v>
      </c>
      <c r="BS15" s="227">
        <v>1</v>
      </c>
      <c r="BT15" s="227">
        <v>1</v>
      </c>
      <c r="BU15" s="227">
        <v>1</v>
      </c>
      <c r="BV15" s="227">
        <v>1</v>
      </c>
      <c r="BW15" s="227">
        <v>1</v>
      </c>
      <c r="BX15" s="227">
        <v>1</v>
      </c>
      <c r="BY15" s="227">
        <v>1</v>
      </c>
      <c r="BZ15" s="247">
        <v>1</v>
      </c>
      <c r="CA15" s="537"/>
      <c r="CB15" s="538"/>
      <c r="CC15" s="538"/>
      <c r="CD15" s="538"/>
      <c r="CE15" s="538"/>
      <c r="CF15" s="538"/>
      <c r="CG15" s="538"/>
      <c r="CH15" s="538"/>
      <c r="CI15" s="538"/>
      <c r="CJ15" s="539"/>
      <c r="CK15" s="240">
        <v>1</v>
      </c>
      <c r="CL15" s="238">
        <v>1</v>
      </c>
      <c r="CM15" s="238">
        <v>1</v>
      </c>
      <c r="CN15" s="238">
        <v>1</v>
      </c>
      <c r="CO15" s="238">
        <v>1</v>
      </c>
      <c r="CP15" s="238">
        <v>1</v>
      </c>
      <c r="CQ15" s="238">
        <v>1</v>
      </c>
      <c r="CR15" s="238">
        <v>1</v>
      </c>
      <c r="CS15" s="238">
        <v>1</v>
      </c>
      <c r="CT15" s="239">
        <v>1</v>
      </c>
      <c r="CU15" s="295">
        <v>1</v>
      </c>
      <c r="CV15" s="296">
        <v>1</v>
      </c>
      <c r="CW15" s="296">
        <v>1</v>
      </c>
      <c r="CX15" s="296">
        <v>1</v>
      </c>
      <c r="CY15" s="296">
        <v>1</v>
      </c>
      <c r="CZ15" s="296">
        <v>1</v>
      </c>
      <c r="DA15" s="296">
        <v>1</v>
      </c>
      <c r="DB15" s="296">
        <v>1</v>
      </c>
      <c r="DC15" s="296">
        <v>1</v>
      </c>
      <c r="DD15" s="297">
        <v>1</v>
      </c>
      <c r="DE15" s="214">
        <v>1</v>
      </c>
      <c r="DF15" s="207">
        <v>1</v>
      </c>
      <c r="DG15" s="207">
        <v>1</v>
      </c>
      <c r="DH15" s="207">
        <v>1</v>
      </c>
      <c r="DI15" s="207">
        <v>1</v>
      </c>
      <c r="DJ15" s="207">
        <v>1</v>
      </c>
      <c r="DK15" s="207">
        <v>1</v>
      </c>
      <c r="DL15" s="207">
        <v>1</v>
      </c>
      <c r="DM15" s="207">
        <v>1</v>
      </c>
      <c r="DN15" s="215">
        <v>1</v>
      </c>
      <c r="DO15" s="226">
        <v>1</v>
      </c>
      <c r="DP15" s="227">
        <v>1</v>
      </c>
      <c r="DQ15" s="227">
        <v>1</v>
      </c>
      <c r="DR15" s="227">
        <v>1</v>
      </c>
      <c r="DS15" s="227">
        <v>1</v>
      </c>
      <c r="DT15" s="227">
        <v>1</v>
      </c>
      <c r="DU15" s="227">
        <v>1</v>
      </c>
      <c r="DV15" s="227">
        <v>1</v>
      </c>
      <c r="DW15" s="227">
        <v>1</v>
      </c>
      <c r="DX15" s="228">
        <v>1</v>
      </c>
      <c r="DY15" s="307">
        <v>1</v>
      </c>
      <c r="DZ15" s="91">
        <v>1</v>
      </c>
      <c r="EA15" s="91">
        <v>1</v>
      </c>
      <c r="EB15" s="91">
        <v>1</v>
      </c>
      <c r="EC15" s="91">
        <v>1</v>
      </c>
      <c r="ED15" s="91">
        <v>1</v>
      </c>
      <c r="EE15" s="91">
        <v>1</v>
      </c>
      <c r="EF15" s="91">
        <v>1</v>
      </c>
      <c r="EG15" s="91">
        <v>1</v>
      </c>
      <c r="EH15" s="91">
        <v>1</v>
      </c>
      <c r="EI15" s="238">
        <v>1</v>
      </c>
      <c r="EJ15" s="238">
        <v>1</v>
      </c>
      <c r="EK15" s="238">
        <v>1</v>
      </c>
      <c r="EL15" s="238">
        <v>1</v>
      </c>
      <c r="EM15" s="238">
        <v>1</v>
      </c>
      <c r="EN15" s="238">
        <v>1</v>
      </c>
      <c r="EO15" s="238">
        <v>1</v>
      </c>
      <c r="EP15" s="238">
        <v>1</v>
      </c>
      <c r="EQ15" s="238">
        <v>1</v>
      </c>
      <c r="ER15" s="238">
        <v>1</v>
      </c>
      <c r="ES15" s="350">
        <f t="shared" si="14"/>
        <v>0</v>
      </c>
      <c r="ET15" s="350">
        <f t="shared" si="2"/>
        <v>10</v>
      </c>
      <c r="EU15" s="350">
        <f t="shared" si="3"/>
        <v>8</v>
      </c>
      <c r="EV15" s="350">
        <f t="shared" si="4"/>
        <v>10</v>
      </c>
      <c r="EW15" s="350">
        <f t="shared" si="15"/>
        <v>10</v>
      </c>
      <c r="EX15" s="350">
        <f t="shared" si="16"/>
        <v>10</v>
      </c>
      <c r="EY15" s="350">
        <f t="shared" si="5"/>
        <v>10</v>
      </c>
      <c r="EZ15" s="350">
        <f t="shared" si="6"/>
        <v>0</v>
      </c>
      <c r="FA15" s="350">
        <f t="shared" si="7"/>
        <v>10</v>
      </c>
      <c r="FB15" s="350">
        <f t="shared" si="8"/>
        <v>10</v>
      </c>
      <c r="FC15" s="350">
        <f t="shared" si="9"/>
        <v>10</v>
      </c>
      <c r="FD15" s="350">
        <f t="shared" si="10"/>
        <v>10</v>
      </c>
      <c r="FE15" s="350">
        <f t="shared" si="11"/>
        <v>10</v>
      </c>
      <c r="FF15" s="350">
        <f t="shared" si="17"/>
        <v>10</v>
      </c>
      <c r="FG15" s="349">
        <f t="shared" si="18"/>
        <v>13</v>
      </c>
      <c r="FH15" s="319">
        <f t="shared" si="12"/>
        <v>118</v>
      </c>
      <c r="FI15" s="319">
        <f>SUM(I7:ER7)-SUM(ES15:FF15)</f>
        <v>10</v>
      </c>
      <c r="FJ15" s="319">
        <f t="shared" si="13"/>
        <v>128</v>
      </c>
      <c r="FK15" s="7"/>
    </row>
    <row r="16" spans="1:167" ht="15" customHeight="1">
      <c r="A16" s="2"/>
      <c r="B16" s="3">
        <f t="shared" si="0"/>
        <v>1</v>
      </c>
      <c r="C16" s="347">
        <f t="shared" si="1"/>
        <v>9</v>
      </c>
      <c r="D16" s="183" t="s">
        <v>65</v>
      </c>
      <c r="E16" s="347"/>
      <c r="F16" s="347"/>
      <c r="G16" s="493">
        <v>45915</v>
      </c>
      <c r="H16" s="494"/>
      <c r="I16" s="212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13">
        <v>0</v>
      </c>
      <c r="S16" s="223">
        <v>0</v>
      </c>
      <c r="T16" s="224">
        <v>0</v>
      </c>
      <c r="U16" s="224">
        <v>1</v>
      </c>
      <c r="V16" s="224">
        <v>1</v>
      </c>
      <c r="W16" s="224">
        <v>1</v>
      </c>
      <c r="X16" s="224">
        <v>1</v>
      </c>
      <c r="Y16" s="224">
        <v>1</v>
      </c>
      <c r="Z16" s="224">
        <v>1</v>
      </c>
      <c r="AA16" s="224">
        <v>1</v>
      </c>
      <c r="AB16" s="225">
        <v>1</v>
      </c>
      <c r="AC16" s="257">
        <v>1</v>
      </c>
      <c r="AD16" s="177">
        <v>1</v>
      </c>
      <c r="AE16" s="177">
        <v>1</v>
      </c>
      <c r="AF16" s="177">
        <v>1</v>
      </c>
      <c r="AG16" s="530"/>
      <c r="AH16" s="531"/>
      <c r="AI16" s="177">
        <v>1</v>
      </c>
      <c r="AJ16" s="177">
        <v>1</v>
      </c>
      <c r="AK16" s="177">
        <v>1</v>
      </c>
      <c r="AL16" s="357">
        <v>1</v>
      </c>
      <c r="AM16" s="235">
        <v>1</v>
      </c>
      <c r="AN16" s="236">
        <v>1</v>
      </c>
      <c r="AO16" s="236">
        <v>1</v>
      </c>
      <c r="AP16" s="236">
        <v>1</v>
      </c>
      <c r="AQ16" s="236">
        <v>1</v>
      </c>
      <c r="AR16" s="236">
        <v>1</v>
      </c>
      <c r="AS16" s="236">
        <v>1</v>
      </c>
      <c r="AT16" s="236">
        <v>1</v>
      </c>
      <c r="AU16" s="236">
        <v>1</v>
      </c>
      <c r="AV16" s="272">
        <v>1</v>
      </c>
      <c r="AW16" s="362">
        <v>1</v>
      </c>
      <c r="AX16" s="363">
        <v>1</v>
      </c>
      <c r="AY16" s="363">
        <v>1</v>
      </c>
      <c r="AZ16" s="363">
        <v>1</v>
      </c>
      <c r="BA16" s="363">
        <v>1</v>
      </c>
      <c r="BB16" s="363">
        <v>1</v>
      </c>
      <c r="BC16" s="363">
        <v>1</v>
      </c>
      <c r="BD16" s="363">
        <v>1</v>
      </c>
      <c r="BE16" s="363">
        <v>1</v>
      </c>
      <c r="BF16" s="364">
        <v>1</v>
      </c>
      <c r="BG16" s="212">
        <v>1</v>
      </c>
      <c r="BH16" s="206">
        <v>1</v>
      </c>
      <c r="BI16" s="206">
        <v>1</v>
      </c>
      <c r="BJ16" s="206">
        <v>1</v>
      </c>
      <c r="BK16" s="207">
        <v>1</v>
      </c>
      <c r="BL16" s="207">
        <v>1</v>
      </c>
      <c r="BM16" s="207">
        <v>1</v>
      </c>
      <c r="BN16" s="207">
        <v>1</v>
      </c>
      <c r="BO16" s="207">
        <v>1</v>
      </c>
      <c r="BP16" s="215">
        <v>1</v>
      </c>
      <c r="BQ16" s="249">
        <v>1</v>
      </c>
      <c r="BR16" s="227">
        <v>1</v>
      </c>
      <c r="BS16" s="227">
        <v>1</v>
      </c>
      <c r="BT16" s="227">
        <v>1</v>
      </c>
      <c r="BU16" s="227">
        <v>1</v>
      </c>
      <c r="BV16" s="227">
        <v>1</v>
      </c>
      <c r="BW16" s="227">
        <v>1</v>
      </c>
      <c r="BX16" s="227">
        <v>1</v>
      </c>
      <c r="BY16" s="227">
        <v>1</v>
      </c>
      <c r="BZ16" s="247">
        <v>1</v>
      </c>
      <c r="CA16" s="537"/>
      <c r="CB16" s="538"/>
      <c r="CC16" s="538"/>
      <c r="CD16" s="538"/>
      <c r="CE16" s="538"/>
      <c r="CF16" s="538"/>
      <c r="CG16" s="538"/>
      <c r="CH16" s="538"/>
      <c r="CI16" s="538"/>
      <c r="CJ16" s="539"/>
      <c r="CK16" s="240">
        <v>1</v>
      </c>
      <c r="CL16" s="238">
        <v>1</v>
      </c>
      <c r="CM16" s="238">
        <v>1</v>
      </c>
      <c r="CN16" s="238">
        <v>1</v>
      </c>
      <c r="CO16" s="238">
        <v>1</v>
      </c>
      <c r="CP16" s="238">
        <v>1</v>
      </c>
      <c r="CQ16" s="238">
        <v>1</v>
      </c>
      <c r="CR16" s="238">
        <v>1</v>
      </c>
      <c r="CS16" s="238">
        <v>1</v>
      </c>
      <c r="CT16" s="239">
        <v>1</v>
      </c>
      <c r="CU16" s="295">
        <v>1</v>
      </c>
      <c r="CV16" s="296">
        <v>1</v>
      </c>
      <c r="CW16" s="296">
        <v>1</v>
      </c>
      <c r="CX16" s="296">
        <v>1</v>
      </c>
      <c r="CY16" s="296">
        <v>1</v>
      </c>
      <c r="CZ16" s="296">
        <v>1</v>
      </c>
      <c r="DA16" s="296">
        <v>1</v>
      </c>
      <c r="DB16" s="296">
        <v>1</v>
      </c>
      <c r="DC16" s="296">
        <v>1</v>
      </c>
      <c r="DD16" s="297">
        <v>1</v>
      </c>
      <c r="DE16" s="214">
        <v>1</v>
      </c>
      <c r="DF16" s="207">
        <v>1</v>
      </c>
      <c r="DG16" s="207">
        <v>1</v>
      </c>
      <c r="DH16" s="207">
        <v>1</v>
      </c>
      <c r="DI16" s="207">
        <v>1</v>
      </c>
      <c r="DJ16" s="207">
        <v>1</v>
      </c>
      <c r="DK16" s="207">
        <v>1</v>
      </c>
      <c r="DL16" s="207">
        <v>1</v>
      </c>
      <c r="DM16" s="207">
        <v>1</v>
      </c>
      <c r="DN16" s="215">
        <v>1</v>
      </c>
      <c r="DO16" s="226">
        <v>1</v>
      </c>
      <c r="DP16" s="227">
        <v>1</v>
      </c>
      <c r="DQ16" s="227">
        <v>1</v>
      </c>
      <c r="DR16" s="227">
        <v>1</v>
      </c>
      <c r="DS16" s="227">
        <v>1</v>
      </c>
      <c r="DT16" s="227">
        <v>1</v>
      </c>
      <c r="DU16" s="227">
        <v>1</v>
      </c>
      <c r="DV16" s="227">
        <v>1</v>
      </c>
      <c r="DW16" s="227">
        <v>1</v>
      </c>
      <c r="DX16" s="228">
        <v>1</v>
      </c>
      <c r="DY16" s="307">
        <v>1</v>
      </c>
      <c r="DZ16" s="91">
        <v>1</v>
      </c>
      <c r="EA16" s="91">
        <v>1</v>
      </c>
      <c r="EB16" s="91">
        <v>1</v>
      </c>
      <c r="EC16" s="91">
        <v>1</v>
      </c>
      <c r="ED16" s="91">
        <v>1</v>
      </c>
      <c r="EE16" s="91">
        <v>1</v>
      </c>
      <c r="EF16" s="91">
        <v>1</v>
      </c>
      <c r="EG16" s="91">
        <v>1</v>
      </c>
      <c r="EH16" s="91">
        <v>1</v>
      </c>
      <c r="EI16" s="238">
        <v>1</v>
      </c>
      <c r="EJ16" s="238">
        <v>1</v>
      </c>
      <c r="EK16" s="238">
        <v>1</v>
      </c>
      <c r="EL16" s="238">
        <v>1</v>
      </c>
      <c r="EM16" s="238">
        <v>1</v>
      </c>
      <c r="EN16" s="238">
        <v>1</v>
      </c>
      <c r="EO16" s="238">
        <v>1</v>
      </c>
      <c r="EP16" s="238">
        <v>1</v>
      </c>
      <c r="EQ16" s="238">
        <v>1</v>
      </c>
      <c r="ER16" s="238">
        <v>1</v>
      </c>
      <c r="ES16" s="350">
        <f t="shared" si="14"/>
        <v>10</v>
      </c>
      <c r="ET16" s="350">
        <f t="shared" si="2"/>
        <v>8</v>
      </c>
      <c r="EU16" s="350">
        <f t="shared" si="3"/>
        <v>8</v>
      </c>
      <c r="EV16" s="350">
        <f t="shared" si="4"/>
        <v>10</v>
      </c>
      <c r="EW16" s="350">
        <f t="shared" si="15"/>
        <v>10</v>
      </c>
      <c r="EX16" s="350">
        <f t="shared" si="16"/>
        <v>10</v>
      </c>
      <c r="EY16" s="350">
        <f t="shared" si="5"/>
        <v>10</v>
      </c>
      <c r="EZ16" s="350">
        <f t="shared" si="6"/>
        <v>0</v>
      </c>
      <c r="FA16" s="350">
        <f t="shared" si="7"/>
        <v>10</v>
      </c>
      <c r="FB16" s="350">
        <f t="shared" si="8"/>
        <v>10</v>
      </c>
      <c r="FC16" s="350">
        <f t="shared" si="9"/>
        <v>10</v>
      </c>
      <c r="FD16" s="350">
        <f t="shared" si="10"/>
        <v>10</v>
      </c>
      <c r="FE16" s="350">
        <f t="shared" si="11"/>
        <v>10</v>
      </c>
      <c r="FF16" s="350">
        <f t="shared" si="17"/>
        <v>10</v>
      </c>
      <c r="FG16" s="349">
        <f t="shared" si="18"/>
        <v>14</v>
      </c>
      <c r="FH16" s="319">
        <f t="shared" si="12"/>
        <v>126</v>
      </c>
      <c r="FI16" s="319">
        <f>SUM(I7:ER7)-SUM(ES16:FF16)</f>
        <v>2</v>
      </c>
      <c r="FJ16" s="319">
        <f t="shared" si="13"/>
        <v>128</v>
      </c>
      <c r="FK16" s="7"/>
    </row>
    <row r="17" spans="1:167" ht="15" customHeight="1">
      <c r="A17" s="2"/>
      <c r="B17" s="3">
        <f t="shared" si="0"/>
        <v>1</v>
      </c>
      <c r="C17" s="347">
        <f t="shared" si="1"/>
        <v>10</v>
      </c>
      <c r="D17" s="183" t="s">
        <v>66</v>
      </c>
      <c r="E17" s="347"/>
      <c r="F17" s="347"/>
      <c r="G17" s="493">
        <v>45915</v>
      </c>
      <c r="H17" s="494"/>
      <c r="I17" s="212">
        <v>1</v>
      </c>
      <c r="J17" s="206">
        <v>1</v>
      </c>
      <c r="K17" s="206">
        <v>1</v>
      </c>
      <c r="L17" s="206">
        <v>1</v>
      </c>
      <c r="M17" s="206">
        <v>1</v>
      </c>
      <c r="N17" s="206">
        <v>1</v>
      </c>
      <c r="O17" s="206">
        <v>1</v>
      </c>
      <c r="P17" s="206">
        <v>1</v>
      </c>
      <c r="Q17" s="206">
        <v>1</v>
      </c>
      <c r="R17" s="213">
        <v>1</v>
      </c>
      <c r="S17" s="223">
        <v>1</v>
      </c>
      <c r="T17" s="224">
        <v>1</v>
      </c>
      <c r="U17" s="224">
        <v>1</v>
      </c>
      <c r="V17" s="224">
        <v>1</v>
      </c>
      <c r="W17" s="224">
        <v>1</v>
      </c>
      <c r="X17" s="224">
        <v>1</v>
      </c>
      <c r="Y17" s="224">
        <v>1</v>
      </c>
      <c r="Z17" s="224">
        <v>1</v>
      </c>
      <c r="AA17" s="224">
        <v>1</v>
      </c>
      <c r="AB17" s="225">
        <v>1</v>
      </c>
      <c r="AC17" s="257">
        <v>1</v>
      </c>
      <c r="AD17" s="177">
        <v>1</v>
      </c>
      <c r="AE17" s="177">
        <v>1</v>
      </c>
      <c r="AF17" s="177">
        <v>1</v>
      </c>
      <c r="AG17" s="530"/>
      <c r="AH17" s="531"/>
      <c r="AI17" s="177">
        <v>1</v>
      </c>
      <c r="AJ17" s="177">
        <v>1</v>
      </c>
      <c r="AK17" s="177">
        <v>1</v>
      </c>
      <c r="AL17" s="357">
        <v>1</v>
      </c>
      <c r="AM17" s="235">
        <v>1</v>
      </c>
      <c r="AN17" s="236">
        <v>1</v>
      </c>
      <c r="AO17" s="236">
        <v>1</v>
      </c>
      <c r="AP17" s="236">
        <v>1</v>
      </c>
      <c r="AQ17" s="236">
        <v>1</v>
      </c>
      <c r="AR17" s="236">
        <v>1</v>
      </c>
      <c r="AS17" s="236">
        <v>1</v>
      </c>
      <c r="AT17" s="236">
        <v>1</v>
      </c>
      <c r="AU17" s="236">
        <v>1</v>
      </c>
      <c r="AV17" s="272">
        <v>1</v>
      </c>
      <c r="AW17" s="362">
        <v>1</v>
      </c>
      <c r="AX17" s="363">
        <v>1</v>
      </c>
      <c r="AY17" s="363">
        <v>1</v>
      </c>
      <c r="AZ17" s="363">
        <v>1</v>
      </c>
      <c r="BA17" s="363">
        <v>1</v>
      </c>
      <c r="BB17" s="363">
        <v>1</v>
      </c>
      <c r="BC17" s="363">
        <v>1</v>
      </c>
      <c r="BD17" s="363">
        <v>1</v>
      </c>
      <c r="BE17" s="363">
        <v>1</v>
      </c>
      <c r="BF17" s="364">
        <v>1</v>
      </c>
      <c r="BG17" s="212">
        <v>1</v>
      </c>
      <c r="BH17" s="206">
        <v>1</v>
      </c>
      <c r="BI17" s="206">
        <v>1</v>
      </c>
      <c r="BJ17" s="206">
        <v>1</v>
      </c>
      <c r="BK17" s="206">
        <v>1</v>
      </c>
      <c r="BL17" s="207">
        <v>1</v>
      </c>
      <c r="BM17" s="207">
        <v>1</v>
      </c>
      <c r="BN17" s="207">
        <v>1</v>
      </c>
      <c r="BO17" s="207">
        <v>1</v>
      </c>
      <c r="BP17" s="215">
        <v>1</v>
      </c>
      <c r="BQ17" s="249">
        <v>1</v>
      </c>
      <c r="BR17" s="227">
        <v>1</v>
      </c>
      <c r="BS17" s="227">
        <v>1</v>
      </c>
      <c r="BT17" s="227">
        <v>1</v>
      </c>
      <c r="BU17" s="227">
        <v>1</v>
      </c>
      <c r="BV17" s="227">
        <v>1</v>
      </c>
      <c r="BW17" s="227">
        <v>1</v>
      </c>
      <c r="BX17" s="227">
        <v>1</v>
      </c>
      <c r="BY17" s="227">
        <v>1</v>
      </c>
      <c r="BZ17" s="247">
        <v>1</v>
      </c>
      <c r="CA17" s="537"/>
      <c r="CB17" s="538"/>
      <c r="CC17" s="538"/>
      <c r="CD17" s="538"/>
      <c r="CE17" s="538"/>
      <c r="CF17" s="538"/>
      <c r="CG17" s="538"/>
      <c r="CH17" s="538"/>
      <c r="CI17" s="538"/>
      <c r="CJ17" s="539"/>
      <c r="CK17" s="240">
        <v>1</v>
      </c>
      <c r="CL17" s="238">
        <v>1</v>
      </c>
      <c r="CM17" s="238">
        <v>1</v>
      </c>
      <c r="CN17" s="238">
        <v>1</v>
      </c>
      <c r="CO17" s="238">
        <v>1</v>
      </c>
      <c r="CP17" s="238">
        <v>1</v>
      </c>
      <c r="CQ17" s="238">
        <v>1</v>
      </c>
      <c r="CR17" s="238">
        <v>1</v>
      </c>
      <c r="CS17" s="238">
        <v>1</v>
      </c>
      <c r="CT17" s="239">
        <v>1</v>
      </c>
      <c r="CU17" s="295">
        <v>1</v>
      </c>
      <c r="CV17" s="296">
        <v>1</v>
      </c>
      <c r="CW17" s="296">
        <v>1</v>
      </c>
      <c r="CX17" s="296">
        <v>1</v>
      </c>
      <c r="CY17" s="296">
        <v>1</v>
      </c>
      <c r="CZ17" s="296">
        <v>1</v>
      </c>
      <c r="DA17" s="296">
        <v>1</v>
      </c>
      <c r="DB17" s="296">
        <v>1</v>
      </c>
      <c r="DC17" s="296">
        <v>1</v>
      </c>
      <c r="DD17" s="297">
        <v>1</v>
      </c>
      <c r="DE17" s="214">
        <v>1</v>
      </c>
      <c r="DF17" s="207">
        <v>1</v>
      </c>
      <c r="DG17" s="207">
        <v>1</v>
      </c>
      <c r="DH17" s="207">
        <v>1</v>
      </c>
      <c r="DI17" s="207">
        <v>1</v>
      </c>
      <c r="DJ17" s="207">
        <v>1</v>
      </c>
      <c r="DK17" s="207">
        <v>1</v>
      </c>
      <c r="DL17" s="207">
        <v>1</v>
      </c>
      <c r="DM17" s="207">
        <v>1</v>
      </c>
      <c r="DN17" s="215">
        <v>1</v>
      </c>
      <c r="DO17" s="226">
        <v>1</v>
      </c>
      <c r="DP17" s="227">
        <v>1</v>
      </c>
      <c r="DQ17" s="227">
        <v>1</v>
      </c>
      <c r="DR17" s="227">
        <v>1</v>
      </c>
      <c r="DS17" s="227">
        <v>1</v>
      </c>
      <c r="DT17" s="227">
        <v>1</v>
      </c>
      <c r="DU17" s="227">
        <v>1</v>
      </c>
      <c r="DV17" s="227">
        <v>1</v>
      </c>
      <c r="DW17" s="227">
        <v>1</v>
      </c>
      <c r="DX17" s="228">
        <v>1</v>
      </c>
      <c r="DY17" s="307">
        <v>1</v>
      </c>
      <c r="DZ17" s="91">
        <v>1</v>
      </c>
      <c r="EA17" s="91">
        <v>1</v>
      </c>
      <c r="EB17" s="91">
        <v>1</v>
      </c>
      <c r="EC17" s="91">
        <v>1</v>
      </c>
      <c r="ED17" s="91">
        <v>1</v>
      </c>
      <c r="EE17" s="91">
        <v>1</v>
      </c>
      <c r="EF17" s="91">
        <v>1</v>
      </c>
      <c r="EG17" s="91">
        <v>1</v>
      </c>
      <c r="EH17" s="91">
        <v>1</v>
      </c>
      <c r="EI17" s="238">
        <v>1</v>
      </c>
      <c r="EJ17" s="238">
        <v>1</v>
      </c>
      <c r="EK17" s="238">
        <v>1</v>
      </c>
      <c r="EL17" s="238">
        <v>1</v>
      </c>
      <c r="EM17" s="238">
        <v>1</v>
      </c>
      <c r="EN17" s="238">
        <v>1</v>
      </c>
      <c r="EO17" s="238">
        <v>1</v>
      </c>
      <c r="EP17" s="238">
        <v>1</v>
      </c>
      <c r="EQ17" s="238">
        <v>1</v>
      </c>
      <c r="ER17" s="238">
        <v>1</v>
      </c>
      <c r="ES17" s="350">
        <f t="shared" si="14"/>
        <v>10</v>
      </c>
      <c r="ET17" s="350">
        <f t="shared" si="2"/>
        <v>10</v>
      </c>
      <c r="EU17" s="350">
        <f t="shared" si="3"/>
        <v>8</v>
      </c>
      <c r="EV17" s="350">
        <f t="shared" si="4"/>
        <v>10</v>
      </c>
      <c r="EW17" s="350">
        <f t="shared" si="15"/>
        <v>10</v>
      </c>
      <c r="EX17" s="350">
        <f t="shared" si="16"/>
        <v>10</v>
      </c>
      <c r="EY17" s="350">
        <f t="shared" si="5"/>
        <v>10</v>
      </c>
      <c r="EZ17" s="350">
        <f t="shared" si="6"/>
        <v>0</v>
      </c>
      <c r="FA17" s="350">
        <f t="shared" si="7"/>
        <v>10</v>
      </c>
      <c r="FB17" s="350">
        <f t="shared" si="8"/>
        <v>10</v>
      </c>
      <c r="FC17" s="350">
        <f t="shared" si="9"/>
        <v>10</v>
      </c>
      <c r="FD17" s="350">
        <f t="shared" si="10"/>
        <v>10</v>
      </c>
      <c r="FE17" s="350">
        <f t="shared" si="11"/>
        <v>10</v>
      </c>
      <c r="FF17" s="350">
        <f t="shared" si="17"/>
        <v>10</v>
      </c>
      <c r="FG17" s="349">
        <f t="shared" si="18"/>
        <v>15</v>
      </c>
      <c r="FH17" s="319">
        <f t="shared" si="12"/>
        <v>128</v>
      </c>
      <c r="FI17" s="319">
        <f>SUM(I7:ER7)-SUM(ES17:FF17)</f>
        <v>0</v>
      </c>
      <c r="FJ17" s="319">
        <f t="shared" si="13"/>
        <v>128</v>
      </c>
      <c r="FK17" s="7"/>
    </row>
    <row r="18" spans="1:167" ht="15" customHeight="1">
      <c r="A18" s="2"/>
      <c r="B18" s="3">
        <f t="shared" si="0"/>
        <v>1</v>
      </c>
      <c r="C18" s="347">
        <f t="shared" si="1"/>
        <v>11</v>
      </c>
      <c r="D18" s="348" t="s">
        <v>67</v>
      </c>
      <c r="E18" s="347"/>
      <c r="F18" s="347"/>
      <c r="G18" s="493">
        <v>45915</v>
      </c>
      <c r="H18" s="494"/>
      <c r="I18" s="212">
        <v>1</v>
      </c>
      <c r="J18" s="206">
        <v>1</v>
      </c>
      <c r="K18" s="206">
        <v>1</v>
      </c>
      <c r="L18" s="206">
        <v>1</v>
      </c>
      <c r="M18" s="206">
        <v>1</v>
      </c>
      <c r="N18" s="206">
        <v>1</v>
      </c>
      <c r="O18" s="206">
        <v>1</v>
      </c>
      <c r="P18" s="206">
        <v>1</v>
      </c>
      <c r="Q18" s="206">
        <v>1</v>
      </c>
      <c r="R18" s="213">
        <v>1</v>
      </c>
      <c r="S18" s="223">
        <v>1</v>
      </c>
      <c r="T18" s="224">
        <v>1</v>
      </c>
      <c r="U18" s="224">
        <v>1</v>
      </c>
      <c r="V18" s="224">
        <v>1</v>
      </c>
      <c r="W18" s="224">
        <v>1</v>
      </c>
      <c r="X18" s="224">
        <v>1</v>
      </c>
      <c r="Y18" s="224">
        <v>1</v>
      </c>
      <c r="Z18" s="224">
        <v>1</v>
      </c>
      <c r="AA18" s="224">
        <v>1</v>
      </c>
      <c r="AB18" s="225">
        <v>1</v>
      </c>
      <c r="AC18" s="257">
        <v>1</v>
      </c>
      <c r="AD18" s="177">
        <v>1</v>
      </c>
      <c r="AE18" s="177">
        <v>1</v>
      </c>
      <c r="AF18" s="177">
        <v>1</v>
      </c>
      <c r="AG18" s="530"/>
      <c r="AH18" s="531"/>
      <c r="AI18" s="177">
        <v>1</v>
      </c>
      <c r="AJ18" s="177">
        <v>1</v>
      </c>
      <c r="AK18" s="177">
        <v>1</v>
      </c>
      <c r="AL18" s="357">
        <v>1</v>
      </c>
      <c r="AM18" s="235">
        <v>1</v>
      </c>
      <c r="AN18" s="236">
        <v>1</v>
      </c>
      <c r="AO18" s="236">
        <v>1</v>
      </c>
      <c r="AP18" s="236">
        <v>1</v>
      </c>
      <c r="AQ18" s="236">
        <v>1</v>
      </c>
      <c r="AR18" s="236">
        <v>1</v>
      </c>
      <c r="AS18" s="236">
        <v>0</v>
      </c>
      <c r="AT18" s="236">
        <v>0</v>
      </c>
      <c r="AU18" s="236">
        <v>0</v>
      </c>
      <c r="AV18" s="272">
        <v>0</v>
      </c>
      <c r="AW18" s="362">
        <v>1</v>
      </c>
      <c r="AX18" s="363">
        <v>1</v>
      </c>
      <c r="AY18" s="363">
        <v>1</v>
      </c>
      <c r="AZ18" s="363">
        <v>1</v>
      </c>
      <c r="BA18" s="363">
        <v>1</v>
      </c>
      <c r="BB18" s="363">
        <v>1</v>
      </c>
      <c r="BC18" s="363">
        <v>1</v>
      </c>
      <c r="BD18" s="363">
        <v>1</v>
      </c>
      <c r="BE18" s="363">
        <v>1</v>
      </c>
      <c r="BF18" s="364">
        <v>1</v>
      </c>
      <c r="BG18" s="212">
        <v>1</v>
      </c>
      <c r="BH18" s="206">
        <v>1</v>
      </c>
      <c r="BI18" s="206">
        <v>1</v>
      </c>
      <c r="BJ18" s="206">
        <v>1</v>
      </c>
      <c r="BK18" s="206">
        <v>1</v>
      </c>
      <c r="BL18" s="206">
        <v>1</v>
      </c>
      <c r="BM18" s="207">
        <v>1</v>
      </c>
      <c r="BN18" s="207">
        <v>1</v>
      </c>
      <c r="BO18" s="207">
        <v>1</v>
      </c>
      <c r="BP18" s="215">
        <v>1</v>
      </c>
      <c r="BQ18" s="249">
        <v>1</v>
      </c>
      <c r="BR18" s="227">
        <v>1</v>
      </c>
      <c r="BS18" s="227">
        <v>1</v>
      </c>
      <c r="BT18" s="227">
        <v>1</v>
      </c>
      <c r="BU18" s="227">
        <v>1</v>
      </c>
      <c r="BV18" s="227">
        <v>1</v>
      </c>
      <c r="BW18" s="227">
        <v>1</v>
      </c>
      <c r="BX18" s="227">
        <v>1</v>
      </c>
      <c r="BY18" s="227">
        <v>1</v>
      </c>
      <c r="BZ18" s="247">
        <v>1</v>
      </c>
      <c r="CA18" s="537"/>
      <c r="CB18" s="538"/>
      <c r="CC18" s="538"/>
      <c r="CD18" s="538"/>
      <c r="CE18" s="538"/>
      <c r="CF18" s="538"/>
      <c r="CG18" s="538"/>
      <c r="CH18" s="538"/>
      <c r="CI18" s="538"/>
      <c r="CJ18" s="539"/>
      <c r="CK18" s="240">
        <v>1</v>
      </c>
      <c r="CL18" s="238">
        <v>1</v>
      </c>
      <c r="CM18" s="238">
        <v>1</v>
      </c>
      <c r="CN18" s="238">
        <v>1</v>
      </c>
      <c r="CO18" s="238">
        <v>1</v>
      </c>
      <c r="CP18" s="238">
        <v>1</v>
      </c>
      <c r="CQ18" s="238">
        <v>1</v>
      </c>
      <c r="CR18" s="238">
        <v>1</v>
      </c>
      <c r="CS18" s="238">
        <v>1</v>
      </c>
      <c r="CT18" s="239">
        <v>1</v>
      </c>
      <c r="CU18" s="295">
        <v>1</v>
      </c>
      <c r="CV18" s="296">
        <v>1</v>
      </c>
      <c r="CW18" s="296">
        <v>1</v>
      </c>
      <c r="CX18" s="296">
        <v>1</v>
      </c>
      <c r="CY18" s="296">
        <v>1</v>
      </c>
      <c r="CZ18" s="296">
        <v>1</v>
      </c>
      <c r="DA18" s="296">
        <v>1</v>
      </c>
      <c r="DB18" s="296">
        <v>1</v>
      </c>
      <c r="DC18" s="296">
        <v>1</v>
      </c>
      <c r="DD18" s="297">
        <v>1</v>
      </c>
      <c r="DE18" s="214">
        <v>1</v>
      </c>
      <c r="DF18" s="207">
        <v>1</v>
      </c>
      <c r="DG18" s="207">
        <v>1</v>
      </c>
      <c r="DH18" s="207">
        <v>1</v>
      </c>
      <c r="DI18" s="207">
        <v>1</v>
      </c>
      <c r="DJ18" s="207">
        <v>1</v>
      </c>
      <c r="DK18" s="207">
        <v>1</v>
      </c>
      <c r="DL18" s="207">
        <v>1</v>
      </c>
      <c r="DM18" s="207">
        <v>1</v>
      </c>
      <c r="DN18" s="215">
        <v>1</v>
      </c>
      <c r="DO18" s="226">
        <v>1</v>
      </c>
      <c r="DP18" s="227">
        <v>1</v>
      </c>
      <c r="DQ18" s="227">
        <v>1</v>
      </c>
      <c r="DR18" s="227">
        <v>1</v>
      </c>
      <c r="DS18" s="227">
        <v>1</v>
      </c>
      <c r="DT18" s="227">
        <v>1</v>
      </c>
      <c r="DU18" s="227">
        <v>1</v>
      </c>
      <c r="DV18" s="227">
        <v>1</v>
      </c>
      <c r="DW18" s="227">
        <v>1</v>
      </c>
      <c r="DX18" s="228">
        <v>1</v>
      </c>
      <c r="DY18" s="307">
        <v>0</v>
      </c>
      <c r="DZ18" s="91">
        <v>0</v>
      </c>
      <c r="EA18" s="91">
        <v>1</v>
      </c>
      <c r="EB18" s="91">
        <v>1</v>
      </c>
      <c r="EC18" s="91">
        <v>0</v>
      </c>
      <c r="ED18" s="91">
        <v>0</v>
      </c>
      <c r="EE18" s="91">
        <v>1</v>
      </c>
      <c r="EF18" s="91">
        <v>1</v>
      </c>
      <c r="EG18" s="91">
        <v>1</v>
      </c>
      <c r="EH18" s="91">
        <v>1</v>
      </c>
      <c r="EI18" s="238">
        <v>0</v>
      </c>
      <c r="EJ18" s="238">
        <v>0</v>
      </c>
      <c r="EK18" s="238">
        <v>0</v>
      </c>
      <c r="EL18" s="238">
        <v>0</v>
      </c>
      <c r="EM18" s="238">
        <v>0</v>
      </c>
      <c r="EN18" s="238">
        <v>0</v>
      </c>
      <c r="EO18" s="238">
        <v>0</v>
      </c>
      <c r="EP18" s="238">
        <v>0</v>
      </c>
      <c r="EQ18" s="238">
        <v>0</v>
      </c>
      <c r="ER18" s="238">
        <v>0</v>
      </c>
      <c r="ES18" s="350">
        <f t="shared" si="14"/>
        <v>2</v>
      </c>
      <c r="ET18" s="350">
        <f t="shared" si="2"/>
        <v>10</v>
      </c>
      <c r="EU18" s="350">
        <f t="shared" si="3"/>
        <v>8</v>
      </c>
      <c r="EV18" s="350">
        <f t="shared" si="4"/>
        <v>6</v>
      </c>
      <c r="EW18" s="350">
        <f t="shared" si="15"/>
        <v>10</v>
      </c>
      <c r="EX18" s="350">
        <f t="shared" si="16"/>
        <v>10</v>
      </c>
      <c r="EY18" s="350">
        <f t="shared" si="5"/>
        <v>10</v>
      </c>
      <c r="EZ18" s="350">
        <f t="shared" si="6"/>
        <v>0</v>
      </c>
      <c r="FA18" s="350">
        <f t="shared" si="7"/>
        <v>10</v>
      </c>
      <c r="FB18" s="350">
        <f t="shared" si="8"/>
        <v>10</v>
      </c>
      <c r="FC18" s="350">
        <f t="shared" si="9"/>
        <v>10</v>
      </c>
      <c r="FD18" s="350">
        <f t="shared" si="10"/>
        <v>10</v>
      </c>
      <c r="FE18" s="350">
        <f t="shared" si="11"/>
        <v>6</v>
      </c>
      <c r="FF18" s="350">
        <f t="shared" si="17"/>
        <v>0</v>
      </c>
      <c r="FG18" s="349">
        <f t="shared" si="18"/>
        <v>16</v>
      </c>
      <c r="FH18" s="319">
        <f t="shared" si="12"/>
        <v>102</v>
      </c>
      <c r="FI18" s="319">
        <f>SUM(I7:ER7)-SUM(ES18:FF18)</f>
        <v>26</v>
      </c>
      <c r="FJ18" s="319">
        <f t="shared" si="13"/>
        <v>128</v>
      </c>
      <c r="FK18" s="7"/>
    </row>
    <row r="19" spans="1:167" ht="15" customHeight="1">
      <c r="A19" s="2"/>
      <c r="B19" s="3">
        <f t="shared" si="0"/>
        <v>1</v>
      </c>
      <c r="C19" s="347">
        <f t="shared" si="1"/>
        <v>12</v>
      </c>
      <c r="D19" s="183" t="s">
        <v>68</v>
      </c>
      <c r="E19" s="347"/>
      <c r="F19" s="347"/>
      <c r="G19" s="493">
        <v>45915</v>
      </c>
      <c r="H19" s="494"/>
      <c r="I19" s="214">
        <v>0</v>
      </c>
      <c r="J19" s="207">
        <v>0</v>
      </c>
      <c r="K19" s="207">
        <v>0</v>
      </c>
      <c r="L19" s="207">
        <v>0</v>
      </c>
      <c r="M19" s="207">
        <v>1</v>
      </c>
      <c r="N19" s="207">
        <v>1</v>
      </c>
      <c r="O19" s="207">
        <v>0</v>
      </c>
      <c r="P19" s="207">
        <v>0</v>
      </c>
      <c r="Q19" s="207">
        <v>0</v>
      </c>
      <c r="R19" s="215" t="s">
        <v>69</v>
      </c>
      <c r="S19" s="226">
        <v>1</v>
      </c>
      <c r="T19" s="227">
        <v>1</v>
      </c>
      <c r="U19" s="227">
        <v>1</v>
      </c>
      <c r="V19" s="227">
        <v>1</v>
      </c>
      <c r="W19" s="227">
        <v>1</v>
      </c>
      <c r="X19" s="227">
        <v>1</v>
      </c>
      <c r="Y19" s="227">
        <v>1</v>
      </c>
      <c r="Z19" s="227">
        <v>1</v>
      </c>
      <c r="AA19" s="227">
        <v>1</v>
      </c>
      <c r="AB19" s="228">
        <v>1</v>
      </c>
      <c r="AC19" s="258">
        <v>1</v>
      </c>
      <c r="AD19" s="178">
        <v>1</v>
      </c>
      <c r="AE19" s="178">
        <v>1</v>
      </c>
      <c r="AF19" s="178">
        <v>1</v>
      </c>
      <c r="AG19" s="530"/>
      <c r="AH19" s="531"/>
      <c r="AI19" s="178">
        <v>1</v>
      </c>
      <c r="AJ19" s="178">
        <v>1</v>
      </c>
      <c r="AK19" s="178">
        <v>0</v>
      </c>
      <c r="AL19" s="202">
        <v>0</v>
      </c>
      <c r="AM19" s="237">
        <v>1</v>
      </c>
      <c r="AN19" s="238">
        <v>1</v>
      </c>
      <c r="AO19" s="238">
        <v>1</v>
      </c>
      <c r="AP19" s="238">
        <v>1</v>
      </c>
      <c r="AQ19" s="238">
        <v>1</v>
      </c>
      <c r="AR19" s="238">
        <v>1</v>
      </c>
      <c r="AS19" s="238">
        <v>1</v>
      </c>
      <c r="AT19" s="238">
        <v>1</v>
      </c>
      <c r="AU19" s="238">
        <v>0</v>
      </c>
      <c r="AV19" s="273">
        <v>0</v>
      </c>
      <c r="AW19" s="295">
        <v>0</v>
      </c>
      <c r="AX19" s="296">
        <v>0</v>
      </c>
      <c r="AY19" s="296">
        <v>1</v>
      </c>
      <c r="AZ19" s="296">
        <v>1</v>
      </c>
      <c r="BA19" s="296">
        <v>1</v>
      </c>
      <c r="BB19" s="296">
        <v>1</v>
      </c>
      <c r="BC19" s="296">
        <v>1</v>
      </c>
      <c r="BD19" s="296">
        <v>1</v>
      </c>
      <c r="BE19" s="296">
        <v>1</v>
      </c>
      <c r="BF19" s="297">
        <v>1</v>
      </c>
      <c r="BG19" s="214">
        <v>1</v>
      </c>
      <c r="BH19" s="207">
        <v>1</v>
      </c>
      <c r="BI19" s="207">
        <v>1</v>
      </c>
      <c r="BJ19" s="207">
        <v>1</v>
      </c>
      <c r="BK19" s="207">
        <v>1</v>
      </c>
      <c r="BL19" s="207">
        <v>1</v>
      </c>
      <c r="BM19" s="207">
        <v>1</v>
      </c>
      <c r="BN19" s="207">
        <v>1</v>
      </c>
      <c r="BO19" s="207">
        <v>1</v>
      </c>
      <c r="BP19" s="215">
        <v>1</v>
      </c>
      <c r="BQ19" s="249">
        <v>1</v>
      </c>
      <c r="BR19" s="227">
        <v>1</v>
      </c>
      <c r="BS19" s="227">
        <v>1</v>
      </c>
      <c r="BT19" s="227">
        <v>1</v>
      </c>
      <c r="BU19" s="227">
        <v>1</v>
      </c>
      <c r="BV19" s="227">
        <v>1</v>
      </c>
      <c r="BW19" s="227">
        <v>1</v>
      </c>
      <c r="BX19" s="227">
        <v>1</v>
      </c>
      <c r="BY19" s="227">
        <v>1</v>
      </c>
      <c r="BZ19" s="247">
        <v>1</v>
      </c>
      <c r="CA19" s="537"/>
      <c r="CB19" s="538"/>
      <c r="CC19" s="538"/>
      <c r="CD19" s="538"/>
      <c r="CE19" s="538"/>
      <c r="CF19" s="538"/>
      <c r="CG19" s="538"/>
      <c r="CH19" s="538"/>
      <c r="CI19" s="538"/>
      <c r="CJ19" s="539"/>
      <c r="CK19" s="240">
        <v>1</v>
      </c>
      <c r="CL19" s="238">
        <v>1</v>
      </c>
      <c r="CM19" s="238">
        <v>1</v>
      </c>
      <c r="CN19" s="238">
        <v>1</v>
      </c>
      <c r="CO19" s="238">
        <v>1</v>
      </c>
      <c r="CP19" s="238">
        <v>1</v>
      </c>
      <c r="CQ19" s="238">
        <v>1</v>
      </c>
      <c r="CR19" s="238">
        <v>1</v>
      </c>
      <c r="CS19" s="238">
        <v>1</v>
      </c>
      <c r="CT19" s="239">
        <v>1</v>
      </c>
      <c r="CU19" s="295">
        <v>1</v>
      </c>
      <c r="CV19" s="296">
        <v>1</v>
      </c>
      <c r="CW19" s="296">
        <v>1</v>
      </c>
      <c r="CX19" s="296">
        <v>1</v>
      </c>
      <c r="CY19" s="296">
        <v>1</v>
      </c>
      <c r="CZ19" s="296">
        <v>1</v>
      </c>
      <c r="DA19" s="296">
        <v>1</v>
      </c>
      <c r="DB19" s="296">
        <v>1</v>
      </c>
      <c r="DC19" s="296">
        <v>1</v>
      </c>
      <c r="DD19" s="297">
        <v>1</v>
      </c>
      <c r="DE19" s="214">
        <v>1</v>
      </c>
      <c r="DF19" s="207">
        <v>1</v>
      </c>
      <c r="DG19" s="207">
        <v>1</v>
      </c>
      <c r="DH19" s="207">
        <v>1</v>
      </c>
      <c r="DI19" s="207">
        <v>1</v>
      </c>
      <c r="DJ19" s="207">
        <v>1</v>
      </c>
      <c r="DK19" s="207">
        <v>1</v>
      </c>
      <c r="DL19" s="207">
        <v>1</v>
      </c>
      <c r="DM19" s="207">
        <v>1</v>
      </c>
      <c r="DN19" s="215">
        <v>1</v>
      </c>
      <c r="DO19" s="226">
        <v>1</v>
      </c>
      <c r="DP19" s="227">
        <v>1</v>
      </c>
      <c r="DQ19" s="227">
        <v>1</v>
      </c>
      <c r="DR19" s="227">
        <v>1</v>
      </c>
      <c r="DS19" s="227">
        <v>1</v>
      </c>
      <c r="DT19" s="227">
        <v>1</v>
      </c>
      <c r="DU19" s="227">
        <v>1</v>
      </c>
      <c r="DV19" s="227">
        <v>1</v>
      </c>
      <c r="DW19" s="227">
        <v>1</v>
      </c>
      <c r="DX19" s="228">
        <v>1</v>
      </c>
      <c r="DY19" s="307">
        <v>1</v>
      </c>
      <c r="DZ19" s="91">
        <v>1</v>
      </c>
      <c r="EA19" s="91">
        <v>1</v>
      </c>
      <c r="EB19" s="91">
        <v>1</v>
      </c>
      <c r="EC19" s="91">
        <v>1</v>
      </c>
      <c r="ED19" s="91">
        <v>1</v>
      </c>
      <c r="EE19" s="91">
        <v>1</v>
      </c>
      <c r="EF19" s="91">
        <v>1</v>
      </c>
      <c r="EG19" s="91">
        <v>1</v>
      </c>
      <c r="EH19" s="91">
        <v>1</v>
      </c>
      <c r="EI19" s="238">
        <v>1</v>
      </c>
      <c r="EJ19" s="238">
        <v>1</v>
      </c>
      <c r="EK19" s="238">
        <v>1</v>
      </c>
      <c r="EL19" s="238">
        <v>1</v>
      </c>
      <c r="EM19" s="238">
        <v>1</v>
      </c>
      <c r="EN19" s="238">
        <v>1</v>
      </c>
      <c r="EO19" s="238">
        <v>1</v>
      </c>
      <c r="EP19" s="238">
        <v>1</v>
      </c>
      <c r="EQ19" s="238">
        <v>1</v>
      </c>
      <c r="ER19" s="238">
        <v>1</v>
      </c>
      <c r="ES19" s="350">
        <f t="shared" si="14"/>
        <v>10</v>
      </c>
      <c r="ET19" s="350">
        <f t="shared" si="2"/>
        <v>10</v>
      </c>
      <c r="EU19" s="350">
        <f t="shared" si="3"/>
        <v>6</v>
      </c>
      <c r="EV19" s="350">
        <f t="shared" si="4"/>
        <v>8</v>
      </c>
      <c r="EW19" s="350">
        <f t="shared" si="15"/>
        <v>10</v>
      </c>
      <c r="EX19" s="350">
        <f t="shared" si="16"/>
        <v>10</v>
      </c>
      <c r="EY19" s="350">
        <f t="shared" si="5"/>
        <v>10</v>
      </c>
      <c r="EZ19" s="350">
        <f t="shared" si="6"/>
        <v>0</v>
      </c>
      <c r="FA19" s="350">
        <f t="shared" si="7"/>
        <v>10</v>
      </c>
      <c r="FB19" s="350">
        <f t="shared" si="8"/>
        <v>10</v>
      </c>
      <c r="FC19" s="350">
        <f t="shared" si="9"/>
        <v>10</v>
      </c>
      <c r="FD19" s="350">
        <f t="shared" si="10"/>
        <v>10</v>
      </c>
      <c r="FE19" s="350">
        <f t="shared" si="11"/>
        <v>10</v>
      </c>
      <c r="FF19" s="350">
        <f t="shared" si="17"/>
        <v>10</v>
      </c>
      <c r="FG19" s="349">
        <f t="shared" si="18"/>
        <v>17</v>
      </c>
      <c r="FH19" s="319">
        <f t="shared" si="12"/>
        <v>124</v>
      </c>
      <c r="FI19" s="319">
        <f>SUM(I7:ER7)-SUM(ES19:FF19)</f>
        <v>4</v>
      </c>
      <c r="FJ19" s="319">
        <f t="shared" si="13"/>
        <v>128</v>
      </c>
      <c r="FK19" s="7"/>
    </row>
    <row r="20" spans="1:167" ht="15" customHeight="1">
      <c r="A20" s="2"/>
      <c r="B20" s="3">
        <f t="shared" si="0"/>
        <v>1</v>
      </c>
      <c r="C20" s="347">
        <f t="shared" si="1"/>
        <v>13</v>
      </c>
      <c r="D20" s="184" t="s">
        <v>70</v>
      </c>
      <c r="E20" s="347"/>
      <c r="F20" s="347"/>
      <c r="G20" s="493">
        <v>45915</v>
      </c>
      <c r="H20" s="494"/>
      <c r="I20" s="214">
        <v>1</v>
      </c>
      <c r="J20" s="207">
        <v>1</v>
      </c>
      <c r="K20" s="207">
        <v>1</v>
      </c>
      <c r="L20" s="207">
        <v>1</v>
      </c>
      <c r="M20" s="207">
        <v>1</v>
      </c>
      <c r="N20" s="207">
        <v>1</v>
      </c>
      <c r="O20" s="207">
        <v>1</v>
      </c>
      <c r="P20" s="207">
        <v>1</v>
      </c>
      <c r="Q20" s="207">
        <v>1</v>
      </c>
      <c r="R20" s="215">
        <v>1</v>
      </c>
      <c r="S20" s="226">
        <v>1</v>
      </c>
      <c r="T20" s="227">
        <v>1</v>
      </c>
      <c r="U20" s="227">
        <v>1</v>
      </c>
      <c r="V20" s="227">
        <v>1</v>
      </c>
      <c r="W20" s="227">
        <v>1</v>
      </c>
      <c r="X20" s="227">
        <v>1</v>
      </c>
      <c r="Y20" s="227">
        <v>1</v>
      </c>
      <c r="Z20" s="227">
        <v>1</v>
      </c>
      <c r="AA20" s="227">
        <v>1</v>
      </c>
      <c r="AB20" s="228">
        <v>1</v>
      </c>
      <c r="AC20" s="258">
        <v>1</v>
      </c>
      <c r="AD20" s="178">
        <v>1</v>
      </c>
      <c r="AE20" s="178">
        <v>1</v>
      </c>
      <c r="AF20" s="178">
        <v>1</v>
      </c>
      <c r="AG20" s="530"/>
      <c r="AH20" s="531"/>
      <c r="AI20" s="178">
        <v>1</v>
      </c>
      <c r="AJ20" s="178">
        <v>1</v>
      </c>
      <c r="AK20" s="178">
        <v>1</v>
      </c>
      <c r="AL20" s="202">
        <v>1</v>
      </c>
      <c r="AM20" s="237">
        <v>1</v>
      </c>
      <c r="AN20" s="238">
        <v>1</v>
      </c>
      <c r="AO20" s="238">
        <v>1</v>
      </c>
      <c r="AP20" s="238">
        <v>1</v>
      </c>
      <c r="AQ20" s="238">
        <v>1</v>
      </c>
      <c r="AR20" s="238">
        <v>1</v>
      </c>
      <c r="AS20" s="238">
        <v>1</v>
      </c>
      <c r="AT20" s="238">
        <v>1</v>
      </c>
      <c r="AU20" s="238">
        <v>1</v>
      </c>
      <c r="AV20" s="273">
        <v>1</v>
      </c>
      <c r="AW20" s="295">
        <v>1</v>
      </c>
      <c r="AX20" s="296">
        <v>1</v>
      </c>
      <c r="AY20" s="296">
        <v>1</v>
      </c>
      <c r="AZ20" s="296">
        <v>1</v>
      </c>
      <c r="BA20" s="296">
        <v>1</v>
      </c>
      <c r="BB20" s="296">
        <v>1</v>
      </c>
      <c r="BC20" s="296">
        <v>0</v>
      </c>
      <c r="BD20" s="296">
        <v>0</v>
      </c>
      <c r="BE20" s="296">
        <v>1</v>
      </c>
      <c r="BF20" s="297">
        <v>1</v>
      </c>
      <c r="BG20" s="214">
        <v>1</v>
      </c>
      <c r="BH20" s="207">
        <v>1</v>
      </c>
      <c r="BI20" s="207">
        <v>1</v>
      </c>
      <c r="BJ20" s="207">
        <v>1</v>
      </c>
      <c r="BK20" s="207">
        <v>1</v>
      </c>
      <c r="BL20" s="207">
        <v>1</v>
      </c>
      <c r="BM20" s="207">
        <v>1</v>
      </c>
      <c r="BN20" s="207">
        <v>1</v>
      </c>
      <c r="BO20" s="207">
        <v>1</v>
      </c>
      <c r="BP20" s="215">
        <v>1</v>
      </c>
      <c r="BQ20" s="249">
        <v>1</v>
      </c>
      <c r="BR20" s="227">
        <v>1</v>
      </c>
      <c r="BS20" s="227">
        <v>1</v>
      </c>
      <c r="BT20" s="227">
        <v>1</v>
      </c>
      <c r="BU20" s="227">
        <v>1</v>
      </c>
      <c r="BV20" s="227">
        <v>1</v>
      </c>
      <c r="BW20" s="227">
        <v>1</v>
      </c>
      <c r="BX20" s="227">
        <v>1</v>
      </c>
      <c r="BY20" s="227">
        <v>1</v>
      </c>
      <c r="BZ20" s="247">
        <v>1</v>
      </c>
      <c r="CA20" s="537"/>
      <c r="CB20" s="538"/>
      <c r="CC20" s="538"/>
      <c r="CD20" s="538"/>
      <c r="CE20" s="538"/>
      <c r="CF20" s="538"/>
      <c r="CG20" s="538"/>
      <c r="CH20" s="538"/>
      <c r="CI20" s="538"/>
      <c r="CJ20" s="539"/>
      <c r="CK20" s="240">
        <v>1</v>
      </c>
      <c r="CL20" s="238">
        <v>1</v>
      </c>
      <c r="CM20" s="238">
        <v>1</v>
      </c>
      <c r="CN20" s="238">
        <v>1</v>
      </c>
      <c r="CO20" s="238">
        <v>1</v>
      </c>
      <c r="CP20" s="238">
        <v>1</v>
      </c>
      <c r="CQ20" s="238">
        <v>1</v>
      </c>
      <c r="CR20" s="238">
        <v>1</v>
      </c>
      <c r="CS20" s="238">
        <v>1</v>
      </c>
      <c r="CT20" s="239">
        <v>1</v>
      </c>
      <c r="CU20" s="295">
        <v>1</v>
      </c>
      <c r="CV20" s="296">
        <v>1</v>
      </c>
      <c r="CW20" s="296">
        <v>1</v>
      </c>
      <c r="CX20" s="296">
        <v>1</v>
      </c>
      <c r="CY20" s="296">
        <v>1</v>
      </c>
      <c r="CZ20" s="296">
        <v>1</v>
      </c>
      <c r="DA20" s="296">
        <v>1</v>
      </c>
      <c r="DB20" s="296">
        <v>1</v>
      </c>
      <c r="DC20" s="296">
        <v>1</v>
      </c>
      <c r="DD20" s="297">
        <v>1</v>
      </c>
      <c r="DE20" s="214">
        <v>1</v>
      </c>
      <c r="DF20" s="207">
        <v>1</v>
      </c>
      <c r="DG20" s="207">
        <v>1</v>
      </c>
      <c r="DH20" s="207">
        <v>1</v>
      </c>
      <c r="DI20" s="207">
        <v>1</v>
      </c>
      <c r="DJ20" s="207">
        <v>1</v>
      </c>
      <c r="DK20" s="207">
        <v>1</v>
      </c>
      <c r="DL20" s="207">
        <v>1</v>
      </c>
      <c r="DM20" s="207">
        <v>1</v>
      </c>
      <c r="DN20" s="215">
        <v>1</v>
      </c>
      <c r="DO20" s="226">
        <v>1</v>
      </c>
      <c r="DP20" s="227">
        <v>1</v>
      </c>
      <c r="DQ20" s="227">
        <v>1</v>
      </c>
      <c r="DR20" s="227">
        <v>1</v>
      </c>
      <c r="DS20" s="227">
        <v>1</v>
      </c>
      <c r="DT20" s="227">
        <v>1</v>
      </c>
      <c r="DU20" s="227">
        <v>1</v>
      </c>
      <c r="DV20" s="227">
        <v>1</v>
      </c>
      <c r="DW20" s="227">
        <v>1</v>
      </c>
      <c r="DX20" s="228">
        <v>1</v>
      </c>
      <c r="DY20" s="307">
        <v>1</v>
      </c>
      <c r="DZ20" s="91">
        <v>1</v>
      </c>
      <c r="EA20" s="91">
        <v>1</v>
      </c>
      <c r="EB20" s="91">
        <v>1</v>
      </c>
      <c r="EC20" s="91">
        <v>1</v>
      </c>
      <c r="ED20" s="91">
        <v>1</v>
      </c>
      <c r="EE20" s="91">
        <v>1</v>
      </c>
      <c r="EF20" s="91">
        <v>1</v>
      </c>
      <c r="EG20" s="91">
        <v>1</v>
      </c>
      <c r="EH20" s="91">
        <v>1</v>
      </c>
      <c r="EI20" s="238">
        <v>1</v>
      </c>
      <c r="EJ20" s="238">
        <v>1</v>
      </c>
      <c r="EK20" s="238">
        <v>1</v>
      </c>
      <c r="EL20" s="238">
        <v>1</v>
      </c>
      <c r="EM20" s="238">
        <v>1</v>
      </c>
      <c r="EN20" s="238">
        <v>1</v>
      </c>
      <c r="EO20" s="238">
        <v>1</v>
      </c>
      <c r="EP20" s="238">
        <v>1</v>
      </c>
      <c r="EQ20" s="238">
        <v>1</v>
      </c>
      <c r="ER20" s="238">
        <v>1</v>
      </c>
      <c r="ES20" s="350">
        <f t="shared" si="14"/>
        <v>6</v>
      </c>
      <c r="ET20" s="350">
        <f t="shared" si="2"/>
        <v>10</v>
      </c>
      <c r="EU20" s="350">
        <f t="shared" si="3"/>
        <v>8</v>
      </c>
      <c r="EV20" s="350">
        <f t="shared" si="4"/>
        <v>10</v>
      </c>
      <c r="EW20" s="350">
        <f t="shared" si="15"/>
        <v>10</v>
      </c>
      <c r="EX20" s="350">
        <f t="shared" si="16"/>
        <v>10</v>
      </c>
      <c r="EY20" s="350">
        <f t="shared" si="5"/>
        <v>10</v>
      </c>
      <c r="EZ20" s="350">
        <f t="shared" si="6"/>
        <v>0</v>
      </c>
      <c r="FA20" s="350">
        <f t="shared" si="7"/>
        <v>10</v>
      </c>
      <c r="FB20" s="350">
        <f t="shared" si="8"/>
        <v>10</v>
      </c>
      <c r="FC20" s="350">
        <f t="shared" si="9"/>
        <v>10</v>
      </c>
      <c r="FD20" s="350">
        <f t="shared" si="10"/>
        <v>10</v>
      </c>
      <c r="FE20" s="350">
        <f t="shared" si="11"/>
        <v>10</v>
      </c>
      <c r="FF20" s="350">
        <f t="shared" si="17"/>
        <v>10</v>
      </c>
      <c r="FG20" s="349">
        <f t="shared" si="18"/>
        <v>18</v>
      </c>
      <c r="FH20" s="319">
        <f t="shared" si="12"/>
        <v>124</v>
      </c>
      <c r="FI20" s="319">
        <f>SUM(I7:ER7)-SUM(ES20:FF20)</f>
        <v>4</v>
      </c>
      <c r="FJ20" s="319">
        <f t="shared" si="13"/>
        <v>128</v>
      </c>
      <c r="FK20" s="7"/>
    </row>
    <row r="21" spans="1:167" ht="15" customHeight="1">
      <c r="A21" s="2"/>
      <c r="B21" s="3">
        <f t="shared" si="0"/>
        <v>1</v>
      </c>
      <c r="C21" s="347">
        <f t="shared" si="1"/>
        <v>14</v>
      </c>
      <c r="D21" s="184" t="s">
        <v>71</v>
      </c>
      <c r="E21" s="347"/>
      <c r="F21" s="347"/>
      <c r="G21" s="493">
        <v>45915</v>
      </c>
      <c r="H21" s="494"/>
      <c r="I21" s="214">
        <v>0</v>
      </c>
      <c r="J21" s="207">
        <v>0</v>
      </c>
      <c r="K21" s="207">
        <v>0</v>
      </c>
      <c r="L21" s="207">
        <v>0</v>
      </c>
      <c r="M21" s="207">
        <v>1</v>
      </c>
      <c r="N21" s="207">
        <v>1</v>
      </c>
      <c r="O21" s="207">
        <v>1</v>
      </c>
      <c r="P21" s="207">
        <v>1</v>
      </c>
      <c r="Q21" s="207">
        <v>1</v>
      </c>
      <c r="R21" s="215">
        <v>1</v>
      </c>
      <c r="S21" s="226">
        <v>1</v>
      </c>
      <c r="T21" s="227">
        <v>1</v>
      </c>
      <c r="U21" s="227">
        <v>1</v>
      </c>
      <c r="V21" s="227">
        <v>1</v>
      </c>
      <c r="W21" s="227">
        <v>1</v>
      </c>
      <c r="X21" s="227">
        <v>1</v>
      </c>
      <c r="Y21" s="227">
        <v>1</v>
      </c>
      <c r="Z21" s="227">
        <v>1</v>
      </c>
      <c r="AA21" s="227">
        <v>1</v>
      </c>
      <c r="AB21" s="228">
        <v>1</v>
      </c>
      <c r="AC21" s="258">
        <v>1</v>
      </c>
      <c r="AD21" s="178">
        <v>1</v>
      </c>
      <c r="AE21" s="178">
        <v>1</v>
      </c>
      <c r="AF21" s="178">
        <v>1</v>
      </c>
      <c r="AG21" s="530"/>
      <c r="AH21" s="531"/>
      <c r="AI21" s="178">
        <v>1</v>
      </c>
      <c r="AJ21" s="178">
        <v>1</v>
      </c>
      <c r="AK21" s="178">
        <v>1</v>
      </c>
      <c r="AL21" s="202">
        <v>1</v>
      </c>
      <c r="AM21" s="237">
        <v>1</v>
      </c>
      <c r="AN21" s="238">
        <v>1</v>
      </c>
      <c r="AO21" s="238">
        <v>1</v>
      </c>
      <c r="AP21" s="238">
        <v>1</v>
      </c>
      <c r="AQ21" s="238">
        <v>1</v>
      </c>
      <c r="AR21" s="238">
        <v>1</v>
      </c>
      <c r="AS21" s="238">
        <v>1</v>
      </c>
      <c r="AT21" s="238">
        <v>1</v>
      </c>
      <c r="AU21" s="238">
        <v>1</v>
      </c>
      <c r="AV21" s="273">
        <v>1</v>
      </c>
      <c r="AW21" s="295">
        <v>1</v>
      </c>
      <c r="AX21" s="296">
        <v>1</v>
      </c>
      <c r="AY21" s="296">
        <v>1</v>
      </c>
      <c r="AZ21" s="296">
        <v>1</v>
      </c>
      <c r="BA21" s="296">
        <v>1</v>
      </c>
      <c r="BB21" s="296">
        <v>1</v>
      </c>
      <c r="BC21" s="296">
        <v>1</v>
      </c>
      <c r="BD21" s="296">
        <v>1</v>
      </c>
      <c r="BE21" s="296">
        <v>1</v>
      </c>
      <c r="BF21" s="297">
        <v>1</v>
      </c>
      <c r="BG21" s="214">
        <v>1</v>
      </c>
      <c r="BH21" s="207">
        <v>1</v>
      </c>
      <c r="BI21" s="207">
        <v>1</v>
      </c>
      <c r="BJ21" s="207">
        <v>1</v>
      </c>
      <c r="BK21" s="207">
        <v>1</v>
      </c>
      <c r="BL21" s="207">
        <v>1</v>
      </c>
      <c r="BM21" s="207">
        <v>1</v>
      </c>
      <c r="BN21" s="207">
        <v>1</v>
      </c>
      <c r="BO21" s="207">
        <v>1</v>
      </c>
      <c r="BP21" s="215">
        <v>1</v>
      </c>
      <c r="BQ21" s="249">
        <v>1</v>
      </c>
      <c r="BR21" s="227">
        <v>1</v>
      </c>
      <c r="BS21" s="227">
        <v>1</v>
      </c>
      <c r="BT21" s="227">
        <v>1</v>
      </c>
      <c r="BU21" s="227">
        <v>1</v>
      </c>
      <c r="BV21" s="227">
        <v>1</v>
      </c>
      <c r="BW21" s="227">
        <v>1</v>
      </c>
      <c r="BX21" s="227">
        <v>1</v>
      </c>
      <c r="BY21" s="227">
        <v>1</v>
      </c>
      <c r="BZ21" s="247">
        <v>1</v>
      </c>
      <c r="CA21" s="537"/>
      <c r="CB21" s="538"/>
      <c r="CC21" s="538"/>
      <c r="CD21" s="538"/>
      <c r="CE21" s="538"/>
      <c r="CF21" s="538"/>
      <c r="CG21" s="538"/>
      <c r="CH21" s="538"/>
      <c r="CI21" s="538"/>
      <c r="CJ21" s="539"/>
      <c r="CK21" s="240">
        <v>1</v>
      </c>
      <c r="CL21" s="238">
        <v>1</v>
      </c>
      <c r="CM21" s="238">
        <v>1</v>
      </c>
      <c r="CN21" s="238">
        <v>1</v>
      </c>
      <c r="CO21" s="238">
        <v>1</v>
      </c>
      <c r="CP21" s="238">
        <v>1</v>
      </c>
      <c r="CQ21" s="238">
        <v>1</v>
      </c>
      <c r="CR21" s="238">
        <v>1</v>
      </c>
      <c r="CS21" s="238">
        <v>1</v>
      </c>
      <c r="CT21" s="239">
        <v>1</v>
      </c>
      <c r="CU21" s="295">
        <v>1</v>
      </c>
      <c r="CV21" s="296">
        <v>1</v>
      </c>
      <c r="CW21" s="296">
        <v>1</v>
      </c>
      <c r="CX21" s="296">
        <v>1</v>
      </c>
      <c r="CY21" s="296">
        <v>1</v>
      </c>
      <c r="CZ21" s="296">
        <v>1</v>
      </c>
      <c r="DA21" s="296">
        <v>1</v>
      </c>
      <c r="DB21" s="296">
        <v>1</v>
      </c>
      <c r="DC21" s="296">
        <v>1</v>
      </c>
      <c r="DD21" s="297">
        <v>1</v>
      </c>
      <c r="DE21" s="214">
        <v>1</v>
      </c>
      <c r="DF21" s="207">
        <v>1</v>
      </c>
      <c r="DG21" s="207">
        <v>1</v>
      </c>
      <c r="DH21" s="207">
        <v>1</v>
      </c>
      <c r="DI21" s="207">
        <v>1</v>
      </c>
      <c r="DJ21" s="207">
        <v>1</v>
      </c>
      <c r="DK21" s="207">
        <v>1</v>
      </c>
      <c r="DL21" s="207">
        <v>1</v>
      </c>
      <c r="DM21" s="207">
        <v>1</v>
      </c>
      <c r="DN21" s="215">
        <v>1</v>
      </c>
      <c r="DO21" s="226">
        <v>1</v>
      </c>
      <c r="DP21" s="227">
        <v>1</v>
      </c>
      <c r="DQ21" s="227">
        <v>1</v>
      </c>
      <c r="DR21" s="227">
        <v>1</v>
      </c>
      <c r="DS21" s="227">
        <v>1</v>
      </c>
      <c r="DT21" s="227">
        <v>1</v>
      </c>
      <c r="DU21" s="227">
        <v>1</v>
      </c>
      <c r="DV21" s="227">
        <v>1</v>
      </c>
      <c r="DW21" s="227">
        <v>1</v>
      </c>
      <c r="DX21" s="228">
        <v>1</v>
      </c>
      <c r="DY21" s="307">
        <v>1</v>
      </c>
      <c r="DZ21" s="91">
        <v>1</v>
      </c>
      <c r="EA21" s="91">
        <v>1</v>
      </c>
      <c r="EB21" s="91">
        <v>1</v>
      </c>
      <c r="EC21" s="91">
        <v>1</v>
      </c>
      <c r="ED21" s="91">
        <v>1</v>
      </c>
      <c r="EE21" s="91">
        <v>1</v>
      </c>
      <c r="EF21" s="91">
        <v>1</v>
      </c>
      <c r="EG21" s="91">
        <v>1</v>
      </c>
      <c r="EH21" s="91">
        <v>1</v>
      </c>
      <c r="EI21" s="238">
        <v>1</v>
      </c>
      <c r="EJ21" s="238">
        <v>1</v>
      </c>
      <c r="EK21" s="238">
        <v>1</v>
      </c>
      <c r="EL21" s="238">
        <v>1</v>
      </c>
      <c r="EM21" s="238">
        <v>1</v>
      </c>
      <c r="EN21" s="238">
        <v>1</v>
      </c>
      <c r="EO21" s="238">
        <v>1</v>
      </c>
      <c r="EP21" s="238">
        <v>1</v>
      </c>
      <c r="EQ21" s="238">
        <v>1</v>
      </c>
      <c r="ER21" s="238">
        <v>1</v>
      </c>
      <c r="ES21" s="350">
        <f t="shared" si="14"/>
        <v>8</v>
      </c>
      <c r="ET21" s="350">
        <v>10</v>
      </c>
      <c r="EU21" s="350">
        <f t="shared" si="3"/>
        <v>8</v>
      </c>
      <c r="EV21" s="350">
        <f t="shared" si="4"/>
        <v>10</v>
      </c>
      <c r="EW21" s="350">
        <f t="shared" si="15"/>
        <v>10</v>
      </c>
      <c r="EX21" s="350">
        <f t="shared" si="16"/>
        <v>10</v>
      </c>
      <c r="EY21" s="350">
        <f t="shared" si="5"/>
        <v>10</v>
      </c>
      <c r="EZ21" s="350">
        <f t="shared" si="6"/>
        <v>0</v>
      </c>
      <c r="FA21" s="350">
        <f t="shared" si="7"/>
        <v>10</v>
      </c>
      <c r="FB21" s="350">
        <f t="shared" si="8"/>
        <v>10</v>
      </c>
      <c r="FC21" s="350">
        <f t="shared" si="9"/>
        <v>10</v>
      </c>
      <c r="FD21" s="350">
        <f t="shared" si="10"/>
        <v>10</v>
      </c>
      <c r="FE21" s="350">
        <f t="shared" si="11"/>
        <v>10</v>
      </c>
      <c r="FF21" s="350">
        <f t="shared" si="17"/>
        <v>10</v>
      </c>
      <c r="FG21" s="349">
        <f t="shared" si="18"/>
        <v>19</v>
      </c>
      <c r="FH21" s="319">
        <f t="shared" si="12"/>
        <v>126</v>
      </c>
      <c r="FI21" s="319">
        <f>SUM(I7:ER7)-SUM(ES21:FF21)</f>
        <v>2</v>
      </c>
      <c r="FJ21" s="319">
        <f t="shared" si="13"/>
        <v>128</v>
      </c>
      <c r="FK21" s="7"/>
    </row>
    <row r="22" spans="1:167" ht="15" customHeight="1">
      <c r="A22" s="2"/>
      <c r="B22" s="3">
        <f t="shared" si="0"/>
        <v>1</v>
      </c>
      <c r="C22" s="347">
        <f t="shared" si="1"/>
        <v>15</v>
      </c>
      <c r="D22" s="184" t="s">
        <v>72</v>
      </c>
      <c r="E22" s="347"/>
      <c r="F22" s="347"/>
      <c r="G22" s="493">
        <v>45915</v>
      </c>
      <c r="H22" s="494"/>
      <c r="I22" s="214">
        <v>0</v>
      </c>
      <c r="J22" s="207">
        <v>0</v>
      </c>
      <c r="K22" s="207">
        <v>1</v>
      </c>
      <c r="L22" s="207">
        <v>1</v>
      </c>
      <c r="M22" s="207">
        <v>1</v>
      </c>
      <c r="N22" s="207">
        <v>1</v>
      </c>
      <c r="O22" s="207">
        <v>1</v>
      </c>
      <c r="P22" s="207">
        <v>1</v>
      </c>
      <c r="Q22" s="207">
        <v>1</v>
      </c>
      <c r="R22" s="215">
        <v>1</v>
      </c>
      <c r="S22" s="226">
        <v>1</v>
      </c>
      <c r="T22" s="227">
        <v>1</v>
      </c>
      <c r="U22" s="227">
        <v>1</v>
      </c>
      <c r="V22" s="227">
        <v>1</v>
      </c>
      <c r="W22" s="227">
        <v>1</v>
      </c>
      <c r="X22" s="227">
        <v>1</v>
      </c>
      <c r="Y22" s="227">
        <v>1</v>
      </c>
      <c r="Z22" s="227">
        <v>1</v>
      </c>
      <c r="AA22" s="227">
        <v>1</v>
      </c>
      <c r="AB22" s="228">
        <v>1</v>
      </c>
      <c r="AC22" s="258">
        <v>1</v>
      </c>
      <c r="AD22" s="178">
        <v>1</v>
      </c>
      <c r="AE22" s="178">
        <v>1</v>
      </c>
      <c r="AF22" s="178">
        <v>1</v>
      </c>
      <c r="AG22" s="530"/>
      <c r="AH22" s="531"/>
      <c r="AI22" s="178">
        <v>1</v>
      </c>
      <c r="AJ22" s="178">
        <v>1</v>
      </c>
      <c r="AK22" s="178">
        <v>1</v>
      </c>
      <c r="AL22" s="202">
        <v>1</v>
      </c>
      <c r="AM22" s="237">
        <v>1</v>
      </c>
      <c r="AN22" s="238">
        <v>1</v>
      </c>
      <c r="AO22" s="238">
        <v>1</v>
      </c>
      <c r="AP22" s="238">
        <v>1</v>
      </c>
      <c r="AQ22" s="238">
        <v>1</v>
      </c>
      <c r="AR22" s="238">
        <v>1</v>
      </c>
      <c r="AS22" s="238">
        <v>1</v>
      </c>
      <c r="AT22" s="238">
        <v>1</v>
      </c>
      <c r="AU22" s="238">
        <v>1</v>
      </c>
      <c r="AV22" s="273">
        <v>1</v>
      </c>
      <c r="AW22" s="295">
        <v>1</v>
      </c>
      <c r="AX22" s="296">
        <v>1</v>
      </c>
      <c r="AY22" s="296">
        <v>1</v>
      </c>
      <c r="AZ22" s="296">
        <v>1</v>
      </c>
      <c r="BA22" s="296">
        <v>1</v>
      </c>
      <c r="BB22" s="296">
        <v>1</v>
      </c>
      <c r="BC22" s="296">
        <v>1</v>
      </c>
      <c r="BD22" s="296">
        <v>1</v>
      </c>
      <c r="BE22" s="296">
        <v>1</v>
      </c>
      <c r="BF22" s="297">
        <v>1</v>
      </c>
      <c r="BG22" s="214">
        <v>1</v>
      </c>
      <c r="BH22" s="207">
        <v>1</v>
      </c>
      <c r="BI22" s="207">
        <v>1</v>
      </c>
      <c r="BJ22" s="207">
        <v>1</v>
      </c>
      <c r="BK22" s="207">
        <v>1</v>
      </c>
      <c r="BL22" s="207">
        <v>1</v>
      </c>
      <c r="BM22" s="207">
        <v>1</v>
      </c>
      <c r="BN22" s="207">
        <v>1</v>
      </c>
      <c r="BO22" s="207">
        <v>1</v>
      </c>
      <c r="BP22" s="215">
        <v>1</v>
      </c>
      <c r="BQ22" s="249">
        <v>1</v>
      </c>
      <c r="BR22" s="227">
        <v>1</v>
      </c>
      <c r="BS22" s="227">
        <v>1</v>
      </c>
      <c r="BT22" s="227">
        <v>1</v>
      </c>
      <c r="BU22" s="227">
        <v>1</v>
      </c>
      <c r="BV22" s="227">
        <v>1</v>
      </c>
      <c r="BW22" s="227">
        <v>1</v>
      </c>
      <c r="BX22" s="227">
        <v>1</v>
      </c>
      <c r="BY22" s="227">
        <v>1</v>
      </c>
      <c r="BZ22" s="247">
        <v>1</v>
      </c>
      <c r="CA22" s="537"/>
      <c r="CB22" s="538"/>
      <c r="CC22" s="538"/>
      <c r="CD22" s="538"/>
      <c r="CE22" s="538"/>
      <c r="CF22" s="538"/>
      <c r="CG22" s="538"/>
      <c r="CH22" s="538"/>
      <c r="CI22" s="538"/>
      <c r="CJ22" s="539"/>
      <c r="CK22" s="240">
        <v>1</v>
      </c>
      <c r="CL22" s="238">
        <v>1</v>
      </c>
      <c r="CM22" s="238">
        <v>1</v>
      </c>
      <c r="CN22" s="238">
        <v>1</v>
      </c>
      <c r="CO22" s="238">
        <v>1</v>
      </c>
      <c r="CP22" s="238">
        <v>1</v>
      </c>
      <c r="CQ22" s="238">
        <v>1</v>
      </c>
      <c r="CR22" s="238">
        <v>1</v>
      </c>
      <c r="CS22" s="238">
        <v>1</v>
      </c>
      <c r="CT22" s="239">
        <v>1</v>
      </c>
      <c r="CU22" s="295">
        <v>1</v>
      </c>
      <c r="CV22" s="296">
        <v>1</v>
      </c>
      <c r="CW22" s="296">
        <v>1</v>
      </c>
      <c r="CX22" s="296">
        <v>1</v>
      </c>
      <c r="CY22" s="296">
        <v>1</v>
      </c>
      <c r="CZ22" s="296">
        <v>1</v>
      </c>
      <c r="DA22" s="296">
        <v>1</v>
      </c>
      <c r="DB22" s="296">
        <v>1</v>
      </c>
      <c r="DC22" s="296">
        <v>1</v>
      </c>
      <c r="DD22" s="297">
        <v>1</v>
      </c>
      <c r="DE22" s="214">
        <v>1</v>
      </c>
      <c r="DF22" s="207">
        <v>1</v>
      </c>
      <c r="DG22" s="207">
        <v>1</v>
      </c>
      <c r="DH22" s="207">
        <v>1</v>
      </c>
      <c r="DI22" s="207">
        <v>1</v>
      </c>
      <c r="DJ22" s="207">
        <v>1</v>
      </c>
      <c r="DK22" s="207">
        <v>1</v>
      </c>
      <c r="DL22" s="207">
        <v>1</v>
      </c>
      <c r="DM22" s="207">
        <v>1</v>
      </c>
      <c r="DN22" s="215">
        <v>1</v>
      </c>
      <c r="DO22" s="226">
        <v>1</v>
      </c>
      <c r="DP22" s="227">
        <v>1</v>
      </c>
      <c r="DQ22" s="227">
        <v>1</v>
      </c>
      <c r="DR22" s="227">
        <v>1</v>
      </c>
      <c r="DS22" s="227">
        <v>1</v>
      </c>
      <c r="DT22" s="227">
        <v>1</v>
      </c>
      <c r="DU22" s="227">
        <v>1</v>
      </c>
      <c r="DV22" s="227">
        <v>1</v>
      </c>
      <c r="DW22" s="227">
        <v>1</v>
      </c>
      <c r="DX22" s="228">
        <v>1</v>
      </c>
      <c r="DY22" s="307">
        <v>1</v>
      </c>
      <c r="DZ22" s="91">
        <v>1</v>
      </c>
      <c r="EA22" s="91">
        <v>1</v>
      </c>
      <c r="EB22" s="91">
        <v>1</v>
      </c>
      <c r="EC22" s="91">
        <v>1</v>
      </c>
      <c r="ED22" s="91">
        <v>1</v>
      </c>
      <c r="EE22" s="91">
        <v>1</v>
      </c>
      <c r="EF22" s="91">
        <v>1</v>
      </c>
      <c r="EG22" s="91">
        <v>1</v>
      </c>
      <c r="EH22" s="91">
        <v>1</v>
      </c>
      <c r="EI22" s="238">
        <v>1</v>
      </c>
      <c r="EJ22" s="238">
        <v>1</v>
      </c>
      <c r="EK22" s="238">
        <v>1</v>
      </c>
      <c r="EL22" s="238">
        <v>1</v>
      </c>
      <c r="EM22" s="238">
        <v>1</v>
      </c>
      <c r="EN22" s="238">
        <v>1</v>
      </c>
      <c r="EO22" s="238">
        <v>1</v>
      </c>
      <c r="EP22" s="238">
        <v>1</v>
      </c>
      <c r="EQ22" s="238">
        <v>1</v>
      </c>
      <c r="ER22" s="238">
        <v>1</v>
      </c>
      <c r="ES22" s="350">
        <f t="shared" si="14"/>
        <v>0</v>
      </c>
      <c r="ET22" s="350">
        <f t="shared" si="2"/>
        <v>10</v>
      </c>
      <c r="EU22" s="350">
        <f t="shared" si="3"/>
        <v>8</v>
      </c>
      <c r="EV22" s="350">
        <f t="shared" si="4"/>
        <v>10</v>
      </c>
      <c r="EW22" s="350">
        <f t="shared" si="15"/>
        <v>10</v>
      </c>
      <c r="EX22" s="350">
        <f t="shared" si="16"/>
        <v>10</v>
      </c>
      <c r="EY22" s="350">
        <f t="shared" si="5"/>
        <v>10</v>
      </c>
      <c r="EZ22" s="350">
        <f t="shared" si="6"/>
        <v>0</v>
      </c>
      <c r="FA22" s="350">
        <f t="shared" si="7"/>
        <v>10</v>
      </c>
      <c r="FB22" s="350">
        <f t="shared" si="8"/>
        <v>10</v>
      </c>
      <c r="FC22" s="350">
        <f t="shared" si="9"/>
        <v>10</v>
      </c>
      <c r="FD22" s="350">
        <f t="shared" si="10"/>
        <v>10</v>
      </c>
      <c r="FE22" s="350">
        <f t="shared" si="11"/>
        <v>10</v>
      </c>
      <c r="FF22" s="350">
        <f t="shared" si="17"/>
        <v>10</v>
      </c>
      <c r="FG22" s="349">
        <f t="shared" si="18"/>
        <v>20</v>
      </c>
      <c r="FH22" s="319">
        <f t="shared" si="12"/>
        <v>118</v>
      </c>
      <c r="FI22" s="319">
        <f>SUM(I7:ER7)-SUM(ES22:FF22)</f>
        <v>10</v>
      </c>
      <c r="FJ22" s="319">
        <f t="shared" si="13"/>
        <v>128</v>
      </c>
      <c r="FK22" s="7"/>
    </row>
    <row r="23" spans="1:167" ht="15" customHeight="1">
      <c r="A23" s="2"/>
      <c r="B23" s="3">
        <f t="shared" si="0"/>
        <v>1</v>
      </c>
      <c r="C23" s="347">
        <f t="shared" si="1"/>
        <v>16</v>
      </c>
      <c r="D23" s="184" t="s">
        <v>73</v>
      </c>
      <c r="E23" s="347"/>
      <c r="F23" s="347"/>
      <c r="G23" s="493">
        <v>45915</v>
      </c>
      <c r="H23" s="494"/>
      <c r="I23" s="214">
        <v>0</v>
      </c>
      <c r="J23" s="207">
        <v>0</v>
      </c>
      <c r="K23" s="207">
        <v>0</v>
      </c>
      <c r="L23" s="207">
        <v>0</v>
      </c>
      <c r="M23" s="207">
        <v>0</v>
      </c>
      <c r="N23" s="207">
        <v>0</v>
      </c>
      <c r="O23" s="207">
        <v>0</v>
      </c>
      <c r="P23" s="207">
        <v>0</v>
      </c>
      <c r="Q23" s="207">
        <v>0</v>
      </c>
      <c r="R23" s="215">
        <v>0</v>
      </c>
      <c r="S23" s="226">
        <v>1</v>
      </c>
      <c r="T23" s="227">
        <v>1</v>
      </c>
      <c r="U23" s="227">
        <v>1</v>
      </c>
      <c r="V23" s="227">
        <v>1</v>
      </c>
      <c r="W23" s="227">
        <v>1</v>
      </c>
      <c r="X23" s="227">
        <v>1</v>
      </c>
      <c r="Y23" s="227">
        <v>1</v>
      </c>
      <c r="Z23" s="227">
        <v>1</v>
      </c>
      <c r="AA23" s="227">
        <v>1</v>
      </c>
      <c r="AB23" s="228">
        <v>1</v>
      </c>
      <c r="AC23" s="258">
        <v>1</v>
      </c>
      <c r="AD23" s="178">
        <v>1</v>
      </c>
      <c r="AE23" s="178">
        <v>1</v>
      </c>
      <c r="AF23" s="178">
        <v>1</v>
      </c>
      <c r="AG23" s="530"/>
      <c r="AH23" s="531"/>
      <c r="AI23" s="178">
        <v>1</v>
      </c>
      <c r="AJ23" s="178">
        <v>1</v>
      </c>
      <c r="AK23" s="178">
        <v>1</v>
      </c>
      <c r="AL23" s="202">
        <v>1</v>
      </c>
      <c r="AM23" s="237">
        <v>1</v>
      </c>
      <c r="AN23" s="238">
        <v>1</v>
      </c>
      <c r="AO23" s="238">
        <v>0</v>
      </c>
      <c r="AP23" s="238">
        <v>0</v>
      </c>
      <c r="AQ23" s="238">
        <v>1</v>
      </c>
      <c r="AR23" s="238">
        <v>1</v>
      </c>
      <c r="AS23" s="238">
        <v>1</v>
      </c>
      <c r="AT23" s="238">
        <v>1</v>
      </c>
      <c r="AU23" s="238">
        <v>0</v>
      </c>
      <c r="AV23" s="273">
        <v>0</v>
      </c>
      <c r="AW23" s="295">
        <v>0</v>
      </c>
      <c r="AX23" s="296">
        <v>0</v>
      </c>
      <c r="AY23" s="296">
        <v>0</v>
      </c>
      <c r="AZ23" s="296">
        <v>0</v>
      </c>
      <c r="BA23" s="296">
        <v>1</v>
      </c>
      <c r="BB23" s="296">
        <v>1</v>
      </c>
      <c r="BC23" s="296">
        <v>1</v>
      </c>
      <c r="BD23" s="296">
        <v>1</v>
      </c>
      <c r="BE23" s="296">
        <v>1</v>
      </c>
      <c r="BF23" s="297">
        <v>1</v>
      </c>
      <c r="BG23" s="214">
        <v>1</v>
      </c>
      <c r="BH23" s="207">
        <v>1</v>
      </c>
      <c r="BI23" s="207">
        <v>1</v>
      </c>
      <c r="BJ23" s="207">
        <v>1</v>
      </c>
      <c r="BK23" s="207">
        <v>1</v>
      </c>
      <c r="BL23" s="207">
        <v>1</v>
      </c>
      <c r="BM23" s="207">
        <v>1</v>
      </c>
      <c r="BN23" s="207">
        <v>1</v>
      </c>
      <c r="BO23" s="207">
        <v>1</v>
      </c>
      <c r="BP23" s="215">
        <v>1</v>
      </c>
      <c r="BQ23" s="249">
        <v>1</v>
      </c>
      <c r="BR23" s="227">
        <v>1</v>
      </c>
      <c r="BS23" s="227">
        <v>1</v>
      </c>
      <c r="BT23" s="227">
        <v>1</v>
      </c>
      <c r="BU23" s="227">
        <v>1</v>
      </c>
      <c r="BV23" s="227">
        <v>1</v>
      </c>
      <c r="BW23" s="227">
        <v>1</v>
      </c>
      <c r="BX23" s="227">
        <v>1</v>
      </c>
      <c r="BY23" s="227">
        <v>1</v>
      </c>
      <c r="BZ23" s="247">
        <v>1</v>
      </c>
      <c r="CA23" s="537"/>
      <c r="CB23" s="538"/>
      <c r="CC23" s="538"/>
      <c r="CD23" s="538"/>
      <c r="CE23" s="538"/>
      <c r="CF23" s="538"/>
      <c r="CG23" s="538"/>
      <c r="CH23" s="538"/>
      <c r="CI23" s="538"/>
      <c r="CJ23" s="539"/>
      <c r="CK23" s="240">
        <v>1</v>
      </c>
      <c r="CL23" s="238">
        <v>1</v>
      </c>
      <c r="CM23" s="238">
        <v>1</v>
      </c>
      <c r="CN23" s="238">
        <v>1</v>
      </c>
      <c r="CO23" s="238">
        <v>1</v>
      </c>
      <c r="CP23" s="238">
        <v>1</v>
      </c>
      <c r="CQ23" s="238">
        <v>1</v>
      </c>
      <c r="CR23" s="238">
        <v>1</v>
      </c>
      <c r="CS23" s="238">
        <v>1</v>
      </c>
      <c r="CT23" s="239">
        <v>1</v>
      </c>
      <c r="CU23" s="295">
        <v>1</v>
      </c>
      <c r="CV23" s="296">
        <v>1</v>
      </c>
      <c r="CW23" s="296">
        <v>1</v>
      </c>
      <c r="CX23" s="296">
        <v>1</v>
      </c>
      <c r="CY23" s="296">
        <v>1</v>
      </c>
      <c r="CZ23" s="296">
        <v>1</v>
      </c>
      <c r="DA23" s="296">
        <v>1</v>
      </c>
      <c r="DB23" s="296">
        <v>1</v>
      </c>
      <c r="DC23" s="296">
        <v>1</v>
      </c>
      <c r="DD23" s="297">
        <v>1</v>
      </c>
      <c r="DE23" s="214">
        <v>1</v>
      </c>
      <c r="DF23" s="207">
        <v>1</v>
      </c>
      <c r="DG23" s="207">
        <v>1</v>
      </c>
      <c r="DH23" s="207">
        <v>1</v>
      </c>
      <c r="DI23" s="207">
        <v>0</v>
      </c>
      <c r="DJ23" s="207">
        <v>0</v>
      </c>
      <c r="DK23" s="207">
        <v>0</v>
      </c>
      <c r="DL23" s="207">
        <v>0</v>
      </c>
      <c r="DM23" s="207">
        <v>0</v>
      </c>
      <c r="DN23" s="215">
        <v>0</v>
      </c>
      <c r="DO23" s="226">
        <v>1</v>
      </c>
      <c r="DP23" s="227">
        <v>1</v>
      </c>
      <c r="DQ23" s="227">
        <v>0</v>
      </c>
      <c r="DR23" s="227">
        <v>0</v>
      </c>
      <c r="DS23" s="227">
        <v>0</v>
      </c>
      <c r="DT23" s="227">
        <v>0</v>
      </c>
      <c r="DU23" s="227">
        <v>1</v>
      </c>
      <c r="DV23" s="227">
        <v>1</v>
      </c>
      <c r="DW23" s="227">
        <v>1</v>
      </c>
      <c r="DX23" s="228">
        <v>1</v>
      </c>
      <c r="DY23" s="307">
        <v>1</v>
      </c>
      <c r="DZ23" s="91">
        <v>1</v>
      </c>
      <c r="EA23" s="91">
        <v>1</v>
      </c>
      <c r="EB23" s="91">
        <v>1</v>
      </c>
      <c r="EC23" s="91">
        <v>1</v>
      </c>
      <c r="ED23" s="91">
        <v>1</v>
      </c>
      <c r="EE23" s="91">
        <v>1</v>
      </c>
      <c r="EF23" s="91">
        <v>1</v>
      </c>
      <c r="EG23" s="91">
        <v>1</v>
      </c>
      <c r="EH23" s="91">
        <v>1</v>
      </c>
      <c r="EI23" s="238">
        <v>1</v>
      </c>
      <c r="EJ23" s="238">
        <v>1</v>
      </c>
      <c r="EK23" s="238">
        <v>1</v>
      </c>
      <c r="EL23" s="238">
        <v>1</v>
      </c>
      <c r="EM23" s="238">
        <v>1</v>
      </c>
      <c r="EN23" s="238">
        <v>1</v>
      </c>
      <c r="EO23" s="238">
        <v>1</v>
      </c>
      <c r="EP23" s="238">
        <v>1</v>
      </c>
      <c r="EQ23" s="238">
        <v>1</v>
      </c>
      <c r="ER23" s="238">
        <v>1</v>
      </c>
      <c r="ES23" s="350">
        <f t="shared" si="14"/>
        <v>6</v>
      </c>
      <c r="ET23" s="350">
        <f t="shared" si="2"/>
        <v>10</v>
      </c>
      <c r="EU23" s="350">
        <f t="shared" si="3"/>
        <v>8</v>
      </c>
      <c r="EV23" s="350">
        <f t="shared" si="4"/>
        <v>6</v>
      </c>
      <c r="EW23" s="350">
        <f t="shared" si="15"/>
        <v>10</v>
      </c>
      <c r="EX23" s="350">
        <f t="shared" si="16"/>
        <v>10</v>
      </c>
      <c r="EY23" s="350">
        <f t="shared" si="5"/>
        <v>10</v>
      </c>
      <c r="EZ23" s="350">
        <f t="shared" si="6"/>
        <v>0</v>
      </c>
      <c r="FA23" s="350">
        <f t="shared" si="7"/>
        <v>10</v>
      </c>
      <c r="FB23" s="350">
        <f t="shared" si="8"/>
        <v>10</v>
      </c>
      <c r="FC23" s="350">
        <f t="shared" si="9"/>
        <v>4</v>
      </c>
      <c r="FD23" s="350">
        <f t="shared" si="10"/>
        <v>6</v>
      </c>
      <c r="FE23" s="350">
        <f t="shared" si="11"/>
        <v>10</v>
      </c>
      <c r="FF23" s="350">
        <f t="shared" si="17"/>
        <v>10</v>
      </c>
      <c r="FG23" s="349">
        <f t="shared" si="18"/>
        <v>21</v>
      </c>
      <c r="FH23" s="319">
        <f t="shared" si="12"/>
        <v>110</v>
      </c>
      <c r="FI23" s="319">
        <f>SUM(I7:ER7)-SUM(ES23:FF23)</f>
        <v>18</v>
      </c>
      <c r="FJ23" s="319">
        <f t="shared" si="13"/>
        <v>128</v>
      </c>
      <c r="FK23" s="7"/>
    </row>
    <row r="24" spans="1:167" ht="15" customHeight="1">
      <c r="A24" s="2"/>
      <c r="B24" s="3">
        <f t="shared" si="0"/>
        <v>1</v>
      </c>
      <c r="C24" s="347">
        <f t="shared" si="1"/>
        <v>17</v>
      </c>
      <c r="D24" s="184" t="s">
        <v>74</v>
      </c>
      <c r="E24" s="347"/>
      <c r="F24" s="347"/>
      <c r="G24" s="493">
        <v>45915</v>
      </c>
      <c r="H24" s="494"/>
      <c r="I24" s="214">
        <v>0</v>
      </c>
      <c r="J24" s="207">
        <v>0</v>
      </c>
      <c r="K24" s="207">
        <v>0</v>
      </c>
      <c r="L24" s="207">
        <v>0</v>
      </c>
      <c r="M24" s="207">
        <v>1</v>
      </c>
      <c r="N24" s="207">
        <v>1</v>
      </c>
      <c r="O24" s="207">
        <v>1</v>
      </c>
      <c r="P24" s="207">
        <v>1</v>
      </c>
      <c r="Q24" s="207">
        <v>1</v>
      </c>
      <c r="R24" s="215">
        <v>1</v>
      </c>
      <c r="S24" s="226">
        <v>1</v>
      </c>
      <c r="T24" s="227">
        <v>1</v>
      </c>
      <c r="U24" s="227">
        <v>1</v>
      </c>
      <c r="V24" s="227">
        <v>1</v>
      </c>
      <c r="W24" s="227">
        <v>1</v>
      </c>
      <c r="X24" s="227">
        <v>1</v>
      </c>
      <c r="Y24" s="227">
        <v>1</v>
      </c>
      <c r="Z24" s="227">
        <v>1</v>
      </c>
      <c r="AA24" s="227">
        <v>1</v>
      </c>
      <c r="AB24" s="228">
        <v>1</v>
      </c>
      <c r="AC24" s="258">
        <v>1</v>
      </c>
      <c r="AD24" s="178">
        <v>1</v>
      </c>
      <c r="AE24" s="178">
        <v>1</v>
      </c>
      <c r="AF24" s="178">
        <v>1</v>
      </c>
      <c r="AG24" s="530"/>
      <c r="AH24" s="531"/>
      <c r="AI24" s="178">
        <v>1</v>
      </c>
      <c r="AJ24" s="178">
        <v>1</v>
      </c>
      <c r="AK24" s="178">
        <v>1</v>
      </c>
      <c r="AL24" s="202">
        <v>1</v>
      </c>
      <c r="AM24" s="237">
        <v>1</v>
      </c>
      <c r="AN24" s="238">
        <v>1</v>
      </c>
      <c r="AO24" s="238">
        <v>1</v>
      </c>
      <c r="AP24" s="238">
        <v>1</v>
      </c>
      <c r="AQ24" s="238">
        <v>1</v>
      </c>
      <c r="AR24" s="238">
        <v>1</v>
      </c>
      <c r="AS24" s="238">
        <v>1</v>
      </c>
      <c r="AT24" s="238">
        <v>1</v>
      </c>
      <c r="AU24" s="238">
        <v>1</v>
      </c>
      <c r="AV24" s="273">
        <v>1</v>
      </c>
      <c r="AW24" s="295">
        <v>1</v>
      </c>
      <c r="AX24" s="296">
        <v>1</v>
      </c>
      <c r="AY24" s="296">
        <v>1</v>
      </c>
      <c r="AZ24" s="296">
        <v>1</v>
      </c>
      <c r="BA24" s="296">
        <v>1</v>
      </c>
      <c r="BB24" s="296">
        <v>1</v>
      </c>
      <c r="BC24" s="296">
        <v>1</v>
      </c>
      <c r="BD24" s="296">
        <v>1</v>
      </c>
      <c r="BE24" s="296">
        <v>1</v>
      </c>
      <c r="BF24" s="297">
        <v>1</v>
      </c>
      <c r="BG24" s="214">
        <v>1</v>
      </c>
      <c r="BH24" s="207">
        <v>1</v>
      </c>
      <c r="BI24" s="207">
        <v>1</v>
      </c>
      <c r="BJ24" s="207">
        <v>1</v>
      </c>
      <c r="BK24" s="207">
        <v>1</v>
      </c>
      <c r="BL24" s="207">
        <v>1</v>
      </c>
      <c r="BM24" s="207">
        <v>1</v>
      </c>
      <c r="BN24" s="207">
        <v>1</v>
      </c>
      <c r="BO24" s="207">
        <v>1</v>
      </c>
      <c r="BP24" s="215">
        <v>1</v>
      </c>
      <c r="BQ24" s="249">
        <v>1</v>
      </c>
      <c r="BR24" s="227">
        <v>1</v>
      </c>
      <c r="BS24" s="227">
        <v>1</v>
      </c>
      <c r="BT24" s="227">
        <v>1</v>
      </c>
      <c r="BU24" s="227">
        <v>1</v>
      </c>
      <c r="BV24" s="227">
        <v>1</v>
      </c>
      <c r="BW24" s="227">
        <v>1</v>
      </c>
      <c r="BX24" s="227">
        <v>1</v>
      </c>
      <c r="BY24" s="227">
        <v>1</v>
      </c>
      <c r="BZ24" s="247">
        <v>1</v>
      </c>
      <c r="CA24" s="537"/>
      <c r="CB24" s="538"/>
      <c r="CC24" s="538"/>
      <c r="CD24" s="538"/>
      <c r="CE24" s="538"/>
      <c r="CF24" s="538"/>
      <c r="CG24" s="538"/>
      <c r="CH24" s="538"/>
      <c r="CI24" s="538"/>
      <c r="CJ24" s="539"/>
      <c r="CK24" s="240">
        <v>1</v>
      </c>
      <c r="CL24" s="238">
        <v>1</v>
      </c>
      <c r="CM24" s="238">
        <v>1</v>
      </c>
      <c r="CN24" s="238">
        <v>1</v>
      </c>
      <c r="CO24" s="238">
        <v>1</v>
      </c>
      <c r="CP24" s="238">
        <v>1</v>
      </c>
      <c r="CQ24" s="238">
        <v>1</v>
      </c>
      <c r="CR24" s="238">
        <v>1</v>
      </c>
      <c r="CS24" s="238">
        <v>1</v>
      </c>
      <c r="CT24" s="239">
        <v>1</v>
      </c>
      <c r="CU24" s="295">
        <v>0</v>
      </c>
      <c r="CV24" s="296">
        <v>0</v>
      </c>
      <c r="CW24" s="296">
        <v>0</v>
      </c>
      <c r="CX24" s="296">
        <v>0</v>
      </c>
      <c r="CY24" s="296">
        <v>0</v>
      </c>
      <c r="CZ24" s="296">
        <v>0</v>
      </c>
      <c r="DA24" s="296">
        <v>1</v>
      </c>
      <c r="DB24" s="296">
        <v>1</v>
      </c>
      <c r="DC24" s="296">
        <v>1</v>
      </c>
      <c r="DD24" s="297">
        <v>1</v>
      </c>
      <c r="DE24" s="214">
        <v>1</v>
      </c>
      <c r="DF24" s="207">
        <v>1</v>
      </c>
      <c r="DG24" s="207">
        <v>1</v>
      </c>
      <c r="DH24" s="207">
        <v>1</v>
      </c>
      <c r="DI24" s="207">
        <v>1</v>
      </c>
      <c r="DJ24" s="207">
        <v>1</v>
      </c>
      <c r="DK24" s="207">
        <v>1</v>
      </c>
      <c r="DL24" s="207">
        <v>1</v>
      </c>
      <c r="DM24" s="207">
        <v>1</v>
      </c>
      <c r="DN24" s="215">
        <v>1</v>
      </c>
      <c r="DO24" s="226">
        <v>1</v>
      </c>
      <c r="DP24" s="227">
        <v>1</v>
      </c>
      <c r="DQ24" s="227">
        <v>1</v>
      </c>
      <c r="DR24" s="227">
        <v>1</v>
      </c>
      <c r="DS24" s="227">
        <v>1</v>
      </c>
      <c r="DT24" s="227">
        <v>1</v>
      </c>
      <c r="DU24" s="227">
        <v>1</v>
      </c>
      <c r="DV24" s="227">
        <v>1</v>
      </c>
      <c r="DW24" s="227">
        <v>1</v>
      </c>
      <c r="DX24" s="228">
        <v>1</v>
      </c>
      <c r="DY24" s="307">
        <v>1</v>
      </c>
      <c r="DZ24" s="91">
        <v>1</v>
      </c>
      <c r="EA24" s="91">
        <v>1</v>
      </c>
      <c r="EB24" s="91">
        <v>1</v>
      </c>
      <c r="EC24" s="91">
        <v>1</v>
      </c>
      <c r="ED24" s="91">
        <v>1</v>
      </c>
      <c r="EE24" s="91">
        <v>1</v>
      </c>
      <c r="EF24" s="91">
        <v>1</v>
      </c>
      <c r="EG24" s="91">
        <v>1</v>
      </c>
      <c r="EH24" s="91">
        <v>1</v>
      </c>
      <c r="EI24" s="238">
        <v>1</v>
      </c>
      <c r="EJ24" s="238">
        <v>1</v>
      </c>
      <c r="EK24" s="238">
        <v>1</v>
      </c>
      <c r="EL24" s="238">
        <v>1</v>
      </c>
      <c r="EM24" s="238">
        <v>1</v>
      </c>
      <c r="EN24" s="238">
        <v>1</v>
      </c>
      <c r="EO24" s="238">
        <v>1</v>
      </c>
      <c r="EP24" s="238">
        <v>1</v>
      </c>
      <c r="EQ24" s="238">
        <v>1</v>
      </c>
      <c r="ER24" s="238">
        <v>1</v>
      </c>
      <c r="ES24" s="350">
        <f t="shared" si="14"/>
        <v>8</v>
      </c>
      <c r="ET24" s="350">
        <f t="shared" si="2"/>
        <v>10</v>
      </c>
      <c r="EU24" s="350">
        <f t="shared" si="3"/>
        <v>8</v>
      </c>
      <c r="EV24" s="350">
        <f t="shared" si="4"/>
        <v>10</v>
      </c>
      <c r="EW24" s="350">
        <f t="shared" si="15"/>
        <v>10</v>
      </c>
      <c r="EX24" s="350">
        <f t="shared" si="16"/>
        <v>10</v>
      </c>
      <c r="EY24" s="350">
        <f t="shared" si="5"/>
        <v>10</v>
      </c>
      <c r="EZ24" s="350">
        <f t="shared" si="6"/>
        <v>0</v>
      </c>
      <c r="FA24" s="350">
        <f t="shared" si="7"/>
        <v>10</v>
      </c>
      <c r="FB24" s="350">
        <f t="shared" si="8"/>
        <v>4</v>
      </c>
      <c r="FC24" s="350">
        <f t="shared" si="9"/>
        <v>10</v>
      </c>
      <c r="FD24" s="350">
        <f t="shared" si="10"/>
        <v>10</v>
      </c>
      <c r="FE24" s="350">
        <f t="shared" si="11"/>
        <v>10</v>
      </c>
      <c r="FF24" s="350">
        <f t="shared" si="17"/>
        <v>10</v>
      </c>
      <c r="FG24" s="349">
        <f t="shared" si="18"/>
        <v>22</v>
      </c>
      <c r="FH24" s="319">
        <f t="shared" si="12"/>
        <v>120</v>
      </c>
      <c r="FI24" s="319">
        <f>SUM(I7:ER7)-SUM(ES24:FF24)</f>
        <v>8</v>
      </c>
      <c r="FJ24" s="319">
        <f t="shared" si="13"/>
        <v>128</v>
      </c>
      <c r="FK24" s="7"/>
    </row>
    <row r="25" spans="1:167" ht="15" customHeight="1">
      <c r="A25" s="2"/>
      <c r="B25" s="3">
        <f t="shared" si="0"/>
        <v>1</v>
      </c>
      <c r="C25" s="347">
        <v>18</v>
      </c>
      <c r="D25" s="348" t="s">
        <v>75</v>
      </c>
      <c r="E25" s="347"/>
      <c r="F25" s="347"/>
      <c r="G25" s="493">
        <v>45915</v>
      </c>
      <c r="H25" s="494"/>
      <c r="I25" s="214">
        <v>0</v>
      </c>
      <c r="J25" s="207">
        <v>0</v>
      </c>
      <c r="K25" s="207">
        <v>1</v>
      </c>
      <c r="L25" s="207">
        <v>1</v>
      </c>
      <c r="M25" s="207">
        <v>1</v>
      </c>
      <c r="N25" s="207">
        <v>1</v>
      </c>
      <c r="O25" s="207">
        <v>1</v>
      </c>
      <c r="P25" s="207">
        <v>1</v>
      </c>
      <c r="Q25" s="207">
        <v>1</v>
      </c>
      <c r="R25" s="215">
        <v>1</v>
      </c>
      <c r="S25" s="226">
        <v>1</v>
      </c>
      <c r="T25" s="227">
        <v>1</v>
      </c>
      <c r="U25" s="227">
        <v>0</v>
      </c>
      <c r="V25" s="227">
        <v>0</v>
      </c>
      <c r="W25" s="227">
        <v>1</v>
      </c>
      <c r="X25" s="227">
        <v>1</v>
      </c>
      <c r="Y25" s="227">
        <v>1</v>
      </c>
      <c r="Z25" s="227">
        <v>1</v>
      </c>
      <c r="AA25" s="227">
        <v>1</v>
      </c>
      <c r="AB25" s="228">
        <v>1</v>
      </c>
      <c r="AC25" s="258">
        <v>1</v>
      </c>
      <c r="AD25" s="178">
        <v>1</v>
      </c>
      <c r="AE25" s="178">
        <v>1</v>
      </c>
      <c r="AF25" s="178">
        <v>1</v>
      </c>
      <c r="AG25" s="530"/>
      <c r="AH25" s="531"/>
      <c r="AI25" s="178">
        <v>1</v>
      </c>
      <c r="AJ25" s="178">
        <v>1</v>
      </c>
      <c r="AK25" s="178">
        <v>1</v>
      </c>
      <c r="AL25" s="202">
        <v>1</v>
      </c>
      <c r="AM25" s="237">
        <v>1</v>
      </c>
      <c r="AN25" s="238">
        <v>1</v>
      </c>
      <c r="AO25" s="238">
        <v>1</v>
      </c>
      <c r="AP25" s="238">
        <v>1</v>
      </c>
      <c r="AQ25" s="238">
        <v>1</v>
      </c>
      <c r="AR25" s="238">
        <v>1</v>
      </c>
      <c r="AS25" s="238">
        <v>1</v>
      </c>
      <c r="AT25" s="238">
        <v>1</v>
      </c>
      <c r="AU25" s="238">
        <v>1</v>
      </c>
      <c r="AV25" s="273">
        <v>1</v>
      </c>
      <c r="AW25" s="295">
        <v>1</v>
      </c>
      <c r="AX25" s="296">
        <v>1</v>
      </c>
      <c r="AY25" s="296">
        <v>1</v>
      </c>
      <c r="AZ25" s="296">
        <v>1</v>
      </c>
      <c r="BA25" s="296">
        <v>1</v>
      </c>
      <c r="BB25" s="296">
        <v>1</v>
      </c>
      <c r="BC25" s="296">
        <v>1</v>
      </c>
      <c r="BD25" s="296">
        <v>1</v>
      </c>
      <c r="BE25" s="296">
        <v>1</v>
      </c>
      <c r="BF25" s="297">
        <v>1</v>
      </c>
      <c r="BG25" s="214">
        <v>1</v>
      </c>
      <c r="BH25" s="207">
        <v>1</v>
      </c>
      <c r="BI25" s="207">
        <v>1</v>
      </c>
      <c r="BJ25" s="207">
        <v>1</v>
      </c>
      <c r="BK25" s="207">
        <v>1</v>
      </c>
      <c r="BL25" s="207">
        <v>1</v>
      </c>
      <c r="BM25" s="207">
        <v>1</v>
      </c>
      <c r="BN25" s="207">
        <v>1</v>
      </c>
      <c r="BO25" s="207">
        <v>1</v>
      </c>
      <c r="BP25" s="215">
        <v>1</v>
      </c>
      <c r="BQ25" s="249">
        <v>1</v>
      </c>
      <c r="BR25" s="227">
        <v>1</v>
      </c>
      <c r="BS25" s="227">
        <v>1</v>
      </c>
      <c r="BT25" s="227">
        <v>1</v>
      </c>
      <c r="BU25" s="227">
        <v>1</v>
      </c>
      <c r="BV25" s="227">
        <v>1</v>
      </c>
      <c r="BW25" s="227">
        <v>1</v>
      </c>
      <c r="BX25" s="227">
        <v>1</v>
      </c>
      <c r="BY25" s="227">
        <v>1</v>
      </c>
      <c r="BZ25" s="247">
        <v>1</v>
      </c>
      <c r="CA25" s="537"/>
      <c r="CB25" s="538"/>
      <c r="CC25" s="538"/>
      <c r="CD25" s="538"/>
      <c r="CE25" s="538"/>
      <c r="CF25" s="538"/>
      <c r="CG25" s="538"/>
      <c r="CH25" s="538"/>
      <c r="CI25" s="538"/>
      <c r="CJ25" s="539"/>
      <c r="CK25" s="240">
        <v>1</v>
      </c>
      <c r="CL25" s="238">
        <v>1</v>
      </c>
      <c r="CM25" s="238">
        <v>1</v>
      </c>
      <c r="CN25" s="238">
        <v>1</v>
      </c>
      <c r="CO25" s="238">
        <v>1</v>
      </c>
      <c r="CP25" s="238">
        <v>1</v>
      </c>
      <c r="CQ25" s="238">
        <v>1</v>
      </c>
      <c r="CR25" s="238">
        <v>1</v>
      </c>
      <c r="CS25" s="238">
        <v>1</v>
      </c>
      <c r="CT25" s="239">
        <v>1</v>
      </c>
      <c r="CU25" s="295">
        <v>0</v>
      </c>
      <c r="CV25" s="296">
        <v>0</v>
      </c>
      <c r="CW25" s="296">
        <v>0</v>
      </c>
      <c r="CX25" s="296">
        <v>0</v>
      </c>
      <c r="CY25" s="296">
        <v>0</v>
      </c>
      <c r="CZ25" s="296">
        <v>0</v>
      </c>
      <c r="DA25" s="296">
        <v>1</v>
      </c>
      <c r="DB25" s="296">
        <v>1</v>
      </c>
      <c r="DC25" s="296">
        <v>1</v>
      </c>
      <c r="DD25" s="297">
        <v>1</v>
      </c>
      <c r="DE25" s="214">
        <v>1</v>
      </c>
      <c r="DF25" s="207">
        <v>1</v>
      </c>
      <c r="DG25" s="207">
        <v>1</v>
      </c>
      <c r="DH25" s="207">
        <v>1</v>
      </c>
      <c r="DI25" s="207">
        <v>1</v>
      </c>
      <c r="DJ25" s="207">
        <v>1</v>
      </c>
      <c r="DK25" s="207">
        <v>1</v>
      </c>
      <c r="DL25" s="207">
        <v>1</v>
      </c>
      <c r="DM25" s="207">
        <v>1</v>
      </c>
      <c r="DN25" s="215">
        <v>1</v>
      </c>
      <c r="DO25" s="226">
        <v>1</v>
      </c>
      <c r="DP25" s="227">
        <v>1</v>
      </c>
      <c r="DQ25" s="227">
        <v>1</v>
      </c>
      <c r="DR25" s="227">
        <v>1</v>
      </c>
      <c r="DS25" s="227">
        <v>1</v>
      </c>
      <c r="DT25" s="227">
        <v>1</v>
      </c>
      <c r="DU25" s="227">
        <v>1</v>
      </c>
      <c r="DV25" s="227">
        <v>1</v>
      </c>
      <c r="DW25" s="227">
        <v>1</v>
      </c>
      <c r="DX25" s="228">
        <v>1</v>
      </c>
      <c r="DY25" s="307">
        <v>1</v>
      </c>
      <c r="DZ25" s="91">
        <v>1</v>
      </c>
      <c r="EA25" s="91">
        <v>1</v>
      </c>
      <c r="EB25" s="91">
        <v>1</v>
      </c>
      <c r="EC25" s="91">
        <v>1</v>
      </c>
      <c r="ED25" s="91">
        <v>1</v>
      </c>
      <c r="EE25" s="91">
        <v>1</v>
      </c>
      <c r="EF25" s="91">
        <v>1</v>
      </c>
      <c r="EG25" s="91">
        <v>1</v>
      </c>
      <c r="EH25" s="91">
        <v>1</v>
      </c>
      <c r="EI25" s="238">
        <v>1</v>
      </c>
      <c r="EJ25" s="238">
        <v>1</v>
      </c>
      <c r="EK25" s="238">
        <v>1</v>
      </c>
      <c r="EL25" s="238">
        <v>1</v>
      </c>
      <c r="EM25" s="238">
        <v>1</v>
      </c>
      <c r="EN25" s="238">
        <v>1</v>
      </c>
      <c r="EO25" s="238">
        <v>1</v>
      </c>
      <c r="EP25" s="238">
        <v>1</v>
      </c>
      <c r="EQ25" s="238">
        <v>1</v>
      </c>
      <c r="ER25" s="238">
        <v>1</v>
      </c>
      <c r="ES25" s="350">
        <f t="shared" si="14"/>
        <v>0</v>
      </c>
      <c r="ET25" s="350">
        <f t="shared" si="2"/>
        <v>8</v>
      </c>
      <c r="EU25" s="350">
        <f t="shared" si="3"/>
        <v>8</v>
      </c>
      <c r="EV25" s="350">
        <f t="shared" si="4"/>
        <v>10</v>
      </c>
      <c r="EW25" s="350">
        <f t="shared" si="15"/>
        <v>10</v>
      </c>
      <c r="EX25" s="350">
        <f t="shared" si="16"/>
        <v>10</v>
      </c>
      <c r="EY25" s="350">
        <f t="shared" si="5"/>
        <v>10</v>
      </c>
      <c r="EZ25" s="350">
        <f t="shared" si="6"/>
        <v>0</v>
      </c>
      <c r="FA25" s="350">
        <f t="shared" si="7"/>
        <v>10</v>
      </c>
      <c r="FB25" s="350">
        <f t="shared" si="8"/>
        <v>4</v>
      </c>
      <c r="FC25" s="350">
        <f t="shared" si="9"/>
        <v>10</v>
      </c>
      <c r="FD25" s="350">
        <f t="shared" si="10"/>
        <v>10</v>
      </c>
      <c r="FE25" s="350">
        <f t="shared" si="11"/>
        <v>10</v>
      </c>
      <c r="FF25" s="350">
        <f t="shared" si="17"/>
        <v>10</v>
      </c>
      <c r="FG25" s="349">
        <f t="shared" si="18"/>
        <v>23</v>
      </c>
      <c r="FH25" s="319">
        <f t="shared" si="12"/>
        <v>110</v>
      </c>
      <c r="FI25" s="319">
        <f>SUM(I7:ER7)-SUM(ES25:FF25)</f>
        <v>18</v>
      </c>
      <c r="FJ25" s="319">
        <f t="shared" si="13"/>
        <v>128</v>
      </c>
      <c r="FK25" s="7"/>
    </row>
    <row r="26" spans="1:167" ht="15" customHeight="1">
      <c r="A26" s="2"/>
      <c r="B26" s="3">
        <f t="shared" si="0"/>
        <v>1</v>
      </c>
      <c r="C26" s="347">
        <v>19</v>
      </c>
      <c r="D26" s="184" t="s">
        <v>76</v>
      </c>
      <c r="E26" s="347"/>
      <c r="F26" s="347"/>
      <c r="G26" s="493">
        <v>45915</v>
      </c>
      <c r="H26" s="494"/>
      <c r="I26" s="214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15">
        <v>0</v>
      </c>
      <c r="S26" s="226">
        <v>0</v>
      </c>
      <c r="T26" s="227">
        <v>0</v>
      </c>
      <c r="U26" s="227">
        <v>0</v>
      </c>
      <c r="V26" s="227">
        <v>0</v>
      </c>
      <c r="W26" s="227">
        <v>1</v>
      </c>
      <c r="X26" s="227">
        <v>1</v>
      </c>
      <c r="Y26" s="227">
        <v>1</v>
      </c>
      <c r="Z26" s="227">
        <v>1</v>
      </c>
      <c r="AA26" s="227">
        <v>1</v>
      </c>
      <c r="AB26" s="228">
        <v>1</v>
      </c>
      <c r="AC26" s="258">
        <v>1</v>
      </c>
      <c r="AD26" s="178">
        <v>1</v>
      </c>
      <c r="AE26" s="178">
        <v>1</v>
      </c>
      <c r="AF26" s="178">
        <v>1</v>
      </c>
      <c r="AG26" s="530"/>
      <c r="AH26" s="531"/>
      <c r="AI26" s="178">
        <v>0</v>
      </c>
      <c r="AJ26" s="178">
        <v>0</v>
      </c>
      <c r="AK26" s="178">
        <v>0</v>
      </c>
      <c r="AL26" s="202">
        <v>0</v>
      </c>
      <c r="AM26" s="237">
        <v>0</v>
      </c>
      <c r="AN26" s="238">
        <v>0</v>
      </c>
      <c r="AO26" s="238">
        <v>0</v>
      </c>
      <c r="AP26" s="238">
        <v>0</v>
      </c>
      <c r="AQ26" s="238">
        <v>0</v>
      </c>
      <c r="AR26" s="238">
        <v>0</v>
      </c>
      <c r="AS26" s="238">
        <v>0</v>
      </c>
      <c r="AT26" s="238">
        <v>0</v>
      </c>
      <c r="AU26" s="238">
        <v>1</v>
      </c>
      <c r="AV26" s="273">
        <v>1</v>
      </c>
      <c r="AW26" s="295">
        <v>0</v>
      </c>
      <c r="AX26" s="296">
        <v>0</v>
      </c>
      <c r="AY26" s="296">
        <v>0</v>
      </c>
      <c r="AZ26" s="296">
        <v>0</v>
      </c>
      <c r="BA26" s="296">
        <v>0</v>
      </c>
      <c r="BB26" s="296">
        <v>0</v>
      </c>
      <c r="BC26" s="296">
        <v>0</v>
      </c>
      <c r="BD26" s="296">
        <v>0</v>
      </c>
      <c r="BE26" s="296">
        <v>0</v>
      </c>
      <c r="BF26" s="297">
        <v>0</v>
      </c>
      <c r="BG26" s="214">
        <v>0</v>
      </c>
      <c r="BH26" s="207">
        <v>0</v>
      </c>
      <c r="BI26" s="207">
        <v>0</v>
      </c>
      <c r="BJ26" s="207">
        <v>0</v>
      </c>
      <c r="BK26" s="207">
        <v>0</v>
      </c>
      <c r="BL26" s="207">
        <v>0</v>
      </c>
      <c r="BM26" s="207">
        <v>0</v>
      </c>
      <c r="BN26" s="207">
        <v>0</v>
      </c>
      <c r="BO26" s="207">
        <v>0</v>
      </c>
      <c r="BP26" s="215">
        <v>0</v>
      </c>
      <c r="BQ26" s="249">
        <v>0</v>
      </c>
      <c r="BR26" s="227">
        <v>0</v>
      </c>
      <c r="BS26" s="227">
        <v>0</v>
      </c>
      <c r="BT26" s="227">
        <v>0</v>
      </c>
      <c r="BU26" s="227">
        <v>0</v>
      </c>
      <c r="BV26" s="227">
        <v>0</v>
      </c>
      <c r="BW26" s="227">
        <v>0</v>
      </c>
      <c r="BX26" s="227">
        <v>0</v>
      </c>
      <c r="BY26" s="227">
        <v>0</v>
      </c>
      <c r="BZ26" s="247">
        <v>0</v>
      </c>
      <c r="CA26" s="537"/>
      <c r="CB26" s="538"/>
      <c r="CC26" s="538"/>
      <c r="CD26" s="538"/>
      <c r="CE26" s="538"/>
      <c r="CF26" s="538"/>
      <c r="CG26" s="538"/>
      <c r="CH26" s="538"/>
      <c r="CI26" s="538"/>
      <c r="CJ26" s="539"/>
      <c r="CK26" s="240">
        <v>0</v>
      </c>
      <c r="CL26" s="238">
        <v>0</v>
      </c>
      <c r="CM26" s="238">
        <v>0</v>
      </c>
      <c r="CN26" s="238">
        <v>0</v>
      </c>
      <c r="CO26" s="238">
        <v>0</v>
      </c>
      <c r="CP26" s="238">
        <v>0</v>
      </c>
      <c r="CQ26" s="238">
        <v>0</v>
      </c>
      <c r="CR26" s="238">
        <v>0</v>
      </c>
      <c r="CS26" s="238">
        <v>0</v>
      </c>
      <c r="CT26" s="239">
        <v>0</v>
      </c>
      <c r="CU26" s="295">
        <v>0</v>
      </c>
      <c r="CV26" s="296">
        <v>0</v>
      </c>
      <c r="CW26" s="296">
        <v>0</v>
      </c>
      <c r="CX26" s="296">
        <v>0</v>
      </c>
      <c r="CY26" s="296">
        <v>0</v>
      </c>
      <c r="CZ26" s="296">
        <v>0</v>
      </c>
      <c r="DA26" s="296">
        <v>0</v>
      </c>
      <c r="DB26" s="296">
        <v>0</v>
      </c>
      <c r="DC26" s="296">
        <v>0</v>
      </c>
      <c r="DD26" s="297">
        <v>0</v>
      </c>
      <c r="DE26" s="214">
        <v>0</v>
      </c>
      <c r="DF26" s="207">
        <v>0</v>
      </c>
      <c r="DG26" s="207">
        <v>0</v>
      </c>
      <c r="DH26" s="207">
        <v>0</v>
      </c>
      <c r="DI26" s="207">
        <v>0</v>
      </c>
      <c r="DJ26" s="207">
        <v>0</v>
      </c>
      <c r="DK26" s="207">
        <v>0</v>
      </c>
      <c r="DL26" s="207">
        <v>0</v>
      </c>
      <c r="DM26" s="207">
        <v>0</v>
      </c>
      <c r="DN26" s="215">
        <v>0</v>
      </c>
      <c r="DO26" s="226">
        <v>0</v>
      </c>
      <c r="DP26" s="227">
        <v>0</v>
      </c>
      <c r="DQ26" s="227">
        <v>0</v>
      </c>
      <c r="DR26" s="227">
        <v>0</v>
      </c>
      <c r="DS26" s="227">
        <v>0</v>
      </c>
      <c r="DT26" s="227">
        <v>0</v>
      </c>
      <c r="DU26" s="227">
        <v>0</v>
      </c>
      <c r="DV26" s="227">
        <v>0</v>
      </c>
      <c r="DW26" s="227">
        <v>0</v>
      </c>
      <c r="DX26" s="228">
        <v>0</v>
      </c>
      <c r="DY26" s="307">
        <v>0</v>
      </c>
      <c r="DZ26" s="91">
        <v>0</v>
      </c>
      <c r="EA26" s="91">
        <v>0</v>
      </c>
      <c r="EB26" s="91">
        <v>0</v>
      </c>
      <c r="EC26" s="91">
        <v>0</v>
      </c>
      <c r="ED26" s="91">
        <v>0</v>
      </c>
      <c r="EE26" s="91">
        <v>0</v>
      </c>
      <c r="EF26" s="91">
        <v>0</v>
      </c>
      <c r="EG26" s="91">
        <v>0</v>
      </c>
      <c r="EH26" s="91">
        <v>0</v>
      </c>
      <c r="EI26" s="238">
        <v>0</v>
      </c>
      <c r="EJ26" s="238">
        <v>0</v>
      </c>
      <c r="EK26" s="238">
        <v>0</v>
      </c>
      <c r="EL26" s="238">
        <v>0</v>
      </c>
      <c r="EM26" s="238">
        <v>0</v>
      </c>
      <c r="EN26" s="238">
        <v>0</v>
      </c>
      <c r="EO26" s="238">
        <v>0</v>
      </c>
      <c r="EP26" s="238">
        <v>0</v>
      </c>
      <c r="EQ26" s="238">
        <v>0</v>
      </c>
      <c r="ER26" s="238">
        <v>0</v>
      </c>
      <c r="ES26" s="350">
        <f t="shared" si="14"/>
        <v>10</v>
      </c>
      <c r="ET26" s="350">
        <f t="shared" si="2"/>
        <v>6</v>
      </c>
      <c r="EU26" s="350">
        <f t="shared" si="3"/>
        <v>4</v>
      </c>
      <c r="EV26" s="350">
        <f t="shared" si="4"/>
        <v>2</v>
      </c>
      <c r="EW26" s="350">
        <f t="shared" si="15"/>
        <v>0</v>
      </c>
      <c r="EX26" s="350">
        <f t="shared" si="16"/>
        <v>0</v>
      </c>
      <c r="EY26" s="350">
        <f t="shared" si="5"/>
        <v>0</v>
      </c>
      <c r="EZ26" s="350">
        <f t="shared" si="6"/>
        <v>0</v>
      </c>
      <c r="FA26" s="350">
        <f t="shared" si="7"/>
        <v>0</v>
      </c>
      <c r="FB26" s="350">
        <f t="shared" si="8"/>
        <v>0</v>
      </c>
      <c r="FC26" s="350">
        <f t="shared" si="9"/>
        <v>0</v>
      </c>
      <c r="FD26" s="350">
        <f t="shared" si="10"/>
        <v>0</v>
      </c>
      <c r="FE26" s="350">
        <f t="shared" si="11"/>
        <v>0</v>
      </c>
      <c r="FF26" s="350">
        <f t="shared" si="17"/>
        <v>0</v>
      </c>
      <c r="FG26" s="349">
        <f t="shared" si="18"/>
        <v>24</v>
      </c>
      <c r="FH26" s="319">
        <f t="shared" si="12"/>
        <v>22</v>
      </c>
      <c r="FI26" s="319">
        <f>SUM(I7:ER7)-SUM(ES26:FF26)</f>
        <v>106</v>
      </c>
      <c r="FJ26" s="319">
        <f t="shared" si="13"/>
        <v>128</v>
      </c>
      <c r="FK26" s="7"/>
    </row>
    <row r="27" spans="1:167" ht="15" customHeight="1">
      <c r="A27" s="2"/>
      <c r="B27" s="3">
        <f t="shared" si="0"/>
        <v>1</v>
      </c>
      <c r="C27" s="347">
        <v>20</v>
      </c>
      <c r="D27" s="348" t="s">
        <v>77</v>
      </c>
      <c r="E27" s="347"/>
      <c r="F27" s="347"/>
      <c r="G27" s="493">
        <v>45915</v>
      </c>
      <c r="H27" s="494"/>
      <c r="I27" s="214">
        <v>1</v>
      </c>
      <c r="J27" s="207">
        <v>1</v>
      </c>
      <c r="K27" s="207">
        <v>1</v>
      </c>
      <c r="L27" s="207">
        <v>1</v>
      </c>
      <c r="M27" s="207">
        <v>1</v>
      </c>
      <c r="N27" s="207">
        <v>1</v>
      </c>
      <c r="O27" s="207">
        <v>1</v>
      </c>
      <c r="P27" s="207">
        <v>1</v>
      </c>
      <c r="Q27" s="207">
        <v>1</v>
      </c>
      <c r="R27" s="215">
        <v>1</v>
      </c>
      <c r="S27" s="226">
        <v>1</v>
      </c>
      <c r="T27" s="227">
        <v>1</v>
      </c>
      <c r="U27" s="227">
        <v>1</v>
      </c>
      <c r="V27" s="227">
        <v>1</v>
      </c>
      <c r="W27" s="227">
        <v>1</v>
      </c>
      <c r="X27" s="227">
        <v>1</v>
      </c>
      <c r="Y27" s="227">
        <v>1</v>
      </c>
      <c r="Z27" s="227">
        <v>1</v>
      </c>
      <c r="AA27" s="227">
        <v>1</v>
      </c>
      <c r="AB27" s="228">
        <v>1</v>
      </c>
      <c r="AC27" s="258">
        <v>1</v>
      </c>
      <c r="AD27" s="178">
        <v>1</v>
      </c>
      <c r="AE27" s="178">
        <v>1</v>
      </c>
      <c r="AF27" s="178">
        <v>1</v>
      </c>
      <c r="AG27" s="530"/>
      <c r="AH27" s="531"/>
      <c r="AI27" s="178">
        <v>1</v>
      </c>
      <c r="AJ27" s="178">
        <v>1</v>
      </c>
      <c r="AK27" s="178">
        <v>1</v>
      </c>
      <c r="AL27" s="202">
        <v>1</v>
      </c>
      <c r="AM27" s="237">
        <v>1</v>
      </c>
      <c r="AN27" s="238">
        <v>1</v>
      </c>
      <c r="AO27" s="238">
        <v>1</v>
      </c>
      <c r="AP27" s="238">
        <v>1</v>
      </c>
      <c r="AQ27" s="238">
        <v>1</v>
      </c>
      <c r="AR27" s="238">
        <v>1</v>
      </c>
      <c r="AS27" s="238">
        <v>1</v>
      </c>
      <c r="AT27" s="238">
        <v>1</v>
      </c>
      <c r="AU27" s="238">
        <v>1</v>
      </c>
      <c r="AV27" s="273">
        <v>1</v>
      </c>
      <c r="AW27" s="295">
        <v>1</v>
      </c>
      <c r="AX27" s="296">
        <v>1</v>
      </c>
      <c r="AY27" s="296">
        <v>1</v>
      </c>
      <c r="AZ27" s="296">
        <v>1</v>
      </c>
      <c r="BA27" s="296">
        <v>1</v>
      </c>
      <c r="BB27" s="296">
        <v>1</v>
      </c>
      <c r="BC27" s="296">
        <v>1</v>
      </c>
      <c r="BD27" s="296">
        <v>1</v>
      </c>
      <c r="BE27" s="296">
        <v>1</v>
      </c>
      <c r="BF27" s="297">
        <v>1</v>
      </c>
      <c r="BG27" s="214">
        <v>1</v>
      </c>
      <c r="BH27" s="207">
        <v>1</v>
      </c>
      <c r="BI27" s="207">
        <v>1</v>
      </c>
      <c r="BJ27" s="207">
        <v>1</v>
      </c>
      <c r="BK27" s="207">
        <v>1</v>
      </c>
      <c r="BL27" s="207">
        <v>1</v>
      </c>
      <c r="BM27" s="207">
        <v>1</v>
      </c>
      <c r="BN27" s="207">
        <v>1</v>
      </c>
      <c r="BO27" s="207">
        <v>0</v>
      </c>
      <c r="BP27" s="215">
        <v>0</v>
      </c>
      <c r="BQ27" s="249">
        <v>0</v>
      </c>
      <c r="BR27" s="227">
        <v>0</v>
      </c>
      <c r="BS27" s="227">
        <v>0</v>
      </c>
      <c r="BT27" s="227">
        <v>0</v>
      </c>
      <c r="BU27" s="227">
        <v>0</v>
      </c>
      <c r="BV27" s="227">
        <v>0</v>
      </c>
      <c r="BW27" s="227">
        <v>0</v>
      </c>
      <c r="BX27" s="227">
        <v>0</v>
      </c>
      <c r="BY27" s="227">
        <v>0</v>
      </c>
      <c r="BZ27" s="247">
        <v>0</v>
      </c>
      <c r="CA27" s="537"/>
      <c r="CB27" s="538"/>
      <c r="CC27" s="538"/>
      <c r="CD27" s="538"/>
      <c r="CE27" s="538"/>
      <c r="CF27" s="538"/>
      <c r="CG27" s="538"/>
      <c r="CH27" s="538"/>
      <c r="CI27" s="538"/>
      <c r="CJ27" s="539"/>
      <c r="CK27" s="240">
        <v>1</v>
      </c>
      <c r="CL27" s="238">
        <v>1</v>
      </c>
      <c r="CM27" s="238">
        <v>1</v>
      </c>
      <c r="CN27" s="238">
        <v>1</v>
      </c>
      <c r="CO27" s="238">
        <v>1</v>
      </c>
      <c r="CP27" s="238">
        <v>1</v>
      </c>
      <c r="CQ27" s="238">
        <v>1</v>
      </c>
      <c r="CR27" s="238">
        <v>1</v>
      </c>
      <c r="CS27" s="238">
        <v>1</v>
      </c>
      <c r="CT27" s="239">
        <v>1</v>
      </c>
      <c r="CU27" s="295">
        <v>1</v>
      </c>
      <c r="CV27" s="296">
        <v>1</v>
      </c>
      <c r="CW27" s="296">
        <v>1</v>
      </c>
      <c r="CX27" s="296">
        <v>1</v>
      </c>
      <c r="CY27" s="296">
        <v>1</v>
      </c>
      <c r="CZ27" s="296">
        <v>1</v>
      </c>
      <c r="DA27" s="296">
        <v>1</v>
      </c>
      <c r="DB27" s="296">
        <v>1</v>
      </c>
      <c r="DC27" s="296">
        <v>1</v>
      </c>
      <c r="DD27" s="297">
        <v>1</v>
      </c>
      <c r="DE27" s="214">
        <v>1</v>
      </c>
      <c r="DF27" s="207">
        <v>1</v>
      </c>
      <c r="DG27" s="207">
        <v>1</v>
      </c>
      <c r="DH27" s="207">
        <v>1</v>
      </c>
      <c r="DI27" s="207">
        <v>1</v>
      </c>
      <c r="DJ27" s="207">
        <v>1</v>
      </c>
      <c r="DK27" s="207">
        <v>1</v>
      </c>
      <c r="DL27" s="207">
        <v>1</v>
      </c>
      <c r="DM27" s="207">
        <v>1</v>
      </c>
      <c r="DN27" s="215">
        <v>1</v>
      </c>
      <c r="DO27" s="226">
        <v>1</v>
      </c>
      <c r="DP27" s="227">
        <v>1</v>
      </c>
      <c r="DQ27" s="227">
        <v>1</v>
      </c>
      <c r="DR27" s="227">
        <v>1</v>
      </c>
      <c r="DS27" s="227">
        <v>1</v>
      </c>
      <c r="DT27" s="227">
        <v>1</v>
      </c>
      <c r="DU27" s="227">
        <v>1</v>
      </c>
      <c r="DV27" s="227">
        <v>1</v>
      </c>
      <c r="DW27" s="227">
        <v>1</v>
      </c>
      <c r="DX27" s="228">
        <v>1</v>
      </c>
      <c r="DY27" s="307">
        <v>1</v>
      </c>
      <c r="DZ27" s="91">
        <v>1</v>
      </c>
      <c r="EA27" s="91">
        <v>1</v>
      </c>
      <c r="EB27" s="91">
        <v>1</v>
      </c>
      <c r="EC27" s="91">
        <v>1</v>
      </c>
      <c r="ED27" s="91">
        <v>1</v>
      </c>
      <c r="EE27" s="91">
        <v>1</v>
      </c>
      <c r="EF27" s="91">
        <v>1</v>
      </c>
      <c r="EG27" s="91">
        <v>1</v>
      </c>
      <c r="EH27" s="91">
        <v>1</v>
      </c>
      <c r="EI27" s="238">
        <v>1</v>
      </c>
      <c r="EJ27" s="238">
        <v>1</v>
      </c>
      <c r="EK27" s="238">
        <v>1</v>
      </c>
      <c r="EL27" s="238">
        <v>1</v>
      </c>
      <c r="EM27" s="238">
        <v>1</v>
      </c>
      <c r="EN27" s="238">
        <v>1</v>
      </c>
      <c r="EO27" s="238">
        <v>1</v>
      </c>
      <c r="EP27" s="238">
        <v>1</v>
      </c>
      <c r="EQ27" s="238">
        <v>1</v>
      </c>
      <c r="ER27" s="238">
        <v>1</v>
      </c>
      <c r="ES27" s="350">
        <f t="shared" si="14"/>
        <v>10</v>
      </c>
      <c r="ET27" s="350">
        <f t="shared" si="2"/>
        <v>10</v>
      </c>
      <c r="EU27" s="350">
        <f t="shared" si="3"/>
        <v>8</v>
      </c>
      <c r="EV27" s="350">
        <f t="shared" si="4"/>
        <v>10</v>
      </c>
      <c r="EW27" s="350">
        <f t="shared" si="15"/>
        <v>8</v>
      </c>
      <c r="EX27" s="350">
        <f t="shared" si="16"/>
        <v>8</v>
      </c>
      <c r="EY27" s="350">
        <f t="shared" si="5"/>
        <v>0</v>
      </c>
      <c r="EZ27" s="350">
        <f t="shared" si="6"/>
        <v>0</v>
      </c>
      <c r="FA27" s="350">
        <f t="shared" si="7"/>
        <v>10</v>
      </c>
      <c r="FB27" s="350">
        <f t="shared" si="8"/>
        <v>10</v>
      </c>
      <c r="FC27" s="350">
        <f t="shared" si="9"/>
        <v>10</v>
      </c>
      <c r="FD27" s="350">
        <f t="shared" si="10"/>
        <v>10</v>
      </c>
      <c r="FE27" s="350">
        <f t="shared" si="11"/>
        <v>10</v>
      </c>
      <c r="FF27" s="350">
        <f t="shared" si="17"/>
        <v>10</v>
      </c>
      <c r="FG27" s="349">
        <f t="shared" si="18"/>
        <v>25</v>
      </c>
      <c r="FH27" s="319">
        <f t="shared" si="12"/>
        <v>114</v>
      </c>
      <c r="FI27" s="319">
        <f>SUM(I7:ER7)-SUM(ES27:FF27)</f>
        <v>14</v>
      </c>
      <c r="FJ27" s="319">
        <f t="shared" si="13"/>
        <v>128</v>
      </c>
      <c r="FK27" s="7"/>
    </row>
    <row r="28" spans="1:167" ht="15" customHeight="1">
      <c r="A28" s="2"/>
      <c r="B28" s="3">
        <f t="shared" si="0"/>
        <v>1</v>
      </c>
      <c r="C28" s="347">
        <v>21</v>
      </c>
      <c r="D28" s="184" t="s">
        <v>78</v>
      </c>
      <c r="E28" s="347"/>
      <c r="F28" s="347"/>
      <c r="G28" s="493">
        <v>45915</v>
      </c>
      <c r="H28" s="494"/>
      <c r="I28" s="214">
        <v>1</v>
      </c>
      <c r="J28" s="207">
        <v>1</v>
      </c>
      <c r="K28" s="207">
        <v>1</v>
      </c>
      <c r="L28" s="207">
        <v>1</v>
      </c>
      <c r="M28" s="207">
        <v>1</v>
      </c>
      <c r="N28" s="207">
        <v>1</v>
      </c>
      <c r="O28" s="207">
        <v>1</v>
      </c>
      <c r="P28" s="207">
        <v>1</v>
      </c>
      <c r="Q28" s="207">
        <v>1</v>
      </c>
      <c r="R28" s="215">
        <v>1</v>
      </c>
      <c r="S28" s="226">
        <v>1</v>
      </c>
      <c r="T28" s="227">
        <v>1</v>
      </c>
      <c r="U28" s="227">
        <v>1</v>
      </c>
      <c r="V28" s="227">
        <v>1</v>
      </c>
      <c r="W28" s="227">
        <v>1</v>
      </c>
      <c r="X28" s="227">
        <v>1</v>
      </c>
      <c r="Y28" s="227">
        <v>1</v>
      </c>
      <c r="Z28" s="227">
        <v>1</v>
      </c>
      <c r="AA28" s="227">
        <v>1</v>
      </c>
      <c r="AB28" s="228">
        <v>1</v>
      </c>
      <c r="AC28" s="258">
        <v>1</v>
      </c>
      <c r="AD28" s="178">
        <v>1</v>
      </c>
      <c r="AE28" s="178">
        <v>1</v>
      </c>
      <c r="AF28" s="178">
        <v>1</v>
      </c>
      <c r="AG28" s="530"/>
      <c r="AH28" s="531"/>
      <c r="AI28" s="178">
        <v>0</v>
      </c>
      <c r="AJ28" s="178">
        <v>0</v>
      </c>
      <c r="AK28" s="178">
        <v>1</v>
      </c>
      <c r="AL28" s="202">
        <v>1</v>
      </c>
      <c r="AM28" s="237">
        <v>1</v>
      </c>
      <c r="AN28" s="238">
        <v>1</v>
      </c>
      <c r="AO28" s="238">
        <v>1</v>
      </c>
      <c r="AP28" s="238">
        <v>1</v>
      </c>
      <c r="AQ28" s="238">
        <v>1</v>
      </c>
      <c r="AR28" s="238">
        <v>1</v>
      </c>
      <c r="AS28" s="238">
        <v>1</v>
      </c>
      <c r="AT28" s="238">
        <v>1</v>
      </c>
      <c r="AU28" s="238">
        <v>1</v>
      </c>
      <c r="AV28" s="273">
        <v>1</v>
      </c>
      <c r="AW28" s="295">
        <v>1</v>
      </c>
      <c r="AX28" s="296">
        <v>1</v>
      </c>
      <c r="AY28" s="296">
        <v>1</v>
      </c>
      <c r="AZ28" s="296">
        <v>1</v>
      </c>
      <c r="BA28" s="296">
        <v>1</v>
      </c>
      <c r="BB28" s="296">
        <v>1</v>
      </c>
      <c r="BC28" s="296">
        <v>1</v>
      </c>
      <c r="BD28" s="296">
        <v>1</v>
      </c>
      <c r="BE28" s="296">
        <v>1</v>
      </c>
      <c r="BF28" s="297">
        <v>1</v>
      </c>
      <c r="BG28" s="214">
        <v>1</v>
      </c>
      <c r="BH28" s="207">
        <v>1</v>
      </c>
      <c r="BI28" s="207">
        <v>1</v>
      </c>
      <c r="BJ28" s="207">
        <v>1</v>
      </c>
      <c r="BK28" s="207">
        <v>1</v>
      </c>
      <c r="BL28" s="207">
        <v>1</v>
      </c>
      <c r="BM28" s="207">
        <v>1</v>
      </c>
      <c r="BN28" s="207">
        <v>1</v>
      </c>
      <c r="BO28" s="207">
        <v>1</v>
      </c>
      <c r="BP28" s="215">
        <v>1</v>
      </c>
      <c r="BQ28" s="249">
        <v>1</v>
      </c>
      <c r="BR28" s="227">
        <v>1</v>
      </c>
      <c r="BS28" s="227">
        <v>1</v>
      </c>
      <c r="BT28" s="227">
        <v>1</v>
      </c>
      <c r="BU28" s="227">
        <v>1</v>
      </c>
      <c r="BV28" s="227">
        <v>1</v>
      </c>
      <c r="BW28" s="227">
        <v>1</v>
      </c>
      <c r="BX28" s="227">
        <v>1</v>
      </c>
      <c r="BY28" s="227">
        <v>1</v>
      </c>
      <c r="BZ28" s="247">
        <v>1</v>
      </c>
      <c r="CA28" s="537"/>
      <c r="CB28" s="538"/>
      <c r="CC28" s="538"/>
      <c r="CD28" s="538"/>
      <c r="CE28" s="538"/>
      <c r="CF28" s="538"/>
      <c r="CG28" s="538"/>
      <c r="CH28" s="538"/>
      <c r="CI28" s="538"/>
      <c r="CJ28" s="539"/>
      <c r="CK28" s="240">
        <v>1</v>
      </c>
      <c r="CL28" s="238">
        <v>1</v>
      </c>
      <c r="CM28" s="238">
        <v>1</v>
      </c>
      <c r="CN28" s="238">
        <v>1</v>
      </c>
      <c r="CO28" s="238">
        <v>1</v>
      </c>
      <c r="CP28" s="238">
        <v>1</v>
      </c>
      <c r="CQ28" s="238">
        <v>1</v>
      </c>
      <c r="CR28" s="238">
        <v>1</v>
      </c>
      <c r="CS28" s="238">
        <v>1</v>
      </c>
      <c r="CT28" s="239">
        <v>1</v>
      </c>
      <c r="CU28" s="295">
        <v>1</v>
      </c>
      <c r="CV28" s="296">
        <v>1</v>
      </c>
      <c r="CW28" s="296">
        <v>1</v>
      </c>
      <c r="CX28" s="296">
        <v>1</v>
      </c>
      <c r="CY28" s="296">
        <v>1</v>
      </c>
      <c r="CZ28" s="296">
        <v>1</v>
      </c>
      <c r="DA28" s="296">
        <v>1</v>
      </c>
      <c r="DB28" s="296">
        <v>1</v>
      </c>
      <c r="DC28" s="296">
        <v>1</v>
      </c>
      <c r="DD28" s="297">
        <v>1</v>
      </c>
      <c r="DE28" s="214">
        <v>1</v>
      </c>
      <c r="DF28" s="207">
        <v>1</v>
      </c>
      <c r="DG28" s="207">
        <v>1</v>
      </c>
      <c r="DH28" s="207">
        <v>1</v>
      </c>
      <c r="DI28" s="207">
        <v>1</v>
      </c>
      <c r="DJ28" s="207">
        <v>1</v>
      </c>
      <c r="DK28" s="207">
        <v>1</v>
      </c>
      <c r="DL28" s="207">
        <v>1</v>
      </c>
      <c r="DM28" s="207">
        <v>1</v>
      </c>
      <c r="DN28" s="215">
        <v>1</v>
      </c>
      <c r="DO28" s="226">
        <v>1</v>
      </c>
      <c r="DP28" s="227">
        <v>1</v>
      </c>
      <c r="DQ28" s="227">
        <v>1</v>
      </c>
      <c r="DR28" s="227">
        <v>1</v>
      </c>
      <c r="DS28" s="227">
        <v>1</v>
      </c>
      <c r="DT28" s="227">
        <v>1</v>
      </c>
      <c r="DU28" s="227">
        <v>1</v>
      </c>
      <c r="DV28" s="227">
        <v>1</v>
      </c>
      <c r="DW28" s="227">
        <v>1</v>
      </c>
      <c r="DX28" s="228">
        <v>1</v>
      </c>
      <c r="DY28" s="307">
        <v>1</v>
      </c>
      <c r="DZ28" s="91">
        <v>1</v>
      </c>
      <c r="EA28" s="91">
        <v>1</v>
      </c>
      <c r="EB28" s="91">
        <v>1</v>
      </c>
      <c r="EC28" s="91">
        <v>1</v>
      </c>
      <c r="ED28" s="91">
        <v>1</v>
      </c>
      <c r="EE28" s="91">
        <v>1</v>
      </c>
      <c r="EF28" s="91">
        <v>1</v>
      </c>
      <c r="EG28" s="91">
        <v>1</v>
      </c>
      <c r="EH28" s="91">
        <v>1</v>
      </c>
      <c r="EI28" s="238">
        <v>1</v>
      </c>
      <c r="EJ28" s="238">
        <v>1</v>
      </c>
      <c r="EK28" s="238">
        <v>1</v>
      </c>
      <c r="EL28" s="238">
        <v>1</v>
      </c>
      <c r="EM28" s="238">
        <v>1</v>
      </c>
      <c r="EN28" s="238">
        <v>1</v>
      </c>
      <c r="EO28" s="238">
        <v>1</v>
      </c>
      <c r="EP28" s="238">
        <v>1</v>
      </c>
      <c r="EQ28" s="238">
        <v>1</v>
      </c>
      <c r="ER28" s="238">
        <v>1</v>
      </c>
      <c r="ES28" s="350">
        <f t="shared" si="14"/>
        <v>10</v>
      </c>
      <c r="ET28" s="350">
        <f t="shared" si="2"/>
        <v>10</v>
      </c>
      <c r="EU28" s="350">
        <f t="shared" si="3"/>
        <v>6</v>
      </c>
      <c r="EV28" s="350">
        <f t="shared" si="4"/>
        <v>10</v>
      </c>
      <c r="EW28" s="350">
        <f t="shared" si="15"/>
        <v>10</v>
      </c>
      <c r="EX28" s="350">
        <f t="shared" si="16"/>
        <v>10</v>
      </c>
      <c r="EY28" s="350">
        <f t="shared" si="5"/>
        <v>10</v>
      </c>
      <c r="EZ28" s="350">
        <f t="shared" si="6"/>
        <v>0</v>
      </c>
      <c r="FA28" s="350">
        <f t="shared" si="7"/>
        <v>10</v>
      </c>
      <c r="FB28" s="350">
        <f t="shared" si="8"/>
        <v>10</v>
      </c>
      <c r="FC28" s="350">
        <f t="shared" si="9"/>
        <v>10</v>
      </c>
      <c r="FD28" s="350">
        <f t="shared" si="10"/>
        <v>10</v>
      </c>
      <c r="FE28" s="350">
        <f t="shared" si="11"/>
        <v>10</v>
      </c>
      <c r="FF28" s="350">
        <f t="shared" si="17"/>
        <v>10</v>
      </c>
      <c r="FG28" s="349">
        <f t="shared" si="18"/>
        <v>26</v>
      </c>
      <c r="FH28" s="319">
        <f t="shared" si="12"/>
        <v>126</v>
      </c>
      <c r="FI28" s="319">
        <f>SUM(I7:ER7)-SUM(ES28:FF28)</f>
        <v>2</v>
      </c>
      <c r="FJ28" s="319">
        <f t="shared" si="13"/>
        <v>128</v>
      </c>
      <c r="FK28" s="7"/>
    </row>
    <row r="29" spans="1:167" ht="15.75" customHeight="1">
      <c r="A29" s="2"/>
      <c r="B29" s="3">
        <f t="shared" si="0"/>
        <v>1</v>
      </c>
      <c r="C29" s="347">
        <v>22</v>
      </c>
      <c r="D29" s="184" t="s">
        <v>79</v>
      </c>
      <c r="E29" s="347"/>
      <c r="F29" s="347"/>
      <c r="G29" s="493">
        <v>45915</v>
      </c>
      <c r="H29" s="494"/>
      <c r="I29" s="214">
        <v>1</v>
      </c>
      <c r="J29" s="207">
        <v>1</v>
      </c>
      <c r="K29" s="207">
        <v>1</v>
      </c>
      <c r="L29" s="207">
        <v>1</v>
      </c>
      <c r="M29" s="207">
        <v>1</v>
      </c>
      <c r="N29" s="207">
        <v>1</v>
      </c>
      <c r="O29" s="207">
        <v>1</v>
      </c>
      <c r="P29" s="207">
        <v>1</v>
      </c>
      <c r="Q29" s="207">
        <v>1</v>
      </c>
      <c r="R29" s="215">
        <v>1</v>
      </c>
      <c r="S29" s="226">
        <v>1</v>
      </c>
      <c r="T29" s="227">
        <v>1</v>
      </c>
      <c r="U29" s="227">
        <v>1</v>
      </c>
      <c r="V29" s="227">
        <v>1</v>
      </c>
      <c r="W29" s="227">
        <v>1</v>
      </c>
      <c r="X29" s="227">
        <v>1</v>
      </c>
      <c r="Y29" s="227">
        <v>1</v>
      </c>
      <c r="Z29" s="227">
        <v>1</v>
      </c>
      <c r="AA29" s="227">
        <v>1</v>
      </c>
      <c r="AB29" s="228">
        <v>1</v>
      </c>
      <c r="AC29" s="258">
        <v>1</v>
      </c>
      <c r="AD29" s="178">
        <v>1</v>
      </c>
      <c r="AE29" s="178">
        <v>1</v>
      </c>
      <c r="AF29" s="178">
        <v>1</v>
      </c>
      <c r="AG29" s="530"/>
      <c r="AH29" s="531"/>
      <c r="AI29" s="178">
        <v>1</v>
      </c>
      <c r="AJ29" s="178">
        <v>1</v>
      </c>
      <c r="AK29" s="178">
        <v>1</v>
      </c>
      <c r="AL29" s="202">
        <v>1</v>
      </c>
      <c r="AM29" s="237">
        <v>1</v>
      </c>
      <c r="AN29" s="238">
        <v>1</v>
      </c>
      <c r="AO29" s="238">
        <v>1</v>
      </c>
      <c r="AP29" s="238">
        <v>1</v>
      </c>
      <c r="AQ29" s="238">
        <v>1</v>
      </c>
      <c r="AR29" s="238">
        <v>1</v>
      </c>
      <c r="AS29" s="238">
        <v>1</v>
      </c>
      <c r="AT29" s="238">
        <v>1</v>
      </c>
      <c r="AU29" s="238">
        <v>1</v>
      </c>
      <c r="AV29" s="273">
        <v>1</v>
      </c>
      <c r="AW29" s="295">
        <v>1</v>
      </c>
      <c r="AX29" s="296">
        <v>1</v>
      </c>
      <c r="AY29" s="296">
        <v>1</v>
      </c>
      <c r="AZ29" s="296">
        <v>1</v>
      </c>
      <c r="BA29" s="296">
        <v>1</v>
      </c>
      <c r="BB29" s="296">
        <v>1</v>
      </c>
      <c r="BC29" s="296">
        <v>1</v>
      </c>
      <c r="BD29" s="296">
        <v>1</v>
      </c>
      <c r="BE29" s="296">
        <v>1</v>
      </c>
      <c r="BF29" s="297">
        <v>1</v>
      </c>
      <c r="BG29" s="214">
        <v>1</v>
      </c>
      <c r="BH29" s="207">
        <v>1</v>
      </c>
      <c r="BI29" s="207">
        <v>1</v>
      </c>
      <c r="BJ29" s="207">
        <v>1</v>
      </c>
      <c r="BK29" s="207">
        <v>1</v>
      </c>
      <c r="BL29" s="207">
        <v>1</v>
      </c>
      <c r="BM29" s="207">
        <v>1</v>
      </c>
      <c r="BN29" s="207">
        <v>1</v>
      </c>
      <c r="BO29" s="207">
        <v>1</v>
      </c>
      <c r="BP29" s="215">
        <v>1</v>
      </c>
      <c r="BQ29" s="249">
        <v>1</v>
      </c>
      <c r="BR29" s="227">
        <v>1</v>
      </c>
      <c r="BS29" s="227">
        <v>1</v>
      </c>
      <c r="BT29" s="227">
        <v>1</v>
      </c>
      <c r="BU29" s="227">
        <v>1</v>
      </c>
      <c r="BV29" s="227">
        <v>1</v>
      </c>
      <c r="BW29" s="227">
        <v>1</v>
      </c>
      <c r="BX29" s="227">
        <v>1</v>
      </c>
      <c r="BY29" s="227">
        <v>1</v>
      </c>
      <c r="BZ29" s="247">
        <v>1</v>
      </c>
      <c r="CA29" s="537"/>
      <c r="CB29" s="538"/>
      <c r="CC29" s="538"/>
      <c r="CD29" s="538"/>
      <c r="CE29" s="538"/>
      <c r="CF29" s="538"/>
      <c r="CG29" s="538"/>
      <c r="CH29" s="538"/>
      <c r="CI29" s="538"/>
      <c r="CJ29" s="539"/>
      <c r="CK29" s="240">
        <v>1</v>
      </c>
      <c r="CL29" s="238">
        <v>1</v>
      </c>
      <c r="CM29" s="238">
        <v>1</v>
      </c>
      <c r="CN29" s="238">
        <v>1</v>
      </c>
      <c r="CO29" s="238">
        <v>1</v>
      </c>
      <c r="CP29" s="238">
        <v>1</v>
      </c>
      <c r="CQ29" s="238">
        <v>1</v>
      </c>
      <c r="CR29" s="238">
        <v>1</v>
      </c>
      <c r="CS29" s="238">
        <v>1</v>
      </c>
      <c r="CT29" s="239">
        <v>1</v>
      </c>
      <c r="CU29" s="295">
        <v>1</v>
      </c>
      <c r="CV29" s="296">
        <v>1</v>
      </c>
      <c r="CW29" s="296">
        <v>1</v>
      </c>
      <c r="CX29" s="296">
        <v>1</v>
      </c>
      <c r="CY29" s="296">
        <v>1</v>
      </c>
      <c r="CZ29" s="296">
        <v>1</v>
      </c>
      <c r="DA29" s="296">
        <v>1</v>
      </c>
      <c r="DB29" s="296">
        <v>1</v>
      </c>
      <c r="DC29" s="296">
        <v>1</v>
      </c>
      <c r="DD29" s="297">
        <v>1</v>
      </c>
      <c r="DE29" s="214">
        <v>1</v>
      </c>
      <c r="DF29" s="207">
        <v>1</v>
      </c>
      <c r="DG29" s="207">
        <v>1</v>
      </c>
      <c r="DH29" s="207">
        <v>1</v>
      </c>
      <c r="DI29" s="207">
        <v>1</v>
      </c>
      <c r="DJ29" s="207">
        <v>1</v>
      </c>
      <c r="DK29" s="207">
        <v>1</v>
      </c>
      <c r="DL29" s="207">
        <v>1</v>
      </c>
      <c r="DM29" s="207">
        <v>1</v>
      </c>
      <c r="DN29" s="215">
        <v>1</v>
      </c>
      <c r="DO29" s="226">
        <v>1</v>
      </c>
      <c r="DP29" s="227">
        <v>1</v>
      </c>
      <c r="DQ29" s="227">
        <v>1</v>
      </c>
      <c r="DR29" s="227">
        <v>1</v>
      </c>
      <c r="DS29" s="227">
        <v>1</v>
      </c>
      <c r="DT29" s="227">
        <v>1</v>
      </c>
      <c r="DU29" s="227">
        <v>1</v>
      </c>
      <c r="DV29" s="227">
        <v>1</v>
      </c>
      <c r="DW29" s="227">
        <v>1</v>
      </c>
      <c r="DX29" s="228">
        <v>1</v>
      </c>
      <c r="DY29" s="307">
        <v>1</v>
      </c>
      <c r="DZ29" s="91">
        <v>1</v>
      </c>
      <c r="EA29" s="91">
        <v>1</v>
      </c>
      <c r="EB29" s="91">
        <v>1</v>
      </c>
      <c r="EC29" s="91">
        <v>1</v>
      </c>
      <c r="ED29" s="91">
        <v>1</v>
      </c>
      <c r="EE29" s="91">
        <v>1</v>
      </c>
      <c r="EF29" s="91">
        <v>1</v>
      </c>
      <c r="EG29" s="91">
        <v>1</v>
      </c>
      <c r="EH29" s="91">
        <v>1</v>
      </c>
      <c r="EI29" s="238">
        <v>1</v>
      </c>
      <c r="EJ29" s="238">
        <v>1</v>
      </c>
      <c r="EK29" s="238">
        <v>1</v>
      </c>
      <c r="EL29" s="238">
        <v>1</v>
      </c>
      <c r="EM29" s="238">
        <v>1</v>
      </c>
      <c r="EN29" s="238">
        <v>1</v>
      </c>
      <c r="EO29" s="238">
        <v>1</v>
      </c>
      <c r="EP29" s="238">
        <v>1</v>
      </c>
      <c r="EQ29" s="238">
        <v>1</v>
      </c>
      <c r="ER29" s="238">
        <v>1</v>
      </c>
      <c r="ES29" s="350">
        <f t="shared" si="14"/>
        <v>0</v>
      </c>
      <c r="ET29" s="350">
        <f t="shared" si="2"/>
        <v>10</v>
      </c>
      <c r="EU29" s="350">
        <f t="shared" si="3"/>
        <v>8</v>
      </c>
      <c r="EV29" s="350">
        <f t="shared" si="4"/>
        <v>10</v>
      </c>
      <c r="EW29" s="350">
        <f t="shared" si="15"/>
        <v>10</v>
      </c>
      <c r="EX29" s="350">
        <f t="shared" si="16"/>
        <v>10</v>
      </c>
      <c r="EY29" s="350">
        <f t="shared" si="5"/>
        <v>10</v>
      </c>
      <c r="EZ29" s="350">
        <f t="shared" si="6"/>
        <v>0</v>
      </c>
      <c r="FA29" s="350">
        <f t="shared" si="7"/>
        <v>10</v>
      </c>
      <c r="FB29" s="350">
        <f t="shared" si="8"/>
        <v>10</v>
      </c>
      <c r="FC29" s="350">
        <f t="shared" si="9"/>
        <v>10</v>
      </c>
      <c r="FD29" s="350">
        <f t="shared" si="10"/>
        <v>10</v>
      </c>
      <c r="FE29" s="350">
        <f t="shared" si="11"/>
        <v>10</v>
      </c>
      <c r="FF29" s="350">
        <f t="shared" si="17"/>
        <v>10</v>
      </c>
      <c r="FG29" s="349">
        <f t="shared" si="18"/>
        <v>27</v>
      </c>
      <c r="FH29" s="319">
        <f t="shared" si="12"/>
        <v>118</v>
      </c>
      <c r="FI29" s="319">
        <f>SUM(I7:ER7)-SUM(ES29:FF29)</f>
        <v>10</v>
      </c>
      <c r="FJ29" s="319">
        <f t="shared" si="13"/>
        <v>128</v>
      </c>
      <c r="FK29" s="7"/>
    </row>
    <row r="30" spans="1:167" ht="15.75" customHeight="1">
      <c r="A30" s="2"/>
      <c r="B30" s="3">
        <f t="shared" si="0"/>
        <v>1</v>
      </c>
      <c r="C30" s="347">
        <v>23</v>
      </c>
      <c r="D30" s="184" t="s">
        <v>80</v>
      </c>
      <c r="E30" s="347"/>
      <c r="F30" s="347"/>
      <c r="G30" s="493">
        <v>45915</v>
      </c>
      <c r="H30" s="494"/>
      <c r="I30" s="214">
        <v>0</v>
      </c>
      <c r="J30" s="207">
        <v>0</v>
      </c>
      <c r="K30" s="207">
        <v>0</v>
      </c>
      <c r="L30" s="207">
        <v>0</v>
      </c>
      <c r="M30" s="207">
        <v>0</v>
      </c>
      <c r="N30" s="207">
        <v>0</v>
      </c>
      <c r="O30" s="207">
        <v>0</v>
      </c>
      <c r="P30" s="207">
        <v>0</v>
      </c>
      <c r="Q30" s="207">
        <v>0</v>
      </c>
      <c r="R30" s="215">
        <v>0</v>
      </c>
      <c r="S30" s="226">
        <v>1</v>
      </c>
      <c r="T30" s="227">
        <v>1</v>
      </c>
      <c r="U30" s="227">
        <v>1</v>
      </c>
      <c r="V30" s="227">
        <v>1</v>
      </c>
      <c r="W30" s="227">
        <v>1</v>
      </c>
      <c r="X30" s="227">
        <v>1</v>
      </c>
      <c r="Y30" s="227">
        <v>1</v>
      </c>
      <c r="Z30" s="227">
        <v>1</v>
      </c>
      <c r="AA30" s="227">
        <v>1</v>
      </c>
      <c r="AB30" s="228">
        <v>1</v>
      </c>
      <c r="AC30" s="258">
        <v>1</v>
      </c>
      <c r="AD30" s="178">
        <v>1</v>
      </c>
      <c r="AE30" s="178">
        <v>1</v>
      </c>
      <c r="AF30" s="178">
        <v>1</v>
      </c>
      <c r="AG30" s="530"/>
      <c r="AH30" s="531"/>
      <c r="AI30" s="178">
        <v>1</v>
      </c>
      <c r="AJ30" s="178">
        <v>1</v>
      </c>
      <c r="AK30" s="178">
        <v>1</v>
      </c>
      <c r="AL30" s="202">
        <v>1</v>
      </c>
      <c r="AM30" s="237">
        <v>1</v>
      </c>
      <c r="AN30" s="238">
        <v>1</v>
      </c>
      <c r="AO30" s="238">
        <v>1</v>
      </c>
      <c r="AP30" s="238">
        <v>1</v>
      </c>
      <c r="AQ30" s="238">
        <v>1</v>
      </c>
      <c r="AR30" s="238">
        <v>1</v>
      </c>
      <c r="AS30" s="238">
        <v>1</v>
      </c>
      <c r="AT30" s="238">
        <v>1</v>
      </c>
      <c r="AU30" s="238">
        <v>1</v>
      </c>
      <c r="AV30" s="273">
        <v>1</v>
      </c>
      <c r="AW30" s="295">
        <v>1</v>
      </c>
      <c r="AX30" s="296">
        <v>1</v>
      </c>
      <c r="AY30" s="296">
        <v>1</v>
      </c>
      <c r="AZ30" s="296">
        <v>1</v>
      </c>
      <c r="BA30" s="296">
        <v>1</v>
      </c>
      <c r="BB30" s="296">
        <v>1</v>
      </c>
      <c r="BC30" s="296">
        <v>1</v>
      </c>
      <c r="BD30" s="296">
        <v>1</v>
      </c>
      <c r="BE30" s="296">
        <v>1</v>
      </c>
      <c r="BF30" s="297">
        <v>1</v>
      </c>
      <c r="BG30" s="214">
        <v>1</v>
      </c>
      <c r="BH30" s="207">
        <v>1</v>
      </c>
      <c r="BI30" s="207">
        <v>1</v>
      </c>
      <c r="BJ30" s="207">
        <v>1</v>
      </c>
      <c r="BK30" s="207">
        <v>1</v>
      </c>
      <c r="BL30" s="207">
        <v>1</v>
      </c>
      <c r="BM30" s="207">
        <v>1</v>
      </c>
      <c r="BN30" s="207">
        <v>1</v>
      </c>
      <c r="BO30" s="207">
        <v>1</v>
      </c>
      <c r="BP30" s="215">
        <v>1</v>
      </c>
      <c r="BQ30" s="249">
        <v>1</v>
      </c>
      <c r="BR30" s="227">
        <v>1</v>
      </c>
      <c r="BS30" s="227">
        <v>1</v>
      </c>
      <c r="BT30" s="227">
        <v>1</v>
      </c>
      <c r="BU30" s="227">
        <v>1</v>
      </c>
      <c r="BV30" s="227">
        <v>1</v>
      </c>
      <c r="BW30" s="227">
        <v>1</v>
      </c>
      <c r="BX30" s="227">
        <v>1</v>
      </c>
      <c r="BY30" s="227">
        <v>1</v>
      </c>
      <c r="BZ30" s="247">
        <v>1</v>
      </c>
      <c r="CA30" s="537"/>
      <c r="CB30" s="538"/>
      <c r="CC30" s="538"/>
      <c r="CD30" s="538"/>
      <c r="CE30" s="538"/>
      <c r="CF30" s="538"/>
      <c r="CG30" s="538"/>
      <c r="CH30" s="538"/>
      <c r="CI30" s="538"/>
      <c r="CJ30" s="539"/>
      <c r="CK30" s="240">
        <v>1</v>
      </c>
      <c r="CL30" s="238">
        <v>1</v>
      </c>
      <c r="CM30" s="238">
        <v>1</v>
      </c>
      <c r="CN30" s="238">
        <v>1</v>
      </c>
      <c r="CO30" s="238">
        <v>1</v>
      </c>
      <c r="CP30" s="238">
        <v>1</v>
      </c>
      <c r="CQ30" s="238">
        <v>1</v>
      </c>
      <c r="CR30" s="238">
        <v>1</v>
      </c>
      <c r="CS30" s="238">
        <v>1</v>
      </c>
      <c r="CT30" s="239">
        <v>1</v>
      </c>
      <c r="CU30" s="295">
        <v>1</v>
      </c>
      <c r="CV30" s="296">
        <v>1</v>
      </c>
      <c r="CW30" s="296">
        <v>1</v>
      </c>
      <c r="CX30" s="296">
        <v>1</v>
      </c>
      <c r="CY30" s="296">
        <v>1</v>
      </c>
      <c r="CZ30" s="296">
        <v>1</v>
      </c>
      <c r="DA30" s="296">
        <v>1</v>
      </c>
      <c r="DB30" s="296">
        <v>1</v>
      </c>
      <c r="DC30" s="296">
        <v>1</v>
      </c>
      <c r="DD30" s="297">
        <v>1</v>
      </c>
      <c r="DE30" s="214">
        <v>1</v>
      </c>
      <c r="DF30" s="207">
        <v>1</v>
      </c>
      <c r="DG30" s="207">
        <v>1</v>
      </c>
      <c r="DH30" s="207">
        <v>1</v>
      </c>
      <c r="DI30" s="207">
        <v>1</v>
      </c>
      <c r="DJ30" s="207">
        <v>1</v>
      </c>
      <c r="DK30" s="207">
        <v>1</v>
      </c>
      <c r="DL30" s="207">
        <v>1</v>
      </c>
      <c r="DM30" s="207">
        <v>1</v>
      </c>
      <c r="DN30" s="215">
        <v>1</v>
      </c>
      <c r="DO30" s="226">
        <v>1</v>
      </c>
      <c r="DP30" s="227">
        <v>1</v>
      </c>
      <c r="DQ30" s="227">
        <v>1</v>
      </c>
      <c r="DR30" s="227">
        <v>1</v>
      </c>
      <c r="DS30" s="227">
        <v>1</v>
      </c>
      <c r="DT30" s="227">
        <v>1</v>
      </c>
      <c r="DU30" s="227">
        <v>1</v>
      </c>
      <c r="DV30" s="227">
        <v>1</v>
      </c>
      <c r="DW30" s="227">
        <v>1</v>
      </c>
      <c r="DX30" s="228">
        <v>1</v>
      </c>
      <c r="DY30" s="307">
        <v>1</v>
      </c>
      <c r="DZ30" s="91">
        <v>1</v>
      </c>
      <c r="EA30" s="91">
        <v>1</v>
      </c>
      <c r="EB30" s="91">
        <v>1</v>
      </c>
      <c r="EC30" s="91">
        <v>1</v>
      </c>
      <c r="ED30" s="91">
        <v>1</v>
      </c>
      <c r="EE30" s="91">
        <v>1</v>
      </c>
      <c r="EF30" s="91">
        <v>1</v>
      </c>
      <c r="EG30" s="91">
        <v>1</v>
      </c>
      <c r="EH30" s="91">
        <v>1</v>
      </c>
      <c r="EI30" s="238">
        <v>1</v>
      </c>
      <c r="EJ30" s="238">
        <v>1</v>
      </c>
      <c r="EK30" s="238">
        <v>1</v>
      </c>
      <c r="EL30" s="238">
        <v>1</v>
      </c>
      <c r="EM30" s="238">
        <v>1</v>
      </c>
      <c r="EN30" s="238">
        <v>1</v>
      </c>
      <c r="EO30" s="238">
        <v>1</v>
      </c>
      <c r="EP30" s="238">
        <v>1</v>
      </c>
      <c r="EQ30" s="238">
        <v>1</v>
      </c>
      <c r="ER30" s="238">
        <v>1</v>
      </c>
      <c r="ES30" s="350">
        <f t="shared" si="14"/>
        <v>0</v>
      </c>
      <c r="ET30" s="350">
        <f t="shared" si="2"/>
        <v>10</v>
      </c>
      <c r="EU30" s="350">
        <f t="shared" si="3"/>
        <v>8</v>
      </c>
      <c r="EV30" s="350">
        <f t="shared" si="4"/>
        <v>10</v>
      </c>
      <c r="EW30" s="350">
        <f t="shared" si="15"/>
        <v>10</v>
      </c>
      <c r="EX30" s="350">
        <f t="shared" si="16"/>
        <v>10</v>
      </c>
      <c r="EY30" s="350">
        <f t="shared" si="5"/>
        <v>10</v>
      </c>
      <c r="EZ30" s="350">
        <f t="shared" si="6"/>
        <v>0</v>
      </c>
      <c r="FA30" s="350">
        <f t="shared" si="7"/>
        <v>10</v>
      </c>
      <c r="FB30" s="350">
        <f t="shared" si="8"/>
        <v>10</v>
      </c>
      <c r="FC30" s="350">
        <f t="shared" si="9"/>
        <v>10</v>
      </c>
      <c r="FD30" s="350">
        <f t="shared" si="10"/>
        <v>10</v>
      </c>
      <c r="FE30" s="350">
        <f t="shared" si="11"/>
        <v>10</v>
      </c>
      <c r="FF30" s="350">
        <f t="shared" si="17"/>
        <v>10</v>
      </c>
      <c r="FG30" s="349">
        <f t="shared" si="18"/>
        <v>28</v>
      </c>
      <c r="FH30" s="319">
        <f t="shared" si="12"/>
        <v>118</v>
      </c>
      <c r="FI30" s="319">
        <f>SUM(I7:ER7)-SUM(ES30:FF30)</f>
        <v>10</v>
      </c>
      <c r="FJ30" s="319">
        <f t="shared" si="13"/>
        <v>128</v>
      </c>
      <c r="FK30" s="7"/>
    </row>
    <row r="31" spans="1:167" ht="15.75" customHeight="1">
      <c r="A31" s="2"/>
      <c r="B31" s="3">
        <f t="shared" si="0"/>
        <v>1</v>
      </c>
      <c r="C31" s="347">
        <v>24</v>
      </c>
      <c r="D31" s="184" t="s">
        <v>81</v>
      </c>
      <c r="E31" s="347"/>
      <c r="F31" s="347"/>
      <c r="G31" s="493">
        <v>45915</v>
      </c>
      <c r="H31" s="494"/>
      <c r="I31" s="214">
        <v>0</v>
      </c>
      <c r="J31" s="207">
        <v>0</v>
      </c>
      <c r="K31" s="207">
        <v>0</v>
      </c>
      <c r="L31" s="207">
        <v>0</v>
      </c>
      <c r="M31" s="207">
        <v>0</v>
      </c>
      <c r="N31" s="207">
        <v>0</v>
      </c>
      <c r="O31" s="207">
        <v>0</v>
      </c>
      <c r="P31" s="207">
        <v>0</v>
      </c>
      <c r="Q31" s="207">
        <v>0</v>
      </c>
      <c r="R31" s="215">
        <v>0</v>
      </c>
      <c r="S31" s="226">
        <v>1</v>
      </c>
      <c r="T31" s="227">
        <v>1</v>
      </c>
      <c r="U31" s="227">
        <v>1</v>
      </c>
      <c r="V31" s="227">
        <v>1</v>
      </c>
      <c r="W31" s="227">
        <v>1</v>
      </c>
      <c r="X31" s="227">
        <v>1</v>
      </c>
      <c r="Y31" s="227">
        <v>1</v>
      </c>
      <c r="Z31" s="227">
        <v>1</v>
      </c>
      <c r="AA31" s="227">
        <v>1</v>
      </c>
      <c r="AB31" s="228">
        <v>1</v>
      </c>
      <c r="AC31" s="258">
        <v>1</v>
      </c>
      <c r="AD31" s="178">
        <v>1</v>
      </c>
      <c r="AE31" s="178">
        <v>1</v>
      </c>
      <c r="AF31" s="178">
        <v>1</v>
      </c>
      <c r="AG31" s="530"/>
      <c r="AH31" s="531"/>
      <c r="AI31" s="178">
        <v>0</v>
      </c>
      <c r="AJ31" s="178">
        <v>0</v>
      </c>
      <c r="AK31" s="178">
        <v>1</v>
      </c>
      <c r="AL31" s="202">
        <v>1</v>
      </c>
      <c r="AM31" s="237">
        <v>1</v>
      </c>
      <c r="AN31" s="238">
        <v>1</v>
      </c>
      <c r="AO31" s="238">
        <v>1</v>
      </c>
      <c r="AP31" s="238">
        <v>1</v>
      </c>
      <c r="AQ31" s="238">
        <v>1</v>
      </c>
      <c r="AR31" s="238">
        <v>1</v>
      </c>
      <c r="AS31" s="238">
        <v>1</v>
      </c>
      <c r="AT31" s="238">
        <v>1</v>
      </c>
      <c r="AU31" s="238">
        <v>1</v>
      </c>
      <c r="AV31" s="273">
        <v>1</v>
      </c>
      <c r="AW31" s="295">
        <v>1</v>
      </c>
      <c r="AX31" s="296">
        <v>1</v>
      </c>
      <c r="AY31" s="296">
        <v>1</v>
      </c>
      <c r="AZ31" s="296">
        <v>1</v>
      </c>
      <c r="BA31" s="296">
        <v>1</v>
      </c>
      <c r="BB31" s="296">
        <v>1</v>
      </c>
      <c r="BC31" s="296">
        <v>1</v>
      </c>
      <c r="BD31" s="296">
        <v>1</v>
      </c>
      <c r="BE31" s="296">
        <v>1</v>
      </c>
      <c r="BF31" s="297">
        <v>1</v>
      </c>
      <c r="BG31" s="214">
        <v>1</v>
      </c>
      <c r="BH31" s="207">
        <v>1</v>
      </c>
      <c r="BI31" s="207">
        <v>1</v>
      </c>
      <c r="BJ31" s="207">
        <v>1</v>
      </c>
      <c r="BK31" s="207">
        <v>1</v>
      </c>
      <c r="BL31" s="207">
        <v>1</v>
      </c>
      <c r="BM31" s="207">
        <v>1</v>
      </c>
      <c r="BN31" s="207">
        <v>1</v>
      </c>
      <c r="BO31" s="207">
        <v>1</v>
      </c>
      <c r="BP31" s="215">
        <v>1</v>
      </c>
      <c r="BQ31" s="249">
        <v>1</v>
      </c>
      <c r="BR31" s="227">
        <v>1</v>
      </c>
      <c r="BS31" s="227">
        <v>1</v>
      </c>
      <c r="BT31" s="227">
        <v>1</v>
      </c>
      <c r="BU31" s="227">
        <v>1</v>
      </c>
      <c r="BV31" s="227">
        <v>1</v>
      </c>
      <c r="BW31" s="227">
        <v>1</v>
      </c>
      <c r="BX31" s="227">
        <v>1</v>
      </c>
      <c r="BY31" s="227">
        <v>1</v>
      </c>
      <c r="BZ31" s="247">
        <v>1</v>
      </c>
      <c r="CA31" s="537"/>
      <c r="CB31" s="538"/>
      <c r="CC31" s="538"/>
      <c r="CD31" s="538"/>
      <c r="CE31" s="538"/>
      <c r="CF31" s="538"/>
      <c r="CG31" s="538"/>
      <c r="CH31" s="538"/>
      <c r="CI31" s="538"/>
      <c r="CJ31" s="539"/>
      <c r="CK31" s="240">
        <v>1</v>
      </c>
      <c r="CL31" s="238">
        <v>1</v>
      </c>
      <c r="CM31" s="238">
        <v>1</v>
      </c>
      <c r="CN31" s="238">
        <v>1</v>
      </c>
      <c r="CO31" s="238">
        <v>1</v>
      </c>
      <c r="CP31" s="238">
        <v>1</v>
      </c>
      <c r="CQ31" s="238">
        <v>1</v>
      </c>
      <c r="CR31" s="238">
        <v>1</v>
      </c>
      <c r="CS31" s="238">
        <v>1</v>
      </c>
      <c r="CT31" s="239">
        <v>1</v>
      </c>
      <c r="CU31" s="295">
        <v>1</v>
      </c>
      <c r="CV31" s="296">
        <v>1</v>
      </c>
      <c r="CW31" s="296">
        <v>1</v>
      </c>
      <c r="CX31" s="296">
        <v>1</v>
      </c>
      <c r="CY31" s="296">
        <v>1</v>
      </c>
      <c r="CZ31" s="296">
        <v>1</v>
      </c>
      <c r="DA31" s="296">
        <v>1</v>
      </c>
      <c r="DB31" s="296">
        <v>1</v>
      </c>
      <c r="DC31" s="296">
        <v>1</v>
      </c>
      <c r="DD31" s="297">
        <v>1</v>
      </c>
      <c r="DE31" s="214">
        <v>1</v>
      </c>
      <c r="DF31" s="207">
        <v>1</v>
      </c>
      <c r="DG31" s="207">
        <v>1</v>
      </c>
      <c r="DH31" s="207">
        <v>1</v>
      </c>
      <c r="DI31" s="207">
        <v>1</v>
      </c>
      <c r="DJ31" s="207">
        <v>1</v>
      </c>
      <c r="DK31" s="207">
        <v>1</v>
      </c>
      <c r="DL31" s="207">
        <v>1</v>
      </c>
      <c r="DM31" s="207">
        <v>1</v>
      </c>
      <c r="DN31" s="215">
        <v>1</v>
      </c>
      <c r="DO31" s="226">
        <v>1</v>
      </c>
      <c r="DP31" s="227">
        <v>1</v>
      </c>
      <c r="DQ31" s="227">
        <v>1</v>
      </c>
      <c r="DR31" s="227">
        <v>1</v>
      </c>
      <c r="DS31" s="227">
        <v>1</v>
      </c>
      <c r="DT31" s="227">
        <v>1</v>
      </c>
      <c r="DU31" s="227">
        <v>1</v>
      </c>
      <c r="DV31" s="227">
        <v>1</v>
      </c>
      <c r="DW31" s="227">
        <v>1</v>
      </c>
      <c r="DX31" s="228">
        <v>1</v>
      </c>
      <c r="DY31" s="307">
        <v>1</v>
      </c>
      <c r="DZ31" s="91">
        <v>1</v>
      </c>
      <c r="EA31" s="91">
        <v>1</v>
      </c>
      <c r="EB31" s="91">
        <v>1</v>
      </c>
      <c r="EC31" s="91">
        <v>1</v>
      </c>
      <c r="ED31" s="91">
        <v>1</v>
      </c>
      <c r="EE31" s="91">
        <v>1</v>
      </c>
      <c r="EF31" s="91">
        <v>1</v>
      </c>
      <c r="EG31" s="91">
        <v>1</v>
      </c>
      <c r="EH31" s="91">
        <v>1</v>
      </c>
      <c r="EI31" s="238">
        <v>1</v>
      </c>
      <c r="EJ31" s="238">
        <v>1</v>
      </c>
      <c r="EK31" s="238">
        <v>1</v>
      </c>
      <c r="EL31" s="238">
        <v>1</v>
      </c>
      <c r="EM31" s="238">
        <v>1</v>
      </c>
      <c r="EN31" s="238">
        <v>1</v>
      </c>
      <c r="EO31" s="238">
        <v>1</v>
      </c>
      <c r="EP31" s="238">
        <v>1</v>
      </c>
      <c r="EQ31" s="238">
        <v>1</v>
      </c>
      <c r="ER31" s="238">
        <v>1</v>
      </c>
      <c r="ES31" s="350">
        <f t="shared" si="14"/>
        <v>10</v>
      </c>
      <c r="ET31" s="350">
        <f t="shared" si="2"/>
        <v>10</v>
      </c>
      <c r="EU31" s="350">
        <f t="shared" si="3"/>
        <v>6</v>
      </c>
      <c r="EV31" s="350">
        <f t="shared" si="4"/>
        <v>10</v>
      </c>
      <c r="EW31" s="350">
        <f t="shared" si="15"/>
        <v>10</v>
      </c>
      <c r="EX31" s="350">
        <f t="shared" si="16"/>
        <v>10</v>
      </c>
      <c r="EY31" s="350">
        <f t="shared" si="5"/>
        <v>10</v>
      </c>
      <c r="EZ31" s="350">
        <f t="shared" si="6"/>
        <v>0</v>
      </c>
      <c r="FA31" s="350">
        <f t="shared" si="7"/>
        <v>10</v>
      </c>
      <c r="FB31" s="350">
        <f t="shared" si="8"/>
        <v>10</v>
      </c>
      <c r="FC31" s="350">
        <f t="shared" si="9"/>
        <v>10</v>
      </c>
      <c r="FD31" s="350">
        <f t="shared" si="10"/>
        <v>10</v>
      </c>
      <c r="FE31" s="350">
        <f t="shared" si="11"/>
        <v>10</v>
      </c>
      <c r="FF31" s="350">
        <f t="shared" si="17"/>
        <v>10</v>
      </c>
      <c r="FG31" s="349">
        <f t="shared" si="18"/>
        <v>29</v>
      </c>
      <c r="FH31" s="319">
        <f t="shared" si="12"/>
        <v>126</v>
      </c>
      <c r="FI31" s="319">
        <f>SUM(I7:ER7)-SUM(ES31:FF31)</f>
        <v>2</v>
      </c>
      <c r="FJ31" s="319">
        <f t="shared" si="13"/>
        <v>128</v>
      </c>
      <c r="FK31" s="7"/>
    </row>
    <row r="32" spans="1:167" ht="15.75" customHeight="1">
      <c r="A32" s="2"/>
      <c r="B32" s="3">
        <f t="shared" si="0"/>
        <v>1</v>
      </c>
      <c r="C32" s="347">
        <v>25</v>
      </c>
      <c r="D32" s="184" t="s">
        <v>82</v>
      </c>
      <c r="E32" s="347"/>
      <c r="F32" s="347"/>
      <c r="G32" s="493">
        <v>45915</v>
      </c>
      <c r="H32" s="494"/>
      <c r="I32" s="214">
        <v>1</v>
      </c>
      <c r="J32" s="207">
        <v>1</v>
      </c>
      <c r="K32" s="207">
        <v>1</v>
      </c>
      <c r="L32" s="207">
        <v>1</v>
      </c>
      <c r="M32" s="207">
        <v>1</v>
      </c>
      <c r="N32" s="207">
        <v>1</v>
      </c>
      <c r="O32" s="207">
        <v>1</v>
      </c>
      <c r="P32" s="207">
        <v>1</v>
      </c>
      <c r="Q32" s="207">
        <v>1</v>
      </c>
      <c r="R32" s="215">
        <v>1</v>
      </c>
      <c r="S32" s="226">
        <v>0</v>
      </c>
      <c r="T32" s="227">
        <v>0</v>
      </c>
      <c r="U32" s="227">
        <v>0</v>
      </c>
      <c r="V32" s="227">
        <v>0</v>
      </c>
      <c r="W32" s="227">
        <v>0</v>
      </c>
      <c r="X32" s="227">
        <v>0</v>
      </c>
      <c r="Y32" s="227">
        <v>0</v>
      </c>
      <c r="Z32" s="227">
        <v>0</v>
      </c>
      <c r="AA32" s="227">
        <v>0</v>
      </c>
      <c r="AB32" s="228">
        <v>0</v>
      </c>
      <c r="AC32" s="258">
        <v>0</v>
      </c>
      <c r="AD32" s="178">
        <v>0</v>
      </c>
      <c r="AE32" s="178">
        <v>0</v>
      </c>
      <c r="AF32" s="178">
        <v>0</v>
      </c>
      <c r="AG32" s="530"/>
      <c r="AH32" s="531"/>
      <c r="AI32" s="178">
        <v>0</v>
      </c>
      <c r="AJ32" s="178">
        <v>0</v>
      </c>
      <c r="AK32" s="178">
        <v>1</v>
      </c>
      <c r="AL32" s="202">
        <v>1</v>
      </c>
      <c r="AM32" s="237">
        <v>1</v>
      </c>
      <c r="AN32" s="238">
        <v>1</v>
      </c>
      <c r="AO32" s="238">
        <v>1</v>
      </c>
      <c r="AP32" s="238">
        <v>1</v>
      </c>
      <c r="AQ32" s="238">
        <v>1</v>
      </c>
      <c r="AR32" s="238">
        <v>1</v>
      </c>
      <c r="AS32" s="238">
        <v>1</v>
      </c>
      <c r="AT32" s="238">
        <v>1</v>
      </c>
      <c r="AU32" s="238">
        <v>1</v>
      </c>
      <c r="AV32" s="273">
        <v>1</v>
      </c>
      <c r="AW32" s="295">
        <v>1</v>
      </c>
      <c r="AX32" s="296">
        <v>1</v>
      </c>
      <c r="AY32" s="296">
        <v>1</v>
      </c>
      <c r="AZ32" s="296">
        <v>1</v>
      </c>
      <c r="BA32" s="296">
        <v>1</v>
      </c>
      <c r="BB32" s="296">
        <v>1</v>
      </c>
      <c r="BC32" s="296">
        <v>1</v>
      </c>
      <c r="BD32" s="296">
        <v>1</v>
      </c>
      <c r="BE32" s="296">
        <v>0</v>
      </c>
      <c r="BF32" s="297">
        <v>0</v>
      </c>
      <c r="BG32" s="214">
        <v>1</v>
      </c>
      <c r="BH32" s="207">
        <v>1</v>
      </c>
      <c r="BI32" s="207">
        <v>1</v>
      </c>
      <c r="BJ32" s="207">
        <v>1</v>
      </c>
      <c r="BK32" s="207">
        <v>1</v>
      </c>
      <c r="BL32" s="207">
        <v>1</v>
      </c>
      <c r="BM32" s="207">
        <v>1</v>
      </c>
      <c r="BN32" s="207">
        <v>1</v>
      </c>
      <c r="BO32" s="207">
        <v>1</v>
      </c>
      <c r="BP32" s="215">
        <v>1</v>
      </c>
      <c r="BQ32" s="249">
        <v>1</v>
      </c>
      <c r="BR32" s="227">
        <v>1</v>
      </c>
      <c r="BS32" s="227">
        <v>0</v>
      </c>
      <c r="BT32" s="227">
        <v>0</v>
      </c>
      <c r="BU32" s="227">
        <v>0</v>
      </c>
      <c r="BV32" s="227">
        <v>0</v>
      </c>
      <c r="BW32" s="227">
        <v>1</v>
      </c>
      <c r="BX32" s="227">
        <v>1</v>
      </c>
      <c r="BY32" s="227">
        <v>0</v>
      </c>
      <c r="BZ32" s="247">
        <v>0</v>
      </c>
      <c r="CA32" s="537"/>
      <c r="CB32" s="538"/>
      <c r="CC32" s="538"/>
      <c r="CD32" s="538"/>
      <c r="CE32" s="538"/>
      <c r="CF32" s="538"/>
      <c r="CG32" s="538"/>
      <c r="CH32" s="538"/>
      <c r="CI32" s="538"/>
      <c r="CJ32" s="539"/>
      <c r="CK32" s="240">
        <v>1</v>
      </c>
      <c r="CL32" s="238">
        <v>1</v>
      </c>
      <c r="CM32" s="238">
        <v>1</v>
      </c>
      <c r="CN32" s="238">
        <v>1</v>
      </c>
      <c r="CO32" s="238">
        <v>1</v>
      </c>
      <c r="CP32" s="238">
        <v>1</v>
      </c>
      <c r="CQ32" s="238">
        <v>1</v>
      </c>
      <c r="CR32" s="238">
        <v>1</v>
      </c>
      <c r="CS32" s="238">
        <v>1</v>
      </c>
      <c r="CT32" s="239">
        <v>1</v>
      </c>
      <c r="CU32" s="295">
        <v>1</v>
      </c>
      <c r="CV32" s="296">
        <v>1</v>
      </c>
      <c r="CW32" s="296">
        <v>1</v>
      </c>
      <c r="CX32" s="296">
        <v>1</v>
      </c>
      <c r="CY32" s="296">
        <v>1</v>
      </c>
      <c r="CZ32" s="296">
        <v>1</v>
      </c>
      <c r="DA32" s="296">
        <v>1</v>
      </c>
      <c r="DB32" s="296">
        <v>1</v>
      </c>
      <c r="DC32" s="296">
        <v>1</v>
      </c>
      <c r="DD32" s="297">
        <v>1</v>
      </c>
      <c r="DE32" s="214">
        <v>1</v>
      </c>
      <c r="DF32" s="207">
        <v>1</v>
      </c>
      <c r="DG32" s="207">
        <v>1</v>
      </c>
      <c r="DH32" s="207">
        <v>1</v>
      </c>
      <c r="DI32" s="207">
        <v>1</v>
      </c>
      <c r="DJ32" s="207">
        <v>1</v>
      </c>
      <c r="DK32" s="207">
        <v>1</v>
      </c>
      <c r="DL32" s="207">
        <v>1</v>
      </c>
      <c r="DM32" s="207">
        <v>1</v>
      </c>
      <c r="DN32" s="215">
        <v>1</v>
      </c>
      <c r="DO32" s="226">
        <v>1</v>
      </c>
      <c r="DP32" s="227">
        <v>1</v>
      </c>
      <c r="DQ32" s="227">
        <v>1</v>
      </c>
      <c r="DR32" s="227">
        <v>1</v>
      </c>
      <c r="DS32" s="227">
        <v>1</v>
      </c>
      <c r="DT32" s="227">
        <v>1</v>
      </c>
      <c r="DU32" s="227">
        <v>1</v>
      </c>
      <c r="DV32" s="227">
        <v>1</v>
      </c>
      <c r="DW32" s="227">
        <v>1</v>
      </c>
      <c r="DX32" s="228">
        <v>1</v>
      </c>
      <c r="DY32" s="307">
        <v>1</v>
      </c>
      <c r="DZ32" s="91">
        <v>1</v>
      </c>
      <c r="EA32" s="91">
        <v>1</v>
      </c>
      <c r="EB32" s="91">
        <v>1</v>
      </c>
      <c r="EC32" s="91">
        <v>1</v>
      </c>
      <c r="ED32" s="91">
        <v>1</v>
      </c>
      <c r="EE32" s="91">
        <v>1</v>
      </c>
      <c r="EF32" s="91">
        <v>1</v>
      </c>
      <c r="EG32" s="91">
        <v>1</v>
      </c>
      <c r="EH32" s="91">
        <v>1</v>
      </c>
      <c r="EI32" s="238">
        <v>1</v>
      </c>
      <c r="EJ32" s="238">
        <v>1</v>
      </c>
      <c r="EK32" s="238">
        <v>1</v>
      </c>
      <c r="EL32" s="238">
        <v>1</v>
      </c>
      <c r="EM32" s="238">
        <v>1</v>
      </c>
      <c r="EN32" s="238">
        <v>1</v>
      </c>
      <c r="EO32" s="238">
        <v>1</v>
      </c>
      <c r="EP32" s="238">
        <v>1</v>
      </c>
      <c r="EQ32" s="238">
        <v>1</v>
      </c>
      <c r="ER32" s="238">
        <v>1</v>
      </c>
      <c r="ES32" s="350">
        <f t="shared" si="14"/>
        <v>0</v>
      </c>
      <c r="ET32" s="350">
        <f t="shared" si="2"/>
        <v>0</v>
      </c>
      <c r="EU32" s="350">
        <f t="shared" si="3"/>
        <v>2</v>
      </c>
      <c r="EV32" s="350">
        <f t="shared" si="4"/>
        <v>10</v>
      </c>
      <c r="EW32" s="350">
        <f t="shared" si="15"/>
        <v>10</v>
      </c>
      <c r="EX32" s="350">
        <f t="shared" si="16"/>
        <v>10</v>
      </c>
      <c r="EY32" s="350">
        <f t="shared" si="5"/>
        <v>4</v>
      </c>
      <c r="EZ32" s="350">
        <f t="shared" si="6"/>
        <v>0</v>
      </c>
      <c r="FA32" s="350">
        <f t="shared" si="7"/>
        <v>10</v>
      </c>
      <c r="FB32" s="350">
        <f t="shared" si="8"/>
        <v>10</v>
      </c>
      <c r="FC32" s="350">
        <f t="shared" si="9"/>
        <v>10</v>
      </c>
      <c r="FD32" s="350">
        <f t="shared" si="10"/>
        <v>10</v>
      </c>
      <c r="FE32" s="350">
        <f t="shared" si="11"/>
        <v>10</v>
      </c>
      <c r="FF32" s="350">
        <f t="shared" si="17"/>
        <v>10</v>
      </c>
      <c r="FG32" s="349">
        <f t="shared" si="18"/>
        <v>30</v>
      </c>
      <c r="FH32" s="319">
        <f t="shared" si="12"/>
        <v>96</v>
      </c>
      <c r="FI32" s="319">
        <f>SUM(I7:ER7)-SUM(ES32:FF32)</f>
        <v>32</v>
      </c>
      <c r="FJ32" s="319">
        <f t="shared" si="13"/>
        <v>128</v>
      </c>
      <c r="FK32" s="7"/>
    </row>
    <row r="33" spans="1:167" ht="15.75" customHeight="1">
      <c r="A33" s="2"/>
      <c r="B33" s="3">
        <f t="shared" si="0"/>
        <v>1</v>
      </c>
      <c r="C33" s="347">
        <v>26</v>
      </c>
      <c r="D33" s="184" t="s">
        <v>83</v>
      </c>
      <c r="E33" s="347"/>
      <c r="F33" s="347"/>
      <c r="G33" s="493">
        <v>45915</v>
      </c>
      <c r="H33" s="494"/>
      <c r="I33" s="214">
        <v>0</v>
      </c>
      <c r="J33" s="207">
        <v>0</v>
      </c>
      <c r="K33" s="207">
        <v>0</v>
      </c>
      <c r="L33" s="207">
        <v>0</v>
      </c>
      <c r="M33" s="207">
        <v>0</v>
      </c>
      <c r="N33" s="207">
        <v>0</v>
      </c>
      <c r="O33" s="207">
        <v>0</v>
      </c>
      <c r="P33" s="207">
        <v>0</v>
      </c>
      <c r="Q33" s="207">
        <v>0</v>
      </c>
      <c r="R33" s="215">
        <v>0</v>
      </c>
      <c r="S33" s="226">
        <v>0</v>
      </c>
      <c r="T33" s="227">
        <v>0</v>
      </c>
      <c r="U33" s="227">
        <v>0</v>
      </c>
      <c r="V33" s="227">
        <v>0</v>
      </c>
      <c r="W33" s="227">
        <v>0</v>
      </c>
      <c r="X33" s="227">
        <v>0</v>
      </c>
      <c r="Y33" s="227">
        <v>0</v>
      </c>
      <c r="Z33" s="227">
        <v>0</v>
      </c>
      <c r="AA33" s="227">
        <v>0</v>
      </c>
      <c r="AB33" s="228">
        <v>0</v>
      </c>
      <c r="AC33" s="258">
        <v>0</v>
      </c>
      <c r="AD33" s="178">
        <v>0</v>
      </c>
      <c r="AE33" s="178">
        <v>0</v>
      </c>
      <c r="AF33" s="178">
        <v>0</v>
      </c>
      <c r="AG33" s="530"/>
      <c r="AH33" s="531"/>
      <c r="AI33" s="178">
        <v>1</v>
      </c>
      <c r="AJ33" s="178">
        <v>1</v>
      </c>
      <c r="AK33" s="178">
        <v>1</v>
      </c>
      <c r="AL33" s="202">
        <v>1</v>
      </c>
      <c r="AM33" s="237">
        <v>1</v>
      </c>
      <c r="AN33" s="238">
        <v>1</v>
      </c>
      <c r="AO33" s="238">
        <v>1</v>
      </c>
      <c r="AP33" s="238">
        <v>1</v>
      </c>
      <c r="AQ33" s="238">
        <v>1</v>
      </c>
      <c r="AR33" s="238">
        <v>1</v>
      </c>
      <c r="AS33" s="238">
        <v>1</v>
      </c>
      <c r="AT33" s="238">
        <v>1</v>
      </c>
      <c r="AU33" s="238">
        <v>0</v>
      </c>
      <c r="AV33" s="273">
        <v>0</v>
      </c>
      <c r="AW33" s="295">
        <v>0</v>
      </c>
      <c r="AX33" s="296">
        <v>0</v>
      </c>
      <c r="AY33" s="296">
        <v>1</v>
      </c>
      <c r="AZ33" s="296">
        <v>1</v>
      </c>
      <c r="BA33" s="296">
        <v>1</v>
      </c>
      <c r="BB33" s="296">
        <v>1</v>
      </c>
      <c r="BC33" s="296">
        <v>1</v>
      </c>
      <c r="BD33" s="296">
        <v>1</v>
      </c>
      <c r="BE33" s="296">
        <v>1</v>
      </c>
      <c r="BF33" s="297">
        <v>1</v>
      </c>
      <c r="BG33" s="214">
        <v>1</v>
      </c>
      <c r="BH33" s="207">
        <v>1</v>
      </c>
      <c r="BI33" s="207">
        <v>1</v>
      </c>
      <c r="BJ33" s="207">
        <v>1</v>
      </c>
      <c r="BK33" s="207">
        <v>1</v>
      </c>
      <c r="BL33" s="207">
        <v>1</v>
      </c>
      <c r="BM33" s="207">
        <v>1</v>
      </c>
      <c r="BN33" s="207">
        <v>1</v>
      </c>
      <c r="BO33" s="207">
        <v>1</v>
      </c>
      <c r="BP33" s="215">
        <v>1</v>
      </c>
      <c r="BQ33" s="249">
        <v>1</v>
      </c>
      <c r="BR33" s="227">
        <v>1</v>
      </c>
      <c r="BS33" s="227">
        <v>1</v>
      </c>
      <c r="BT33" s="227">
        <v>1</v>
      </c>
      <c r="BU33" s="227">
        <v>1</v>
      </c>
      <c r="BV33" s="227">
        <v>1</v>
      </c>
      <c r="BW33" s="227">
        <v>1</v>
      </c>
      <c r="BX33" s="227">
        <v>1</v>
      </c>
      <c r="BY33" s="227">
        <v>1</v>
      </c>
      <c r="BZ33" s="247">
        <v>1</v>
      </c>
      <c r="CA33" s="537"/>
      <c r="CB33" s="538"/>
      <c r="CC33" s="538"/>
      <c r="CD33" s="538"/>
      <c r="CE33" s="538"/>
      <c r="CF33" s="538"/>
      <c r="CG33" s="538"/>
      <c r="CH33" s="538"/>
      <c r="CI33" s="538"/>
      <c r="CJ33" s="539"/>
      <c r="CK33" s="240">
        <v>1</v>
      </c>
      <c r="CL33" s="238">
        <v>1</v>
      </c>
      <c r="CM33" s="238">
        <v>1</v>
      </c>
      <c r="CN33" s="238">
        <v>1</v>
      </c>
      <c r="CO33" s="238">
        <v>1</v>
      </c>
      <c r="CP33" s="238">
        <v>1</v>
      </c>
      <c r="CQ33" s="238">
        <v>1</v>
      </c>
      <c r="CR33" s="238">
        <v>1</v>
      </c>
      <c r="CS33" s="238">
        <v>1</v>
      </c>
      <c r="CT33" s="239">
        <v>1</v>
      </c>
      <c r="CU33" s="295">
        <v>0</v>
      </c>
      <c r="CV33" s="296">
        <v>0</v>
      </c>
      <c r="CW33" s="296">
        <v>0</v>
      </c>
      <c r="CX33" s="296">
        <v>0</v>
      </c>
      <c r="CY33" s="296">
        <v>1</v>
      </c>
      <c r="CZ33" s="296">
        <v>1</v>
      </c>
      <c r="DA33" s="296">
        <v>0</v>
      </c>
      <c r="DB33" s="296">
        <v>0</v>
      </c>
      <c r="DC33" s="296">
        <v>1</v>
      </c>
      <c r="DD33" s="297">
        <v>1</v>
      </c>
      <c r="DE33" s="214">
        <v>0</v>
      </c>
      <c r="DF33" s="207">
        <v>0</v>
      </c>
      <c r="DG33" s="207">
        <v>0</v>
      </c>
      <c r="DH33" s="207">
        <v>0</v>
      </c>
      <c r="DI33" s="207">
        <v>0</v>
      </c>
      <c r="DJ33" s="207">
        <v>0</v>
      </c>
      <c r="DK33" s="207">
        <v>1</v>
      </c>
      <c r="DL33" s="207">
        <v>1</v>
      </c>
      <c r="DM33" s="207">
        <v>1</v>
      </c>
      <c r="DN33" s="215">
        <v>1</v>
      </c>
      <c r="DO33" s="226">
        <v>1</v>
      </c>
      <c r="DP33" s="227">
        <v>1</v>
      </c>
      <c r="DQ33" s="227">
        <v>1</v>
      </c>
      <c r="DR33" s="227">
        <v>1</v>
      </c>
      <c r="DS33" s="227">
        <v>1</v>
      </c>
      <c r="DT33" s="227">
        <v>1</v>
      </c>
      <c r="DU33" s="227">
        <v>1</v>
      </c>
      <c r="DV33" s="227">
        <v>1</v>
      </c>
      <c r="DW33" s="227">
        <v>1</v>
      </c>
      <c r="DX33" s="228">
        <v>1</v>
      </c>
      <c r="DY33" s="307">
        <v>1</v>
      </c>
      <c r="DZ33" s="91">
        <v>1</v>
      </c>
      <c r="EA33" s="91">
        <v>1</v>
      </c>
      <c r="EB33" s="91">
        <v>1</v>
      </c>
      <c r="EC33" s="91">
        <v>1</v>
      </c>
      <c r="ED33" s="91">
        <v>1</v>
      </c>
      <c r="EE33" s="91">
        <v>1</v>
      </c>
      <c r="EF33" s="91">
        <v>1</v>
      </c>
      <c r="EG33" s="91">
        <v>1</v>
      </c>
      <c r="EH33" s="91">
        <v>1</v>
      </c>
      <c r="EI33" s="238">
        <v>1</v>
      </c>
      <c r="EJ33" s="238">
        <v>1</v>
      </c>
      <c r="EK33" s="238">
        <v>1</v>
      </c>
      <c r="EL33" s="238">
        <v>1</v>
      </c>
      <c r="EM33" s="238">
        <v>1</v>
      </c>
      <c r="EN33" s="238">
        <v>1</v>
      </c>
      <c r="EO33" s="238">
        <v>1</v>
      </c>
      <c r="EP33" s="238">
        <v>1</v>
      </c>
      <c r="EQ33" s="238">
        <v>1</v>
      </c>
      <c r="ER33" s="238">
        <v>1</v>
      </c>
      <c r="ES33" s="350">
        <f t="shared" si="14"/>
        <v>0</v>
      </c>
      <c r="ET33" s="350">
        <f t="shared" si="2"/>
        <v>0</v>
      </c>
      <c r="EU33" s="350">
        <f t="shared" si="3"/>
        <v>4</v>
      </c>
      <c r="EV33" s="350">
        <f t="shared" si="4"/>
        <v>8</v>
      </c>
      <c r="EW33" s="350">
        <f t="shared" si="15"/>
        <v>10</v>
      </c>
      <c r="EX33" s="350">
        <f t="shared" si="16"/>
        <v>10</v>
      </c>
      <c r="EY33" s="350">
        <f t="shared" si="5"/>
        <v>10</v>
      </c>
      <c r="EZ33" s="350">
        <f t="shared" si="6"/>
        <v>0</v>
      </c>
      <c r="FA33" s="350">
        <f t="shared" si="7"/>
        <v>10</v>
      </c>
      <c r="FB33" s="350">
        <f t="shared" si="8"/>
        <v>4</v>
      </c>
      <c r="FC33" s="350">
        <f t="shared" si="9"/>
        <v>4</v>
      </c>
      <c r="FD33" s="350">
        <f t="shared" si="10"/>
        <v>10</v>
      </c>
      <c r="FE33" s="350">
        <f t="shared" si="11"/>
        <v>10</v>
      </c>
      <c r="FF33" s="350">
        <f t="shared" si="17"/>
        <v>10</v>
      </c>
      <c r="FG33" s="349">
        <f t="shared" si="18"/>
        <v>31</v>
      </c>
      <c r="FH33" s="319">
        <f t="shared" si="12"/>
        <v>90</v>
      </c>
      <c r="FI33" s="319">
        <f>SUM(I7:ER7)-SUM(ES33:FF33)</f>
        <v>38</v>
      </c>
      <c r="FJ33" s="319">
        <f t="shared" si="13"/>
        <v>128</v>
      </c>
      <c r="FK33" s="7"/>
    </row>
    <row r="34" spans="1:167" ht="15.75" customHeight="1">
      <c r="A34" s="2"/>
      <c r="B34" s="3">
        <f t="shared" si="0"/>
        <v>1</v>
      </c>
      <c r="C34" s="347">
        <v>27</v>
      </c>
      <c r="D34" s="184" t="s">
        <v>84</v>
      </c>
      <c r="E34" s="347"/>
      <c r="F34" s="347"/>
      <c r="G34" s="493">
        <v>45915</v>
      </c>
      <c r="H34" s="494"/>
      <c r="I34" s="214">
        <v>0</v>
      </c>
      <c r="J34" s="207">
        <v>0</v>
      </c>
      <c r="K34" s="207">
        <v>0</v>
      </c>
      <c r="L34" s="207">
        <v>0</v>
      </c>
      <c r="M34" s="207">
        <v>0</v>
      </c>
      <c r="N34" s="207">
        <v>0</v>
      </c>
      <c r="O34" s="207">
        <v>0</v>
      </c>
      <c r="P34" s="207">
        <v>0</v>
      </c>
      <c r="Q34" s="207">
        <v>0</v>
      </c>
      <c r="R34" s="215">
        <v>0</v>
      </c>
      <c r="S34" s="226">
        <v>0</v>
      </c>
      <c r="T34" s="227">
        <v>0</v>
      </c>
      <c r="U34" s="227">
        <v>0</v>
      </c>
      <c r="V34" s="227">
        <v>0</v>
      </c>
      <c r="W34" s="227">
        <v>0</v>
      </c>
      <c r="X34" s="227">
        <v>0</v>
      </c>
      <c r="Y34" s="227">
        <v>0</v>
      </c>
      <c r="Z34" s="227">
        <v>0</v>
      </c>
      <c r="AA34" s="227">
        <v>0</v>
      </c>
      <c r="AB34" s="228">
        <v>0</v>
      </c>
      <c r="AC34" s="258">
        <v>0</v>
      </c>
      <c r="AD34" s="178">
        <v>0</v>
      </c>
      <c r="AE34" s="178">
        <v>0</v>
      </c>
      <c r="AF34" s="178">
        <v>0</v>
      </c>
      <c r="AG34" s="530"/>
      <c r="AH34" s="531"/>
      <c r="AI34" s="178">
        <v>1</v>
      </c>
      <c r="AJ34" s="178">
        <v>1</v>
      </c>
      <c r="AK34" s="178">
        <v>1</v>
      </c>
      <c r="AL34" s="202">
        <v>1</v>
      </c>
      <c r="AM34" s="237">
        <v>1</v>
      </c>
      <c r="AN34" s="238">
        <v>1</v>
      </c>
      <c r="AO34" s="238">
        <v>1</v>
      </c>
      <c r="AP34" s="238">
        <v>1</v>
      </c>
      <c r="AQ34" s="238">
        <v>1</v>
      </c>
      <c r="AR34" s="238">
        <v>1</v>
      </c>
      <c r="AS34" s="238">
        <v>1</v>
      </c>
      <c r="AT34" s="238">
        <v>1</v>
      </c>
      <c r="AU34" s="238">
        <v>1</v>
      </c>
      <c r="AV34" s="273">
        <v>1</v>
      </c>
      <c r="AW34" s="295">
        <v>1</v>
      </c>
      <c r="AX34" s="296">
        <v>1</v>
      </c>
      <c r="AY34" s="296">
        <v>1</v>
      </c>
      <c r="AZ34" s="296">
        <v>1</v>
      </c>
      <c r="BA34" s="296">
        <v>1</v>
      </c>
      <c r="BB34" s="296">
        <v>1</v>
      </c>
      <c r="BC34" s="296">
        <v>0</v>
      </c>
      <c r="BD34" s="296">
        <v>0</v>
      </c>
      <c r="BE34" s="296">
        <v>1</v>
      </c>
      <c r="BF34" s="297">
        <v>1</v>
      </c>
      <c r="BG34" s="214">
        <v>1</v>
      </c>
      <c r="BH34" s="207">
        <v>1</v>
      </c>
      <c r="BI34" s="207">
        <v>0</v>
      </c>
      <c r="BJ34" s="207">
        <v>0</v>
      </c>
      <c r="BK34" s="207">
        <v>1</v>
      </c>
      <c r="BL34" s="207">
        <v>1</v>
      </c>
      <c r="BM34" s="207">
        <v>1</v>
      </c>
      <c r="BN34" s="207">
        <v>1</v>
      </c>
      <c r="BO34" s="207">
        <v>0</v>
      </c>
      <c r="BP34" s="215">
        <v>0</v>
      </c>
      <c r="BQ34" s="249">
        <v>1</v>
      </c>
      <c r="BR34" s="227">
        <v>1</v>
      </c>
      <c r="BS34" s="227">
        <v>1</v>
      </c>
      <c r="BT34" s="227">
        <v>1</v>
      </c>
      <c r="BU34" s="227">
        <v>1</v>
      </c>
      <c r="BV34" s="227">
        <v>1</v>
      </c>
      <c r="BW34" s="227">
        <v>1</v>
      </c>
      <c r="BX34" s="227">
        <v>1</v>
      </c>
      <c r="BY34" s="227">
        <v>1</v>
      </c>
      <c r="BZ34" s="247">
        <v>1</v>
      </c>
      <c r="CA34" s="537"/>
      <c r="CB34" s="538"/>
      <c r="CC34" s="538"/>
      <c r="CD34" s="538"/>
      <c r="CE34" s="538"/>
      <c r="CF34" s="538"/>
      <c r="CG34" s="538"/>
      <c r="CH34" s="538"/>
      <c r="CI34" s="538"/>
      <c r="CJ34" s="539"/>
      <c r="CK34" s="240">
        <v>1</v>
      </c>
      <c r="CL34" s="238">
        <v>1</v>
      </c>
      <c r="CM34" s="238">
        <v>1</v>
      </c>
      <c r="CN34" s="238">
        <v>1</v>
      </c>
      <c r="CO34" s="238">
        <v>1</v>
      </c>
      <c r="CP34" s="238">
        <v>1</v>
      </c>
      <c r="CQ34" s="238">
        <v>1</v>
      </c>
      <c r="CR34" s="238">
        <v>1</v>
      </c>
      <c r="CS34" s="238">
        <v>1</v>
      </c>
      <c r="CT34" s="239">
        <v>1</v>
      </c>
      <c r="CU34" s="295">
        <v>1</v>
      </c>
      <c r="CV34" s="296">
        <v>1</v>
      </c>
      <c r="CW34" s="296">
        <v>1</v>
      </c>
      <c r="CX34" s="296">
        <v>1</v>
      </c>
      <c r="CY34" s="296">
        <v>1</v>
      </c>
      <c r="CZ34" s="296">
        <v>1</v>
      </c>
      <c r="DA34" s="296">
        <v>1</v>
      </c>
      <c r="DB34" s="296">
        <v>1</v>
      </c>
      <c r="DC34" s="296">
        <v>1</v>
      </c>
      <c r="DD34" s="297">
        <v>1</v>
      </c>
      <c r="DE34" s="214">
        <v>1</v>
      </c>
      <c r="DF34" s="207">
        <v>1</v>
      </c>
      <c r="DG34" s="207">
        <v>1</v>
      </c>
      <c r="DH34" s="207">
        <v>1</v>
      </c>
      <c r="DI34" s="207">
        <v>1</v>
      </c>
      <c r="DJ34" s="207">
        <v>1</v>
      </c>
      <c r="DK34" s="207">
        <v>1</v>
      </c>
      <c r="DL34" s="207">
        <v>1</v>
      </c>
      <c r="DM34" s="207">
        <v>1</v>
      </c>
      <c r="DN34" s="215">
        <v>1</v>
      </c>
      <c r="DO34" s="226">
        <v>1</v>
      </c>
      <c r="DP34" s="227">
        <v>1</v>
      </c>
      <c r="DQ34" s="227">
        <v>1</v>
      </c>
      <c r="DR34" s="227">
        <v>1</v>
      </c>
      <c r="DS34" s="227">
        <v>1</v>
      </c>
      <c r="DT34" s="227">
        <v>1</v>
      </c>
      <c r="DU34" s="227">
        <v>1</v>
      </c>
      <c r="DV34" s="227">
        <v>1</v>
      </c>
      <c r="DW34" s="227">
        <v>1</v>
      </c>
      <c r="DX34" s="228">
        <v>1</v>
      </c>
      <c r="DY34" s="307">
        <v>1</v>
      </c>
      <c r="DZ34" s="91">
        <v>1</v>
      </c>
      <c r="EA34" s="91">
        <v>1</v>
      </c>
      <c r="EB34" s="91">
        <v>1</v>
      </c>
      <c r="EC34" s="91">
        <v>1</v>
      </c>
      <c r="ED34" s="91">
        <v>1</v>
      </c>
      <c r="EE34" s="91">
        <v>1</v>
      </c>
      <c r="EF34" s="91">
        <v>1</v>
      </c>
      <c r="EG34" s="91">
        <v>1</v>
      </c>
      <c r="EH34" s="91">
        <v>1</v>
      </c>
      <c r="EI34" s="238">
        <v>1</v>
      </c>
      <c r="EJ34" s="238">
        <v>1</v>
      </c>
      <c r="EK34" s="238">
        <v>1</v>
      </c>
      <c r="EL34" s="238">
        <v>1</v>
      </c>
      <c r="EM34" s="238">
        <v>1</v>
      </c>
      <c r="EN34" s="238">
        <v>1</v>
      </c>
      <c r="EO34" s="238">
        <v>1</v>
      </c>
      <c r="EP34" s="238">
        <v>1</v>
      </c>
      <c r="EQ34" s="238">
        <v>1</v>
      </c>
      <c r="ER34" s="238">
        <v>1</v>
      </c>
      <c r="ES34" s="350">
        <f t="shared" si="14"/>
        <v>0</v>
      </c>
      <c r="ET34" s="350">
        <f t="shared" si="2"/>
        <v>0</v>
      </c>
      <c r="EU34" s="350">
        <f t="shared" si="3"/>
        <v>4</v>
      </c>
      <c r="EV34" s="350">
        <f t="shared" si="4"/>
        <v>10</v>
      </c>
      <c r="EW34" s="350">
        <f t="shared" si="15"/>
        <v>6</v>
      </c>
      <c r="EX34" s="350">
        <f t="shared" si="16"/>
        <v>6</v>
      </c>
      <c r="EY34" s="350">
        <f t="shared" si="5"/>
        <v>10</v>
      </c>
      <c r="EZ34" s="350">
        <f t="shared" si="6"/>
        <v>0</v>
      </c>
      <c r="FA34" s="350">
        <f t="shared" si="7"/>
        <v>10</v>
      </c>
      <c r="FB34" s="350">
        <f t="shared" si="8"/>
        <v>10</v>
      </c>
      <c r="FC34" s="350">
        <f t="shared" si="9"/>
        <v>10</v>
      </c>
      <c r="FD34" s="350">
        <f t="shared" si="10"/>
        <v>10</v>
      </c>
      <c r="FE34" s="350">
        <f t="shared" si="11"/>
        <v>10</v>
      </c>
      <c r="FF34" s="350">
        <f t="shared" si="17"/>
        <v>10</v>
      </c>
      <c r="FG34" s="349">
        <f t="shared" si="18"/>
        <v>32</v>
      </c>
      <c r="FH34" s="319">
        <f t="shared" si="12"/>
        <v>96</v>
      </c>
      <c r="FI34" s="319">
        <f>SUM(I7:ER7)-SUM(ES34:FF34)</f>
        <v>32</v>
      </c>
      <c r="FJ34" s="319">
        <f t="shared" si="13"/>
        <v>128</v>
      </c>
      <c r="FK34" s="7"/>
    </row>
    <row r="35" spans="1:167" ht="15.75" customHeight="1">
      <c r="A35" s="2"/>
      <c r="B35" s="3">
        <f t="shared" si="0"/>
        <v>1</v>
      </c>
      <c r="C35" s="347">
        <v>28</v>
      </c>
      <c r="D35" s="184" t="s">
        <v>85</v>
      </c>
      <c r="E35" s="347"/>
      <c r="F35" s="347"/>
      <c r="G35" s="493">
        <v>45915</v>
      </c>
      <c r="H35" s="494"/>
      <c r="I35" s="214">
        <v>0</v>
      </c>
      <c r="J35" s="207">
        <v>0</v>
      </c>
      <c r="K35" s="207">
        <v>0</v>
      </c>
      <c r="L35" s="207">
        <v>0</v>
      </c>
      <c r="M35" s="207">
        <v>0</v>
      </c>
      <c r="N35" s="207">
        <v>0</v>
      </c>
      <c r="O35" s="207">
        <v>0</v>
      </c>
      <c r="P35" s="207">
        <v>0</v>
      </c>
      <c r="Q35" s="207">
        <v>0</v>
      </c>
      <c r="R35" s="215">
        <v>0</v>
      </c>
      <c r="S35" s="226">
        <v>0</v>
      </c>
      <c r="T35" s="227">
        <v>0</v>
      </c>
      <c r="U35" s="227">
        <v>0</v>
      </c>
      <c r="V35" s="227">
        <v>0</v>
      </c>
      <c r="W35" s="227">
        <v>0</v>
      </c>
      <c r="X35" s="227">
        <v>0</v>
      </c>
      <c r="Y35" s="227">
        <v>0</v>
      </c>
      <c r="Z35" s="227">
        <v>0</v>
      </c>
      <c r="AA35" s="227">
        <v>0</v>
      </c>
      <c r="AB35" s="228">
        <v>0</v>
      </c>
      <c r="AC35" s="258">
        <v>0</v>
      </c>
      <c r="AD35" s="178">
        <v>0</v>
      </c>
      <c r="AE35" s="178">
        <v>0</v>
      </c>
      <c r="AF35" s="178">
        <v>0</v>
      </c>
      <c r="AG35" s="530"/>
      <c r="AH35" s="531"/>
      <c r="AI35" s="178">
        <v>0</v>
      </c>
      <c r="AJ35" s="178">
        <v>0</v>
      </c>
      <c r="AK35" s="178">
        <v>1</v>
      </c>
      <c r="AL35" s="202">
        <v>1</v>
      </c>
      <c r="AM35" s="237">
        <v>1</v>
      </c>
      <c r="AN35" s="238">
        <v>1</v>
      </c>
      <c r="AO35" s="238">
        <v>1</v>
      </c>
      <c r="AP35" s="238">
        <v>1</v>
      </c>
      <c r="AQ35" s="238">
        <v>1</v>
      </c>
      <c r="AR35" s="238">
        <v>1</v>
      </c>
      <c r="AS35" s="238">
        <v>1</v>
      </c>
      <c r="AT35" s="238">
        <v>1</v>
      </c>
      <c r="AU35" s="238">
        <v>1</v>
      </c>
      <c r="AV35" s="273">
        <v>1</v>
      </c>
      <c r="AW35" s="295">
        <v>1</v>
      </c>
      <c r="AX35" s="296">
        <v>1</v>
      </c>
      <c r="AY35" s="296">
        <v>1</v>
      </c>
      <c r="AZ35" s="296">
        <v>1</v>
      </c>
      <c r="BA35" s="296">
        <v>1</v>
      </c>
      <c r="BB35" s="296">
        <v>1</v>
      </c>
      <c r="BC35" s="296">
        <v>1</v>
      </c>
      <c r="BD35" s="296">
        <v>1</v>
      </c>
      <c r="BE35" s="296">
        <v>1</v>
      </c>
      <c r="BF35" s="297">
        <v>1</v>
      </c>
      <c r="BG35" s="214">
        <v>1</v>
      </c>
      <c r="BH35" s="207">
        <v>1</v>
      </c>
      <c r="BI35" s="207">
        <v>1</v>
      </c>
      <c r="BJ35" s="207">
        <v>1</v>
      </c>
      <c r="BK35" s="207">
        <v>1</v>
      </c>
      <c r="BL35" s="207">
        <v>1</v>
      </c>
      <c r="BM35" s="207">
        <v>1</v>
      </c>
      <c r="BN35" s="207">
        <v>1</v>
      </c>
      <c r="BO35" s="207">
        <v>1</v>
      </c>
      <c r="BP35" s="215">
        <v>1</v>
      </c>
      <c r="BQ35" s="249">
        <v>1</v>
      </c>
      <c r="BR35" s="227">
        <v>1</v>
      </c>
      <c r="BS35" s="227">
        <v>1</v>
      </c>
      <c r="BT35" s="227">
        <v>1</v>
      </c>
      <c r="BU35" s="227">
        <v>1</v>
      </c>
      <c r="BV35" s="227">
        <v>1</v>
      </c>
      <c r="BW35" s="227">
        <v>1</v>
      </c>
      <c r="BX35" s="227">
        <v>1</v>
      </c>
      <c r="BY35" s="227">
        <v>1</v>
      </c>
      <c r="BZ35" s="247">
        <v>1</v>
      </c>
      <c r="CA35" s="537"/>
      <c r="CB35" s="538"/>
      <c r="CC35" s="538"/>
      <c r="CD35" s="538"/>
      <c r="CE35" s="538"/>
      <c r="CF35" s="538"/>
      <c r="CG35" s="538"/>
      <c r="CH35" s="538"/>
      <c r="CI35" s="538"/>
      <c r="CJ35" s="539"/>
      <c r="CK35" s="240">
        <v>1</v>
      </c>
      <c r="CL35" s="238">
        <v>1</v>
      </c>
      <c r="CM35" s="238">
        <v>1</v>
      </c>
      <c r="CN35" s="238">
        <v>1</v>
      </c>
      <c r="CO35" s="238">
        <v>1</v>
      </c>
      <c r="CP35" s="238">
        <v>1</v>
      </c>
      <c r="CQ35" s="238">
        <v>1</v>
      </c>
      <c r="CR35" s="238">
        <v>1</v>
      </c>
      <c r="CS35" s="238">
        <v>1</v>
      </c>
      <c r="CT35" s="239">
        <v>1</v>
      </c>
      <c r="CU35" s="295">
        <v>1</v>
      </c>
      <c r="CV35" s="296">
        <v>1</v>
      </c>
      <c r="CW35" s="296">
        <v>1</v>
      </c>
      <c r="CX35" s="296">
        <v>1</v>
      </c>
      <c r="CY35" s="296">
        <v>1</v>
      </c>
      <c r="CZ35" s="296">
        <v>1</v>
      </c>
      <c r="DA35" s="296">
        <v>1</v>
      </c>
      <c r="DB35" s="296">
        <v>1</v>
      </c>
      <c r="DC35" s="296">
        <v>1</v>
      </c>
      <c r="DD35" s="297">
        <v>1</v>
      </c>
      <c r="DE35" s="214">
        <v>1</v>
      </c>
      <c r="DF35" s="207">
        <v>1</v>
      </c>
      <c r="DG35" s="207">
        <v>1</v>
      </c>
      <c r="DH35" s="207">
        <v>1</v>
      </c>
      <c r="DI35" s="207">
        <v>1</v>
      </c>
      <c r="DJ35" s="207">
        <v>1</v>
      </c>
      <c r="DK35" s="207">
        <v>1</v>
      </c>
      <c r="DL35" s="207">
        <v>1</v>
      </c>
      <c r="DM35" s="207">
        <v>1</v>
      </c>
      <c r="DN35" s="215">
        <v>1</v>
      </c>
      <c r="DO35" s="226">
        <v>1</v>
      </c>
      <c r="DP35" s="227">
        <v>1</v>
      </c>
      <c r="DQ35" s="227">
        <v>1</v>
      </c>
      <c r="DR35" s="227">
        <v>1</v>
      </c>
      <c r="DS35" s="227">
        <v>1</v>
      </c>
      <c r="DT35" s="227">
        <v>1</v>
      </c>
      <c r="DU35" s="227">
        <v>1</v>
      </c>
      <c r="DV35" s="227">
        <v>1</v>
      </c>
      <c r="DW35" s="227">
        <v>1</v>
      </c>
      <c r="DX35" s="228">
        <v>1</v>
      </c>
      <c r="DY35" s="307">
        <v>1</v>
      </c>
      <c r="DZ35" s="91">
        <v>1</v>
      </c>
      <c r="EA35" s="91">
        <v>1</v>
      </c>
      <c r="EB35" s="91">
        <v>1</v>
      </c>
      <c r="EC35" s="91">
        <v>1</v>
      </c>
      <c r="ED35" s="91">
        <v>1</v>
      </c>
      <c r="EE35" s="91">
        <v>1</v>
      </c>
      <c r="EF35" s="91">
        <v>1</v>
      </c>
      <c r="EG35" s="91">
        <v>1</v>
      </c>
      <c r="EH35" s="91">
        <v>1</v>
      </c>
      <c r="EI35" s="238">
        <v>1</v>
      </c>
      <c r="EJ35" s="238">
        <v>1</v>
      </c>
      <c r="EK35" s="238">
        <v>1</v>
      </c>
      <c r="EL35" s="238">
        <v>1</v>
      </c>
      <c r="EM35" s="238">
        <v>1</v>
      </c>
      <c r="EN35" s="238">
        <v>1</v>
      </c>
      <c r="EO35" s="238">
        <v>1</v>
      </c>
      <c r="EP35" s="238">
        <v>1</v>
      </c>
      <c r="EQ35" s="238">
        <v>1</v>
      </c>
      <c r="ER35" s="238">
        <v>1</v>
      </c>
      <c r="ES35" s="350">
        <f t="shared" si="14"/>
        <v>10</v>
      </c>
      <c r="ET35" s="350">
        <f t="shared" si="2"/>
        <v>0</v>
      </c>
      <c r="EU35" s="350">
        <f t="shared" si="3"/>
        <v>2</v>
      </c>
      <c r="EV35" s="350">
        <f t="shared" si="4"/>
        <v>10</v>
      </c>
      <c r="EW35" s="350">
        <f t="shared" si="15"/>
        <v>10</v>
      </c>
      <c r="EX35" s="350">
        <f t="shared" si="16"/>
        <v>10</v>
      </c>
      <c r="EY35" s="350">
        <f t="shared" si="5"/>
        <v>10</v>
      </c>
      <c r="EZ35" s="350">
        <f t="shared" si="6"/>
        <v>0</v>
      </c>
      <c r="FA35" s="350">
        <f t="shared" si="7"/>
        <v>10</v>
      </c>
      <c r="FB35" s="350">
        <f t="shared" si="8"/>
        <v>10</v>
      </c>
      <c r="FC35" s="350">
        <f t="shared" si="9"/>
        <v>10</v>
      </c>
      <c r="FD35" s="350">
        <f t="shared" si="10"/>
        <v>10</v>
      </c>
      <c r="FE35" s="350">
        <f t="shared" si="11"/>
        <v>10</v>
      </c>
      <c r="FF35" s="350">
        <f t="shared" si="17"/>
        <v>10</v>
      </c>
      <c r="FG35" s="349">
        <f t="shared" si="18"/>
        <v>33</v>
      </c>
      <c r="FH35" s="319">
        <f t="shared" si="12"/>
        <v>112</v>
      </c>
      <c r="FI35" s="319">
        <f>SUM(I7:ER7)-SUM(ES35:FF35)</f>
        <v>16</v>
      </c>
      <c r="FJ35" s="319">
        <f t="shared" si="13"/>
        <v>128</v>
      </c>
      <c r="FK35" s="7"/>
    </row>
    <row r="36" spans="1:167" ht="15.75" customHeight="1">
      <c r="A36" s="2"/>
      <c r="B36" s="3">
        <f t="shared" si="0"/>
        <v>1</v>
      </c>
      <c r="C36" s="347">
        <v>29</v>
      </c>
      <c r="D36" s="184" t="s">
        <v>86</v>
      </c>
      <c r="E36" s="347"/>
      <c r="F36" s="347"/>
      <c r="G36" s="493">
        <v>45915</v>
      </c>
      <c r="H36" s="494"/>
      <c r="I36" s="214">
        <v>1</v>
      </c>
      <c r="J36" s="207">
        <v>1</v>
      </c>
      <c r="K36" s="207">
        <v>1</v>
      </c>
      <c r="L36" s="207">
        <v>1</v>
      </c>
      <c r="M36" s="207">
        <v>1</v>
      </c>
      <c r="N36" s="207">
        <v>1</v>
      </c>
      <c r="O36" s="207">
        <v>1</v>
      </c>
      <c r="P36" s="207">
        <v>1</v>
      </c>
      <c r="Q36" s="207">
        <v>1</v>
      </c>
      <c r="R36" s="215">
        <v>1</v>
      </c>
      <c r="S36" s="226">
        <v>0</v>
      </c>
      <c r="T36" s="227">
        <v>0</v>
      </c>
      <c r="U36" s="227">
        <v>0</v>
      </c>
      <c r="V36" s="227">
        <v>0</v>
      </c>
      <c r="W36" s="227">
        <v>0</v>
      </c>
      <c r="X36" s="227">
        <v>0</v>
      </c>
      <c r="Y36" s="227">
        <v>0</v>
      </c>
      <c r="Z36" s="227">
        <v>0</v>
      </c>
      <c r="AA36" s="227">
        <v>0</v>
      </c>
      <c r="AB36" s="228">
        <v>0</v>
      </c>
      <c r="AC36" s="258">
        <v>0</v>
      </c>
      <c r="AD36" s="178">
        <v>0</v>
      </c>
      <c r="AE36" s="178">
        <v>0</v>
      </c>
      <c r="AF36" s="178">
        <v>0</v>
      </c>
      <c r="AG36" s="530"/>
      <c r="AH36" s="531"/>
      <c r="AI36" s="178">
        <v>0</v>
      </c>
      <c r="AJ36" s="178">
        <v>0</v>
      </c>
      <c r="AK36" s="178">
        <v>0</v>
      </c>
      <c r="AL36" s="202">
        <v>0</v>
      </c>
      <c r="AM36" s="237">
        <v>1</v>
      </c>
      <c r="AN36" s="238">
        <v>1</v>
      </c>
      <c r="AO36" s="238">
        <v>1</v>
      </c>
      <c r="AP36" s="238">
        <v>1</v>
      </c>
      <c r="AQ36" s="238">
        <v>1</v>
      </c>
      <c r="AR36" s="238">
        <v>1</v>
      </c>
      <c r="AS36" s="238">
        <v>1</v>
      </c>
      <c r="AT36" s="238">
        <v>1</v>
      </c>
      <c r="AU36" s="238">
        <v>1</v>
      </c>
      <c r="AV36" s="273">
        <v>1</v>
      </c>
      <c r="AW36" s="295">
        <v>1</v>
      </c>
      <c r="AX36" s="296">
        <v>1</v>
      </c>
      <c r="AY36" s="296">
        <v>1</v>
      </c>
      <c r="AZ36" s="296">
        <v>1</v>
      </c>
      <c r="BA36" s="296">
        <v>1</v>
      </c>
      <c r="BB36" s="296">
        <v>1</v>
      </c>
      <c r="BC36" s="296">
        <v>1</v>
      </c>
      <c r="BD36" s="296">
        <v>1</v>
      </c>
      <c r="BE36" s="296">
        <v>1</v>
      </c>
      <c r="BF36" s="297">
        <v>1</v>
      </c>
      <c r="BG36" s="214">
        <v>1</v>
      </c>
      <c r="BH36" s="207">
        <v>1</v>
      </c>
      <c r="BI36" s="207">
        <v>1</v>
      </c>
      <c r="BJ36" s="207">
        <v>1</v>
      </c>
      <c r="BK36" s="207">
        <v>1</v>
      </c>
      <c r="BL36" s="207">
        <v>1</v>
      </c>
      <c r="BM36" s="207">
        <v>1</v>
      </c>
      <c r="BN36" s="207">
        <v>1</v>
      </c>
      <c r="BO36" s="207">
        <v>1</v>
      </c>
      <c r="BP36" s="215">
        <v>1</v>
      </c>
      <c r="BQ36" s="249">
        <v>1</v>
      </c>
      <c r="BR36" s="227">
        <v>1</v>
      </c>
      <c r="BS36" s="227">
        <v>1</v>
      </c>
      <c r="BT36" s="227">
        <v>1</v>
      </c>
      <c r="BU36" s="227">
        <v>1</v>
      </c>
      <c r="BV36" s="227">
        <v>1</v>
      </c>
      <c r="BW36" s="227">
        <v>1</v>
      </c>
      <c r="BX36" s="227">
        <v>1</v>
      </c>
      <c r="BY36" s="227">
        <v>1</v>
      </c>
      <c r="BZ36" s="247">
        <v>1</v>
      </c>
      <c r="CA36" s="537"/>
      <c r="CB36" s="538"/>
      <c r="CC36" s="538"/>
      <c r="CD36" s="538"/>
      <c r="CE36" s="538"/>
      <c r="CF36" s="538"/>
      <c r="CG36" s="538"/>
      <c r="CH36" s="538"/>
      <c r="CI36" s="538"/>
      <c r="CJ36" s="539"/>
      <c r="CK36" s="240">
        <v>1</v>
      </c>
      <c r="CL36" s="238">
        <v>1</v>
      </c>
      <c r="CM36" s="238">
        <v>1</v>
      </c>
      <c r="CN36" s="238">
        <v>1</v>
      </c>
      <c r="CO36" s="238">
        <v>1</v>
      </c>
      <c r="CP36" s="238">
        <v>1</v>
      </c>
      <c r="CQ36" s="238">
        <v>1</v>
      </c>
      <c r="CR36" s="238">
        <v>1</v>
      </c>
      <c r="CS36" s="238">
        <v>1</v>
      </c>
      <c r="CT36" s="239">
        <v>1</v>
      </c>
      <c r="CU36" s="295">
        <v>1</v>
      </c>
      <c r="CV36" s="296">
        <v>1</v>
      </c>
      <c r="CW36" s="296">
        <v>1</v>
      </c>
      <c r="CX36" s="296">
        <v>1</v>
      </c>
      <c r="CY36" s="296">
        <v>1</v>
      </c>
      <c r="CZ36" s="296">
        <v>1</v>
      </c>
      <c r="DA36" s="296">
        <v>1</v>
      </c>
      <c r="DB36" s="296">
        <v>1</v>
      </c>
      <c r="DC36" s="296">
        <v>1</v>
      </c>
      <c r="DD36" s="297">
        <v>1</v>
      </c>
      <c r="DE36" s="214">
        <v>1</v>
      </c>
      <c r="DF36" s="207">
        <v>1</v>
      </c>
      <c r="DG36" s="207">
        <v>1</v>
      </c>
      <c r="DH36" s="207">
        <v>1</v>
      </c>
      <c r="DI36" s="207">
        <v>1</v>
      </c>
      <c r="DJ36" s="207">
        <v>1</v>
      </c>
      <c r="DK36" s="207">
        <v>1</v>
      </c>
      <c r="DL36" s="207">
        <v>1</v>
      </c>
      <c r="DM36" s="207">
        <v>1</v>
      </c>
      <c r="DN36" s="215">
        <v>1</v>
      </c>
      <c r="DO36" s="226">
        <v>1</v>
      </c>
      <c r="DP36" s="227">
        <v>1</v>
      </c>
      <c r="DQ36" s="227">
        <v>1</v>
      </c>
      <c r="DR36" s="227">
        <v>1</v>
      </c>
      <c r="DS36" s="227">
        <v>1</v>
      </c>
      <c r="DT36" s="227">
        <v>1</v>
      </c>
      <c r="DU36" s="227">
        <v>1</v>
      </c>
      <c r="DV36" s="227">
        <v>1</v>
      </c>
      <c r="DW36" s="227">
        <v>1</v>
      </c>
      <c r="DX36" s="228">
        <v>1</v>
      </c>
      <c r="DY36" s="307">
        <v>1</v>
      </c>
      <c r="DZ36" s="91">
        <v>1</v>
      </c>
      <c r="EA36" s="91">
        <v>1</v>
      </c>
      <c r="EB36" s="91">
        <v>1</v>
      </c>
      <c r="EC36" s="91">
        <v>1</v>
      </c>
      <c r="ED36" s="91">
        <v>1</v>
      </c>
      <c r="EE36" s="91">
        <v>1</v>
      </c>
      <c r="EF36" s="91">
        <v>1</v>
      </c>
      <c r="EG36" s="91">
        <v>1</v>
      </c>
      <c r="EH36" s="91">
        <v>1</v>
      </c>
      <c r="EI36" s="238">
        <v>1</v>
      </c>
      <c r="EJ36" s="238">
        <v>1</v>
      </c>
      <c r="EK36" s="238">
        <v>1</v>
      </c>
      <c r="EL36" s="238">
        <v>1</v>
      </c>
      <c r="EM36" s="238">
        <v>1</v>
      </c>
      <c r="EN36" s="238">
        <v>1</v>
      </c>
      <c r="EO36" s="238">
        <v>1</v>
      </c>
      <c r="EP36" s="238">
        <v>1</v>
      </c>
      <c r="EQ36" s="238">
        <v>1</v>
      </c>
      <c r="ER36" s="238">
        <v>1</v>
      </c>
      <c r="ES36" s="350">
        <f t="shared" si="14"/>
        <v>10</v>
      </c>
      <c r="ET36" s="350">
        <f t="shared" si="2"/>
        <v>0</v>
      </c>
      <c r="EU36" s="350">
        <f t="shared" si="3"/>
        <v>0</v>
      </c>
      <c r="EV36" s="350">
        <f t="shared" si="4"/>
        <v>10</v>
      </c>
      <c r="EW36" s="350">
        <f t="shared" si="15"/>
        <v>10</v>
      </c>
      <c r="EX36" s="350">
        <f t="shared" si="16"/>
        <v>10</v>
      </c>
      <c r="EY36" s="350">
        <f t="shared" si="5"/>
        <v>10</v>
      </c>
      <c r="EZ36" s="350">
        <f t="shared" si="6"/>
        <v>0</v>
      </c>
      <c r="FA36" s="350">
        <f t="shared" si="7"/>
        <v>10</v>
      </c>
      <c r="FB36" s="350">
        <f t="shared" si="8"/>
        <v>10</v>
      </c>
      <c r="FC36" s="350">
        <f t="shared" si="9"/>
        <v>10</v>
      </c>
      <c r="FD36" s="350">
        <f t="shared" si="10"/>
        <v>10</v>
      </c>
      <c r="FE36" s="350">
        <f t="shared" si="11"/>
        <v>10</v>
      </c>
      <c r="FF36" s="350">
        <f t="shared" si="17"/>
        <v>10</v>
      </c>
      <c r="FG36" s="349">
        <f t="shared" si="18"/>
        <v>34</v>
      </c>
      <c r="FH36" s="319">
        <f t="shared" si="12"/>
        <v>110</v>
      </c>
      <c r="FI36" s="319">
        <f>SUM(I7:ER7)-SUM(ES36:FF36)</f>
        <v>18</v>
      </c>
      <c r="FJ36" s="319">
        <f t="shared" si="13"/>
        <v>128</v>
      </c>
      <c r="FK36" s="7"/>
    </row>
    <row r="37" spans="1:167" ht="15.75" customHeight="1">
      <c r="A37" s="2"/>
      <c r="B37" s="3">
        <f t="shared" si="0"/>
        <v>1</v>
      </c>
      <c r="C37" s="347">
        <v>30</v>
      </c>
      <c r="D37" s="184" t="s">
        <v>87</v>
      </c>
      <c r="E37" s="347"/>
      <c r="F37" s="347"/>
      <c r="G37" s="493">
        <v>45915</v>
      </c>
      <c r="H37" s="494"/>
      <c r="I37" s="214">
        <v>1</v>
      </c>
      <c r="J37" s="207">
        <v>1</v>
      </c>
      <c r="K37" s="207">
        <v>1</v>
      </c>
      <c r="L37" s="207">
        <v>1</v>
      </c>
      <c r="M37" s="207">
        <v>1</v>
      </c>
      <c r="N37" s="207">
        <v>1</v>
      </c>
      <c r="O37" s="207">
        <v>1</v>
      </c>
      <c r="P37" s="207">
        <v>1</v>
      </c>
      <c r="Q37" s="207">
        <v>1</v>
      </c>
      <c r="R37" s="215">
        <v>1</v>
      </c>
      <c r="S37" s="226">
        <v>0</v>
      </c>
      <c r="T37" s="227">
        <v>0</v>
      </c>
      <c r="U37" s="227">
        <v>0</v>
      </c>
      <c r="V37" s="227">
        <v>0</v>
      </c>
      <c r="W37" s="227">
        <v>0</v>
      </c>
      <c r="X37" s="227">
        <v>0</v>
      </c>
      <c r="Y37" s="227">
        <v>0</v>
      </c>
      <c r="Z37" s="227">
        <v>0</v>
      </c>
      <c r="AA37" s="227">
        <v>0</v>
      </c>
      <c r="AB37" s="228">
        <v>0</v>
      </c>
      <c r="AC37" s="258">
        <v>0</v>
      </c>
      <c r="AD37" s="178">
        <v>0</v>
      </c>
      <c r="AE37" s="178">
        <v>0</v>
      </c>
      <c r="AF37" s="178">
        <v>0</v>
      </c>
      <c r="AG37" s="530"/>
      <c r="AH37" s="531"/>
      <c r="AI37" s="178">
        <v>0</v>
      </c>
      <c r="AJ37" s="178">
        <v>0</v>
      </c>
      <c r="AK37" s="178">
        <v>0</v>
      </c>
      <c r="AL37" s="202">
        <v>0</v>
      </c>
      <c r="AM37" s="237">
        <v>1</v>
      </c>
      <c r="AN37" s="238">
        <v>1</v>
      </c>
      <c r="AO37" s="238">
        <v>0</v>
      </c>
      <c r="AP37" s="238">
        <v>0</v>
      </c>
      <c r="AQ37" s="238">
        <v>1</v>
      </c>
      <c r="AR37" s="238">
        <v>1</v>
      </c>
      <c r="AS37" s="238">
        <v>1</v>
      </c>
      <c r="AT37" s="238">
        <v>1</v>
      </c>
      <c r="AU37" s="238">
        <v>1</v>
      </c>
      <c r="AV37" s="273">
        <v>1</v>
      </c>
      <c r="AW37" s="295">
        <v>1</v>
      </c>
      <c r="AX37" s="296">
        <v>1</v>
      </c>
      <c r="AY37" s="296">
        <v>1</v>
      </c>
      <c r="AZ37" s="296">
        <v>1</v>
      </c>
      <c r="BA37" s="296">
        <v>1</v>
      </c>
      <c r="BB37" s="296">
        <v>1</v>
      </c>
      <c r="BC37" s="296">
        <v>1</v>
      </c>
      <c r="BD37" s="296">
        <v>1</v>
      </c>
      <c r="BE37" s="296">
        <v>1</v>
      </c>
      <c r="BF37" s="297">
        <v>1</v>
      </c>
      <c r="BG37" s="214">
        <v>1</v>
      </c>
      <c r="BH37" s="207">
        <v>1</v>
      </c>
      <c r="BI37" s="207">
        <v>1</v>
      </c>
      <c r="BJ37" s="207">
        <v>1</v>
      </c>
      <c r="BK37" s="207">
        <v>1</v>
      </c>
      <c r="BL37" s="207">
        <v>1</v>
      </c>
      <c r="BM37" s="207">
        <v>1</v>
      </c>
      <c r="BN37" s="207">
        <v>1</v>
      </c>
      <c r="BO37" s="207">
        <v>1</v>
      </c>
      <c r="BP37" s="215">
        <v>1</v>
      </c>
      <c r="BQ37" s="249">
        <v>1</v>
      </c>
      <c r="BR37" s="227">
        <v>1</v>
      </c>
      <c r="BS37" s="227">
        <v>1</v>
      </c>
      <c r="BT37" s="227">
        <v>1</v>
      </c>
      <c r="BU37" s="227">
        <v>1</v>
      </c>
      <c r="BV37" s="227">
        <v>1</v>
      </c>
      <c r="BW37" s="227">
        <v>1</v>
      </c>
      <c r="BX37" s="227">
        <v>1</v>
      </c>
      <c r="BY37" s="227">
        <v>1</v>
      </c>
      <c r="BZ37" s="247">
        <v>1</v>
      </c>
      <c r="CA37" s="537"/>
      <c r="CB37" s="538"/>
      <c r="CC37" s="538"/>
      <c r="CD37" s="538"/>
      <c r="CE37" s="538"/>
      <c r="CF37" s="538"/>
      <c r="CG37" s="538"/>
      <c r="CH37" s="538"/>
      <c r="CI37" s="538"/>
      <c r="CJ37" s="539"/>
      <c r="CK37" s="240">
        <v>1</v>
      </c>
      <c r="CL37" s="238">
        <v>1</v>
      </c>
      <c r="CM37" s="238">
        <v>1</v>
      </c>
      <c r="CN37" s="238">
        <v>1</v>
      </c>
      <c r="CO37" s="238">
        <v>1</v>
      </c>
      <c r="CP37" s="238">
        <v>1</v>
      </c>
      <c r="CQ37" s="238">
        <v>1</v>
      </c>
      <c r="CR37" s="238">
        <v>1</v>
      </c>
      <c r="CS37" s="238">
        <v>1</v>
      </c>
      <c r="CT37" s="239">
        <v>1</v>
      </c>
      <c r="CU37" s="295">
        <v>1</v>
      </c>
      <c r="CV37" s="296">
        <v>1</v>
      </c>
      <c r="CW37" s="296">
        <v>1</v>
      </c>
      <c r="CX37" s="296">
        <v>1</v>
      </c>
      <c r="CY37" s="296">
        <v>1</v>
      </c>
      <c r="CZ37" s="296">
        <v>1</v>
      </c>
      <c r="DA37" s="296">
        <v>1</v>
      </c>
      <c r="DB37" s="296">
        <v>1</v>
      </c>
      <c r="DC37" s="296">
        <v>1</v>
      </c>
      <c r="DD37" s="297">
        <v>1</v>
      </c>
      <c r="DE37" s="214">
        <v>1</v>
      </c>
      <c r="DF37" s="207">
        <v>1</v>
      </c>
      <c r="DG37" s="207">
        <v>1</v>
      </c>
      <c r="DH37" s="207">
        <v>1</v>
      </c>
      <c r="DI37" s="207">
        <v>1</v>
      </c>
      <c r="DJ37" s="207">
        <v>1</v>
      </c>
      <c r="DK37" s="207">
        <v>1</v>
      </c>
      <c r="DL37" s="207">
        <v>1</v>
      </c>
      <c r="DM37" s="207">
        <v>1</v>
      </c>
      <c r="DN37" s="215">
        <v>1</v>
      </c>
      <c r="DO37" s="226">
        <v>1</v>
      </c>
      <c r="DP37" s="227">
        <v>1</v>
      </c>
      <c r="DQ37" s="227">
        <v>1</v>
      </c>
      <c r="DR37" s="227">
        <v>1</v>
      </c>
      <c r="DS37" s="227">
        <v>1</v>
      </c>
      <c r="DT37" s="227">
        <v>1</v>
      </c>
      <c r="DU37" s="227">
        <v>1</v>
      </c>
      <c r="DV37" s="227">
        <v>1</v>
      </c>
      <c r="DW37" s="227">
        <v>1</v>
      </c>
      <c r="DX37" s="228">
        <v>1</v>
      </c>
      <c r="DY37" s="307">
        <v>1</v>
      </c>
      <c r="DZ37" s="91">
        <v>1</v>
      </c>
      <c r="EA37" s="91">
        <v>1</v>
      </c>
      <c r="EB37" s="91">
        <v>1</v>
      </c>
      <c r="EC37" s="91">
        <v>1</v>
      </c>
      <c r="ED37" s="91">
        <v>1</v>
      </c>
      <c r="EE37" s="91">
        <v>1</v>
      </c>
      <c r="EF37" s="91">
        <v>1</v>
      </c>
      <c r="EG37" s="91">
        <v>1</v>
      </c>
      <c r="EH37" s="91">
        <v>1</v>
      </c>
      <c r="EI37" s="238">
        <v>1</v>
      </c>
      <c r="EJ37" s="238">
        <v>1</v>
      </c>
      <c r="EK37" s="238">
        <v>1</v>
      </c>
      <c r="EL37" s="238">
        <v>1</v>
      </c>
      <c r="EM37" s="238">
        <v>1</v>
      </c>
      <c r="EN37" s="238">
        <v>1</v>
      </c>
      <c r="EO37" s="238">
        <v>1</v>
      </c>
      <c r="EP37" s="238">
        <v>1</v>
      </c>
      <c r="EQ37" s="238">
        <v>1</v>
      </c>
      <c r="ER37" s="238">
        <v>1</v>
      </c>
      <c r="ES37" s="350">
        <f t="shared" si="14"/>
        <v>0</v>
      </c>
      <c r="ET37" s="350">
        <f t="shared" si="2"/>
        <v>0</v>
      </c>
      <c r="EU37" s="350">
        <f t="shared" si="3"/>
        <v>0</v>
      </c>
      <c r="EV37" s="350">
        <f t="shared" si="4"/>
        <v>8</v>
      </c>
      <c r="EW37" s="350">
        <f t="shared" si="15"/>
        <v>10</v>
      </c>
      <c r="EX37" s="350">
        <f t="shared" si="16"/>
        <v>10</v>
      </c>
      <c r="EY37" s="350">
        <f t="shared" si="5"/>
        <v>10</v>
      </c>
      <c r="EZ37" s="350">
        <f t="shared" si="6"/>
        <v>0</v>
      </c>
      <c r="FA37" s="350">
        <f t="shared" si="7"/>
        <v>10</v>
      </c>
      <c r="FB37" s="350">
        <f t="shared" si="8"/>
        <v>10</v>
      </c>
      <c r="FC37" s="350">
        <f t="shared" si="9"/>
        <v>10</v>
      </c>
      <c r="FD37" s="350">
        <f t="shared" si="10"/>
        <v>10</v>
      </c>
      <c r="FE37" s="350">
        <f t="shared" si="11"/>
        <v>10</v>
      </c>
      <c r="FF37" s="350">
        <f t="shared" si="17"/>
        <v>10</v>
      </c>
      <c r="FG37" s="349">
        <f t="shared" si="18"/>
        <v>35</v>
      </c>
      <c r="FH37" s="319">
        <f t="shared" si="12"/>
        <v>98</v>
      </c>
      <c r="FI37" s="319">
        <f>SUM(I7:ER7)-SUM(ES37:FF37)</f>
        <v>30</v>
      </c>
      <c r="FJ37" s="319">
        <f t="shared" si="13"/>
        <v>128</v>
      </c>
      <c r="FK37" s="7"/>
    </row>
    <row r="38" spans="1:167" ht="15.75" customHeight="1">
      <c r="A38" s="2"/>
      <c r="B38" s="3">
        <f t="shared" si="0"/>
        <v>1</v>
      </c>
      <c r="C38" s="347">
        <v>31</v>
      </c>
      <c r="D38" s="184" t="s">
        <v>88</v>
      </c>
      <c r="E38" s="347"/>
      <c r="F38" s="347"/>
      <c r="G38" s="493">
        <v>45915</v>
      </c>
      <c r="H38" s="494"/>
      <c r="I38" s="214">
        <v>0</v>
      </c>
      <c r="J38" s="207">
        <v>0</v>
      </c>
      <c r="K38" s="207">
        <v>0</v>
      </c>
      <c r="L38" s="207">
        <v>0</v>
      </c>
      <c r="M38" s="207">
        <v>0</v>
      </c>
      <c r="N38" s="207">
        <v>0</v>
      </c>
      <c r="O38" s="207">
        <v>0</v>
      </c>
      <c r="P38" s="207">
        <v>0</v>
      </c>
      <c r="Q38" s="207">
        <v>0</v>
      </c>
      <c r="R38" s="215">
        <v>0</v>
      </c>
      <c r="S38" s="226">
        <v>0</v>
      </c>
      <c r="T38" s="227">
        <v>0</v>
      </c>
      <c r="U38" s="227">
        <v>0</v>
      </c>
      <c r="V38" s="227">
        <v>0</v>
      </c>
      <c r="W38" s="227">
        <v>0</v>
      </c>
      <c r="X38" s="227">
        <v>0</v>
      </c>
      <c r="Y38" s="227">
        <v>0</v>
      </c>
      <c r="Z38" s="227">
        <v>0</v>
      </c>
      <c r="AA38" s="227">
        <v>0</v>
      </c>
      <c r="AB38" s="228">
        <v>0</v>
      </c>
      <c r="AC38" s="258">
        <v>0</v>
      </c>
      <c r="AD38" s="178">
        <v>0</v>
      </c>
      <c r="AE38" s="178">
        <v>0</v>
      </c>
      <c r="AF38" s="178">
        <v>0</v>
      </c>
      <c r="AG38" s="530"/>
      <c r="AH38" s="531"/>
      <c r="AI38" s="178">
        <v>0</v>
      </c>
      <c r="AJ38" s="178">
        <v>0</v>
      </c>
      <c r="AK38" s="178">
        <v>0</v>
      </c>
      <c r="AL38" s="202">
        <v>0</v>
      </c>
      <c r="AM38" s="237">
        <v>0</v>
      </c>
      <c r="AN38" s="238">
        <v>0</v>
      </c>
      <c r="AO38" s="238">
        <v>0</v>
      </c>
      <c r="AP38" s="238">
        <v>0</v>
      </c>
      <c r="AQ38" s="238">
        <v>0</v>
      </c>
      <c r="AR38" s="238">
        <v>0</v>
      </c>
      <c r="AS38" s="238">
        <v>0</v>
      </c>
      <c r="AT38" s="238">
        <v>0</v>
      </c>
      <c r="AU38" s="238">
        <v>0</v>
      </c>
      <c r="AV38" s="273">
        <v>0</v>
      </c>
      <c r="AW38" s="295">
        <v>0</v>
      </c>
      <c r="AX38" s="296">
        <v>0</v>
      </c>
      <c r="AY38" s="296">
        <v>1</v>
      </c>
      <c r="AZ38" s="296">
        <v>1</v>
      </c>
      <c r="BA38" s="296">
        <v>1</v>
      </c>
      <c r="BB38" s="296">
        <v>1</v>
      </c>
      <c r="BC38" s="296">
        <v>1</v>
      </c>
      <c r="BD38" s="296">
        <v>1</v>
      </c>
      <c r="BE38" s="296">
        <v>1</v>
      </c>
      <c r="BF38" s="297">
        <v>1</v>
      </c>
      <c r="BG38" s="214">
        <v>1</v>
      </c>
      <c r="BH38" s="207">
        <v>1</v>
      </c>
      <c r="BI38" s="207">
        <v>1</v>
      </c>
      <c r="BJ38" s="207">
        <v>1</v>
      </c>
      <c r="BK38" s="207">
        <v>1</v>
      </c>
      <c r="BL38" s="207">
        <v>1</v>
      </c>
      <c r="BM38" s="207">
        <v>1</v>
      </c>
      <c r="BN38" s="207">
        <v>1</v>
      </c>
      <c r="BO38" s="207">
        <v>1</v>
      </c>
      <c r="BP38" s="215">
        <v>1</v>
      </c>
      <c r="BQ38" s="249">
        <v>1</v>
      </c>
      <c r="BR38" s="227">
        <v>1</v>
      </c>
      <c r="BS38" s="227">
        <v>1</v>
      </c>
      <c r="BT38" s="227">
        <v>1</v>
      </c>
      <c r="BU38" s="227">
        <v>1</v>
      </c>
      <c r="BV38" s="227">
        <v>1</v>
      </c>
      <c r="BW38" s="227">
        <v>1</v>
      </c>
      <c r="BX38" s="227">
        <v>1</v>
      </c>
      <c r="BY38" s="227">
        <v>1</v>
      </c>
      <c r="BZ38" s="247">
        <v>1</v>
      </c>
      <c r="CA38" s="537"/>
      <c r="CB38" s="538"/>
      <c r="CC38" s="538"/>
      <c r="CD38" s="538"/>
      <c r="CE38" s="538"/>
      <c r="CF38" s="538"/>
      <c r="CG38" s="538"/>
      <c r="CH38" s="538"/>
      <c r="CI38" s="538"/>
      <c r="CJ38" s="539"/>
      <c r="CK38" s="240">
        <v>1</v>
      </c>
      <c r="CL38" s="238">
        <v>1</v>
      </c>
      <c r="CM38" s="238">
        <v>1</v>
      </c>
      <c r="CN38" s="238">
        <v>1</v>
      </c>
      <c r="CO38" s="238">
        <v>1</v>
      </c>
      <c r="CP38" s="238">
        <v>1</v>
      </c>
      <c r="CQ38" s="238">
        <v>1</v>
      </c>
      <c r="CR38" s="238">
        <v>1</v>
      </c>
      <c r="CS38" s="238">
        <v>1</v>
      </c>
      <c r="CT38" s="239">
        <v>1</v>
      </c>
      <c r="CU38" s="295">
        <v>1</v>
      </c>
      <c r="CV38" s="296">
        <v>1</v>
      </c>
      <c r="CW38" s="296">
        <v>1</v>
      </c>
      <c r="CX38" s="296">
        <v>1</v>
      </c>
      <c r="CY38" s="296">
        <v>1</v>
      </c>
      <c r="CZ38" s="296">
        <v>1</v>
      </c>
      <c r="DA38" s="296">
        <v>1</v>
      </c>
      <c r="DB38" s="296">
        <v>1</v>
      </c>
      <c r="DC38" s="296">
        <v>1</v>
      </c>
      <c r="DD38" s="297">
        <v>1</v>
      </c>
      <c r="DE38" s="214">
        <v>1</v>
      </c>
      <c r="DF38" s="207">
        <v>1</v>
      </c>
      <c r="DG38" s="207">
        <v>1</v>
      </c>
      <c r="DH38" s="207">
        <v>1</v>
      </c>
      <c r="DI38" s="207">
        <v>1</v>
      </c>
      <c r="DJ38" s="207">
        <v>1</v>
      </c>
      <c r="DK38" s="207">
        <v>1</v>
      </c>
      <c r="DL38" s="207">
        <v>1</v>
      </c>
      <c r="DM38" s="207">
        <v>1</v>
      </c>
      <c r="DN38" s="215">
        <v>1</v>
      </c>
      <c r="DO38" s="226">
        <v>1</v>
      </c>
      <c r="DP38" s="227">
        <v>1</v>
      </c>
      <c r="DQ38" s="227">
        <v>1</v>
      </c>
      <c r="DR38" s="227">
        <v>1</v>
      </c>
      <c r="DS38" s="227">
        <v>1</v>
      </c>
      <c r="DT38" s="227">
        <v>1</v>
      </c>
      <c r="DU38" s="227">
        <v>1</v>
      </c>
      <c r="DV38" s="227">
        <v>1</v>
      </c>
      <c r="DW38" s="227">
        <v>1</v>
      </c>
      <c r="DX38" s="228">
        <v>1</v>
      </c>
      <c r="DY38" s="307">
        <v>1</v>
      </c>
      <c r="DZ38" s="91">
        <v>1</v>
      </c>
      <c r="EA38" s="91">
        <v>1</v>
      </c>
      <c r="EB38" s="91">
        <v>1</v>
      </c>
      <c r="EC38" s="91">
        <v>1</v>
      </c>
      <c r="ED38" s="91">
        <v>1</v>
      </c>
      <c r="EE38" s="91">
        <v>1</v>
      </c>
      <c r="EF38" s="91">
        <v>1</v>
      </c>
      <c r="EG38" s="91">
        <v>1</v>
      </c>
      <c r="EH38" s="91">
        <v>1</v>
      </c>
      <c r="EI38" s="238">
        <v>1</v>
      </c>
      <c r="EJ38" s="238">
        <v>1</v>
      </c>
      <c r="EK38" s="238">
        <v>1</v>
      </c>
      <c r="EL38" s="238">
        <v>1</v>
      </c>
      <c r="EM38" s="238">
        <v>1</v>
      </c>
      <c r="EN38" s="238">
        <v>1</v>
      </c>
      <c r="EO38" s="238">
        <v>1</v>
      </c>
      <c r="EP38" s="238">
        <v>1</v>
      </c>
      <c r="EQ38" s="238">
        <v>1</v>
      </c>
      <c r="ER38" s="238">
        <v>1</v>
      </c>
      <c r="ES38" s="350">
        <f t="shared" si="14"/>
        <v>0</v>
      </c>
      <c r="ET38" s="350">
        <f t="shared" si="2"/>
        <v>0</v>
      </c>
      <c r="EU38" s="350">
        <f t="shared" si="3"/>
        <v>0</v>
      </c>
      <c r="EV38" s="350">
        <f t="shared" si="4"/>
        <v>0</v>
      </c>
      <c r="EW38" s="350">
        <f t="shared" si="15"/>
        <v>10</v>
      </c>
      <c r="EX38" s="350">
        <f t="shared" si="16"/>
        <v>10</v>
      </c>
      <c r="EY38" s="350">
        <f t="shared" si="5"/>
        <v>10</v>
      </c>
      <c r="EZ38" s="350">
        <f t="shared" si="6"/>
        <v>0</v>
      </c>
      <c r="FA38" s="350">
        <f t="shared" si="7"/>
        <v>10</v>
      </c>
      <c r="FB38" s="350">
        <f t="shared" si="8"/>
        <v>10</v>
      </c>
      <c r="FC38" s="350">
        <f t="shared" si="9"/>
        <v>10</v>
      </c>
      <c r="FD38" s="350">
        <f t="shared" si="10"/>
        <v>10</v>
      </c>
      <c r="FE38" s="350">
        <f t="shared" si="11"/>
        <v>10</v>
      </c>
      <c r="FF38" s="350">
        <f t="shared" si="17"/>
        <v>10</v>
      </c>
      <c r="FG38" s="349">
        <f t="shared" si="18"/>
        <v>36</v>
      </c>
      <c r="FH38" s="319">
        <f t="shared" si="12"/>
        <v>90</v>
      </c>
      <c r="FI38" s="319">
        <f>SUM(I7:ER7)-SUM(ES38:FF38)</f>
        <v>38</v>
      </c>
      <c r="FJ38" s="319">
        <f t="shared" si="13"/>
        <v>128</v>
      </c>
      <c r="FK38" s="7"/>
    </row>
    <row r="39" spans="1:167" ht="15.75" customHeight="1">
      <c r="A39" s="2"/>
      <c r="B39" s="3">
        <f t="shared" si="0"/>
        <v>1</v>
      </c>
      <c r="C39" s="347">
        <v>32</v>
      </c>
      <c r="D39" s="184" t="s">
        <v>89</v>
      </c>
      <c r="E39" s="347"/>
      <c r="F39" s="347"/>
      <c r="G39" s="493">
        <v>45915</v>
      </c>
      <c r="H39" s="494"/>
      <c r="I39" s="214">
        <v>0</v>
      </c>
      <c r="J39" s="207">
        <v>0</v>
      </c>
      <c r="K39" s="207">
        <v>0</v>
      </c>
      <c r="L39" s="207">
        <v>0</v>
      </c>
      <c r="M39" s="207">
        <v>0</v>
      </c>
      <c r="N39" s="207">
        <v>0</v>
      </c>
      <c r="O39" s="207">
        <v>0</v>
      </c>
      <c r="P39" s="207">
        <v>0</v>
      </c>
      <c r="Q39" s="207">
        <v>0</v>
      </c>
      <c r="R39" s="215">
        <v>0</v>
      </c>
      <c r="S39" s="226">
        <v>0</v>
      </c>
      <c r="T39" s="227">
        <v>0</v>
      </c>
      <c r="U39" s="227">
        <v>0</v>
      </c>
      <c r="V39" s="227">
        <v>0</v>
      </c>
      <c r="W39" s="227">
        <v>0</v>
      </c>
      <c r="X39" s="227">
        <v>0</v>
      </c>
      <c r="Y39" s="227">
        <v>0</v>
      </c>
      <c r="Z39" s="227">
        <v>0</v>
      </c>
      <c r="AA39" s="227">
        <v>0</v>
      </c>
      <c r="AB39" s="228">
        <v>0</v>
      </c>
      <c r="AC39" s="258">
        <v>0</v>
      </c>
      <c r="AD39" s="178">
        <v>0</v>
      </c>
      <c r="AE39" s="178">
        <v>0</v>
      </c>
      <c r="AF39" s="178">
        <v>0</v>
      </c>
      <c r="AG39" s="530"/>
      <c r="AH39" s="531"/>
      <c r="AI39" s="178">
        <v>0</v>
      </c>
      <c r="AJ39" s="178">
        <v>0</v>
      </c>
      <c r="AK39" s="178">
        <v>0</v>
      </c>
      <c r="AL39" s="202">
        <v>0</v>
      </c>
      <c r="AM39" s="237">
        <v>0</v>
      </c>
      <c r="AN39" s="238">
        <v>0</v>
      </c>
      <c r="AO39" s="238">
        <v>0</v>
      </c>
      <c r="AP39" s="238">
        <v>0</v>
      </c>
      <c r="AQ39" s="238">
        <v>0</v>
      </c>
      <c r="AR39" s="238">
        <v>0</v>
      </c>
      <c r="AS39" s="238">
        <v>0</v>
      </c>
      <c r="AT39" s="238">
        <v>0</v>
      </c>
      <c r="AU39" s="238">
        <v>0</v>
      </c>
      <c r="AV39" s="273">
        <v>0</v>
      </c>
      <c r="AW39" s="295">
        <v>1</v>
      </c>
      <c r="AX39" s="296">
        <v>1</v>
      </c>
      <c r="AY39" s="296">
        <v>1</v>
      </c>
      <c r="AZ39" s="296">
        <v>1</v>
      </c>
      <c r="BA39" s="296">
        <v>1</v>
      </c>
      <c r="BB39" s="296">
        <v>1</v>
      </c>
      <c r="BC39" s="296">
        <v>0</v>
      </c>
      <c r="BD39" s="296">
        <v>0</v>
      </c>
      <c r="BE39" s="296">
        <v>1</v>
      </c>
      <c r="BF39" s="297">
        <v>1</v>
      </c>
      <c r="BG39" s="214">
        <v>1</v>
      </c>
      <c r="BH39" s="207">
        <v>1</v>
      </c>
      <c r="BI39" s="207">
        <v>1</v>
      </c>
      <c r="BJ39" s="207">
        <v>1</v>
      </c>
      <c r="BK39" s="207">
        <v>1</v>
      </c>
      <c r="BL39" s="207">
        <v>1</v>
      </c>
      <c r="BM39" s="207">
        <v>1</v>
      </c>
      <c r="BN39" s="207">
        <v>1</v>
      </c>
      <c r="BO39" s="207">
        <v>1</v>
      </c>
      <c r="BP39" s="215">
        <v>1</v>
      </c>
      <c r="BQ39" s="249">
        <v>1</v>
      </c>
      <c r="BR39" s="227">
        <v>1</v>
      </c>
      <c r="BS39" s="227">
        <v>1</v>
      </c>
      <c r="BT39" s="227">
        <v>1</v>
      </c>
      <c r="BU39" s="227">
        <v>1</v>
      </c>
      <c r="BV39" s="227">
        <v>1</v>
      </c>
      <c r="BW39" s="227">
        <v>1</v>
      </c>
      <c r="BX39" s="227">
        <v>1</v>
      </c>
      <c r="BY39" s="227">
        <v>1</v>
      </c>
      <c r="BZ39" s="247">
        <v>1</v>
      </c>
      <c r="CA39" s="537"/>
      <c r="CB39" s="538"/>
      <c r="CC39" s="538"/>
      <c r="CD39" s="538"/>
      <c r="CE39" s="538"/>
      <c r="CF39" s="538"/>
      <c r="CG39" s="538"/>
      <c r="CH39" s="538"/>
      <c r="CI39" s="538"/>
      <c r="CJ39" s="539"/>
      <c r="CK39" s="240">
        <v>1</v>
      </c>
      <c r="CL39" s="238">
        <v>1</v>
      </c>
      <c r="CM39" s="238">
        <v>1</v>
      </c>
      <c r="CN39" s="238">
        <v>1</v>
      </c>
      <c r="CO39" s="238">
        <v>1</v>
      </c>
      <c r="CP39" s="238">
        <v>1</v>
      </c>
      <c r="CQ39" s="238">
        <v>1</v>
      </c>
      <c r="CR39" s="238">
        <v>1</v>
      </c>
      <c r="CS39" s="238">
        <v>1</v>
      </c>
      <c r="CT39" s="239">
        <v>1</v>
      </c>
      <c r="CU39" s="295">
        <v>1</v>
      </c>
      <c r="CV39" s="296">
        <v>1</v>
      </c>
      <c r="CW39" s="296">
        <v>1</v>
      </c>
      <c r="CX39" s="296">
        <v>1</v>
      </c>
      <c r="CY39" s="296">
        <v>1</v>
      </c>
      <c r="CZ39" s="296">
        <v>1</v>
      </c>
      <c r="DA39" s="296">
        <v>1</v>
      </c>
      <c r="DB39" s="296">
        <v>1</v>
      </c>
      <c r="DC39" s="296">
        <v>1</v>
      </c>
      <c r="DD39" s="297">
        <v>1</v>
      </c>
      <c r="DE39" s="214">
        <v>1</v>
      </c>
      <c r="DF39" s="207">
        <v>1</v>
      </c>
      <c r="DG39" s="207">
        <v>1</v>
      </c>
      <c r="DH39" s="207">
        <v>1</v>
      </c>
      <c r="DI39" s="207">
        <v>1</v>
      </c>
      <c r="DJ39" s="207">
        <v>1</v>
      </c>
      <c r="DK39" s="207">
        <v>1</v>
      </c>
      <c r="DL39" s="207">
        <v>1</v>
      </c>
      <c r="DM39" s="207">
        <v>1</v>
      </c>
      <c r="DN39" s="215">
        <v>1</v>
      </c>
      <c r="DO39" s="226">
        <v>1</v>
      </c>
      <c r="DP39" s="227">
        <v>1</v>
      </c>
      <c r="DQ39" s="227">
        <v>1</v>
      </c>
      <c r="DR39" s="227">
        <v>1</v>
      </c>
      <c r="DS39" s="227">
        <v>1</v>
      </c>
      <c r="DT39" s="227">
        <v>1</v>
      </c>
      <c r="DU39" s="227">
        <v>1</v>
      </c>
      <c r="DV39" s="227">
        <v>1</v>
      </c>
      <c r="DW39" s="227">
        <v>1</v>
      </c>
      <c r="DX39" s="228">
        <v>1</v>
      </c>
      <c r="DY39" s="307">
        <v>1</v>
      </c>
      <c r="DZ39" s="91">
        <v>1</v>
      </c>
      <c r="EA39" s="91">
        <v>1</v>
      </c>
      <c r="EB39" s="91">
        <v>1</v>
      </c>
      <c r="EC39" s="91">
        <v>1</v>
      </c>
      <c r="ED39" s="91">
        <v>1</v>
      </c>
      <c r="EE39" s="91">
        <v>1</v>
      </c>
      <c r="EF39" s="91">
        <v>1</v>
      </c>
      <c r="EG39" s="91">
        <v>1</v>
      </c>
      <c r="EH39" s="91">
        <v>1</v>
      </c>
      <c r="EI39" s="238">
        <v>1</v>
      </c>
      <c r="EJ39" s="238">
        <v>1</v>
      </c>
      <c r="EK39" s="238">
        <v>1</v>
      </c>
      <c r="EL39" s="238">
        <v>1</v>
      </c>
      <c r="EM39" s="238">
        <v>1</v>
      </c>
      <c r="EN39" s="238">
        <v>1</v>
      </c>
      <c r="EO39" s="238">
        <v>1</v>
      </c>
      <c r="EP39" s="238">
        <v>1</v>
      </c>
      <c r="EQ39" s="238">
        <v>1</v>
      </c>
      <c r="ER39" s="238">
        <v>1</v>
      </c>
      <c r="ES39" s="350">
        <f t="shared" si="14"/>
        <v>0</v>
      </c>
      <c r="ET39" s="350">
        <f t="shared" si="2"/>
        <v>0</v>
      </c>
      <c r="EU39" s="350">
        <f t="shared" si="3"/>
        <v>0</v>
      </c>
      <c r="EV39" s="350">
        <f t="shared" si="4"/>
        <v>0</v>
      </c>
      <c r="EW39" s="350">
        <f t="shared" si="15"/>
        <v>10</v>
      </c>
      <c r="EX39" s="350">
        <f t="shared" si="16"/>
        <v>10</v>
      </c>
      <c r="EY39" s="350">
        <f t="shared" si="5"/>
        <v>10</v>
      </c>
      <c r="EZ39" s="350">
        <f t="shared" si="6"/>
        <v>0</v>
      </c>
      <c r="FA39" s="350">
        <f t="shared" si="7"/>
        <v>10</v>
      </c>
      <c r="FB39" s="350">
        <f t="shared" si="8"/>
        <v>10</v>
      </c>
      <c r="FC39" s="350">
        <f t="shared" si="9"/>
        <v>10</v>
      </c>
      <c r="FD39" s="350">
        <f t="shared" si="10"/>
        <v>10</v>
      </c>
      <c r="FE39" s="350">
        <f t="shared" si="11"/>
        <v>10</v>
      </c>
      <c r="FF39" s="350">
        <f t="shared" si="17"/>
        <v>10</v>
      </c>
      <c r="FG39" s="349">
        <f t="shared" si="18"/>
        <v>37</v>
      </c>
      <c r="FH39" s="319">
        <f t="shared" si="12"/>
        <v>90</v>
      </c>
      <c r="FI39" s="319">
        <f>SUM(I7:ER7)-SUM(ES39:FF39)</f>
        <v>38</v>
      </c>
      <c r="FJ39" s="319">
        <f t="shared" si="13"/>
        <v>128</v>
      </c>
      <c r="FK39" s="7"/>
    </row>
    <row r="40" spans="1:167" ht="15.75" customHeight="1">
      <c r="A40" s="2"/>
      <c r="B40" s="3">
        <f t="shared" si="0"/>
        <v>1</v>
      </c>
      <c r="C40" s="347">
        <v>33</v>
      </c>
      <c r="D40" s="184" t="s">
        <v>90</v>
      </c>
      <c r="E40" s="347"/>
      <c r="F40" s="347"/>
      <c r="G40" s="493">
        <v>45915</v>
      </c>
      <c r="H40" s="494"/>
      <c r="I40" s="214">
        <v>0</v>
      </c>
      <c r="J40" s="207">
        <v>0</v>
      </c>
      <c r="K40" s="207">
        <v>0</v>
      </c>
      <c r="L40" s="207">
        <v>0</v>
      </c>
      <c r="M40" s="207">
        <v>0</v>
      </c>
      <c r="N40" s="207">
        <v>0</v>
      </c>
      <c r="O40" s="207">
        <v>0</v>
      </c>
      <c r="P40" s="207">
        <v>0</v>
      </c>
      <c r="Q40" s="207">
        <v>0</v>
      </c>
      <c r="R40" s="215">
        <v>0</v>
      </c>
      <c r="S40" s="226">
        <v>0</v>
      </c>
      <c r="T40" s="227">
        <v>0</v>
      </c>
      <c r="U40" s="227">
        <v>0</v>
      </c>
      <c r="V40" s="227">
        <v>0</v>
      </c>
      <c r="W40" s="227">
        <v>0</v>
      </c>
      <c r="X40" s="227">
        <v>0</v>
      </c>
      <c r="Y40" s="227">
        <v>0</v>
      </c>
      <c r="Z40" s="227">
        <v>0</v>
      </c>
      <c r="AA40" s="227">
        <v>0</v>
      </c>
      <c r="AB40" s="228">
        <v>0</v>
      </c>
      <c r="AC40" s="258">
        <v>0</v>
      </c>
      <c r="AD40" s="178">
        <v>0</v>
      </c>
      <c r="AE40" s="178">
        <v>0</v>
      </c>
      <c r="AF40" s="178">
        <v>0</v>
      </c>
      <c r="AG40" s="530"/>
      <c r="AH40" s="531"/>
      <c r="AI40" s="178">
        <v>0</v>
      </c>
      <c r="AJ40" s="178">
        <v>0</v>
      </c>
      <c r="AK40" s="178">
        <v>0</v>
      </c>
      <c r="AL40" s="202">
        <v>0</v>
      </c>
      <c r="AM40" s="237">
        <v>0</v>
      </c>
      <c r="AN40" s="238">
        <v>0</v>
      </c>
      <c r="AO40" s="238">
        <v>0</v>
      </c>
      <c r="AP40" s="238">
        <v>0</v>
      </c>
      <c r="AQ40" s="238">
        <v>0</v>
      </c>
      <c r="AR40" s="238">
        <v>0</v>
      </c>
      <c r="AS40" s="238">
        <v>0</v>
      </c>
      <c r="AT40" s="238">
        <v>0</v>
      </c>
      <c r="AU40" s="238">
        <v>0</v>
      </c>
      <c r="AV40" s="273">
        <v>0</v>
      </c>
      <c r="AW40" s="295">
        <v>0</v>
      </c>
      <c r="AX40" s="296">
        <v>0</v>
      </c>
      <c r="AY40" s="296">
        <v>0</v>
      </c>
      <c r="AZ40" s="296">
        <v>0</v>
      </c>
      <c r="BA40" s="296">
        <v>0</v>
      </c>
      <c r="BB40" s="296">
        <v>0</v>
      </c>
      <c r="BC40" s="296">
        <v>0</v>
      </c>
      <c r="BD40" s="296">
        <v>0</v>
      </c>
      <c r="BE40" s="296">
        <v>0</v>
      </c>
      <c r="BF40" s="297">
        <v>0</v>
      </c>
      <c r="BG40" s="214">
        <v>1</v>
      </c>
      <c r="BH40" s="207">
        <v>1</v>
      </c>
      <c r="BI40" s="207">
        <v>1</v>
      </c>
      <c r="BJ40" s="207">
        <v>1</v>
      </c>
      <c r="BK40" s="207">
        <v>1</v>
      </c>
      <c r="BL40" s="207">
        <v>1</v>
      </c>
      <c r="BM40" s="207">
        <v>1</v>
      </c>
      <c r="BN40" s="207">
        <v>1</v>
      </c>
      <c r="BO40" s="207">
        <v>1</v>
      </c>
      <c r="BP40" s="215">
        <v>1</v>
      </c>
      <c r="BQ40" s="249">
        <v>1</v>
      </c>
      <c r="BR40" s="227">
        <v>1</v>
      </c>
      <c r="BS40" s="227">
        <v>1</v>
      </c>
      <c r="BT40" s="227">
        <v>1</v>
      </c>
      <c r="BU40" s="227">
        <v>1</v>
      </c>
      <c r="BV40" s="227">
        <v>1</v>
      </c>
      <c r="BW40" s="227">
        <v>1</v>
      </c>
      <c r="BX40" s="227">
        <v>1</v>
      </c>
      <c r="BY40" s="227">
        <v>1</v>
      </c>
      <c r="BZ40" s="247">
        <v>1</v>
      </c>
      <c r="CA40" s="537"/>
      <c r="CB40" s="538"/>
      <c r="CC40" s="538"/>
      <c r="CD40" s="538"/>
      <c r="CE40" s="538"/>
      <c r="CF40" s="538"/>
      <c r="CG40" s="538"/>
      <c r="CH40" s="538"/>
      <c r="CI40" s="538"/>
      <c r="CJ40" s="539"/>
      <c r="CK40" s="240">
        <v>1</v>
      </c>
      <c r="CL40" s="238">
        <v>1</v>
      </c>
      <c r="CM40" s="238">
        <v>1</v>
      </c>
      <c r="CN40" s="238">
        <v>1</v>
      </c>
      <c r="CO40" s="238">
        <v>1</v>
      </c>
      <c r="CP40" s="238">
        <v>1</v>
      </c>
      <c r="CQ40" s="238">
        <v>1</v>
      </c>
      <c r="CR40" s="238">
        <v>1</v>
      </c>
      <c r="CS40" s="238">
        <v>1</v>
      </c>
      <c r="CT40" s="239">
        <v>1</v>
      </c>
      <c r="CU40" s="295">
        <v>1</v>
      </c>
      <c r="CV40" s="296">
        <v>1</v>
      </c>
      <c r="CW40" s="296">
        <v>1</v>
      </c>
      <c r="CX40" s="296">
        <v>1</v>
      </c>
      <c r="CY40" s="296">
        <v>1</v>
      </c>
      <c r="CZ40" s="296">
        <v>1</v>
      </c>
      <c r="DA40" s="296">
        <v>1</v>
      </c>
      <c r="DB40" s="296">
        <v>1</v>
      </c>
      <c r="DC40" s="296">
        <v>1</v>
      </c>
      <c r="DD40" s="297">
        <v>1</v>
      </c>
      <c r="DE40" s="214">
        <v>1</v>
      </c>
      <c r="DF40" s="207">
        <v>1</v>
      </c>
      <c r="DG40" s="207">
        <v>1</v>
      </c>
      <c r="DH40" s="207">
        <v>1</v>
      </c>
      <c r="DI40" s="207">
        <v>1</v>
      </c>
      <c r="DJ40" s="207">
        <v>1</v>
      </c>
      <c r="DK40" s="207">
        <v>1</v>
      </c>
      <c r="DL40" s="207">
        <v>1</v>
      </c>
      <c r="DM40" s="207">
        <v>1</v>
      </c>
      <c r="DN40" s="215">
        <v>1</v>
      </c>
      <c r="DO40" s="226">
        <v>1</v>
      </c>
      <c r="DP40" s="227">
        <v>1</v>
      </c>
      <c r="DQ40" s="227">
        <v>1</v>
      </c>
      <c r="DR40" s="227">
        <v>1</v>
      </c>
      <c r="DS40" s="227">
        <v>1</v>
      </c>
      <c r="DT40" s="227">
        <v>1</v>
      </c>
      <c r="DU40" s="227">
        <v>1</v>
      </c>
      <c r="DV40" s="227">
        <v>1</v>
      </c>
      <c r="DW40" s="227">
        <v>1</v>
      </c>
      <c r="DX40" s="228">
        <v>1</v>
      </c>
      <c r="DY40" s="307">
        <v>1</v>
      </c>
      <c r="DZ40" s="91">
        <v>1</v>
      </c>
      <c r="EA40" s="91">
        <v>1</v>
      </c>
      <c r="EB40" s="91">
        <v>1</v>
      </c>
      <c r="EC40" s="91">
        <v>1</v>
      </c>
      <c r="ED40" s="91">
        <v>1</v>
      </c>
      <c r="EE40" s="91">
        <v>1</v>
      </c>
      <c r="EF40" s="91">
        <v>1</v>
      </c>
      <c r="EG40" s="91">
        <v>1</v>
      </c>
      <c r="EH40" s="91">
        <v>1</v>
      </c>
      <c r="EI40" s="238">
        <v>1</v>
      </c>
      <c r="EJ40" s="238">
        <v>1</v>
      </c>
      <c r="EK40" s="238">
        <v>1</v>
      </c>
      <c r="EL40" s="238">
        <v>1</v>
      </c>
      <c r="EM40" s="238">
        <v>1</v>
      </c>
      <c r="EN40" s="238">
        <v>1</v>
      </c>
      <c r="EO40" s="238">
        <v>1</v>
      </c>
      <c r="EP40" s="238">
        <v>1</v>
      </c>
      <c r="EQ40" s="238">
        <v>1</v>
      </c>
      <c r="ER40" s="238">
        <v>1</v>
      </c>
      <c r="ES40" s="350">
        <f t="shared" si="14"/>
        <v>0</v>
      </c>
      <c r="ET40" s="350">
        <f t="shared" si="2"/>
        <v>0</v>
      </c>
      <c r="EU40" s="350">
        <f t="shared" si="3"/>
        <v>0</v>
      </c>
      <c r="EV40" s="350">
        <f t="shared" si="4"/>
        <v>0</v>
      </c>
      <c r="EW40" s="350">
        <f t="shared" si="15"/>
        <v>10</v>
      </c>
      <c r="EX40" s="350">
        <f t="shared" si="16"/>
        <v>10</v>
      </c>
      <c r="EY40" s="350">
        <f t="shared" si="5"/>
        <v>10</v>
      </c>
      <c r="EZ40" s="350">
        <f t="shared" si="6"/>
        <v>0</v>
      </c>
      <c r="FA40" s="350">
        <f t="shared" si="7"/>
        <v>10</v>
      </c>
      <c r="FB40" s="350">
        <f t="shared" si="8"/>
        <v>10</v>
      </c>
      <c r="FC40" s="350">
        <f t="shared" si="9"/>
        <v>10</v>
      </c>
      <c r="FD40" s="350">
        <f t="shared" si="10"/>
        <v>10</v>
      </c>
      <c r="FE40" s="350">
        <f t="shared" si="11"/>
        <v>10</v>
      </c>
      <c r="FF40" s="350">
        <f t="shared" si="17"/>
        <v>10</v>
      </c>
      <c r="FG40" s="349">
        <f t="shared" si="18"/>
        <v>38</v>
      </c>
      <c r="FH40" s="319">
        <f t="shared" si="12"/>
        <v>90</v>
      </c>
      <c r="FI40" s="319">
        <f>SUM(I7:ER7)-SUM(ES40:FF40)</f>
        <v>38</v>
      </c>
      <c r="FJ40" s="319">
        <f t="shared" si="13"/>
        <v>128</v>
      </c>
      <c r="FK40" s="7"/>
    </row>
    <row r="41" spans="1:167" ht="15.75" customHeight="1">
      <c r="A41" s="2"/>
      <c r="B41" s="3">
        <f t="shared" si="0"/>
        <v>0</v>
      </c>
      <c r="C41" s="347">
        <v>34</v>
      </c>
      <c r="D41" s="184"/>
      <c r="E41" s="347"/>
      <c r="F41" s="347"/>
      <c r="G41" s="493">
        <v>45915</v>
      </c>
      <c r="H41" s="494"/>
      <c r="I41" s="214"/>
      <c r="J41" s="207"/>
      <c r="K41" s="207"/>
      <c r="L41" s="207"/>
      <c r="M41" s="207"/>
      <c r="N41" s="207"/>
      <c r="O41" s="207"/>
      <c r="P41" s="207"/>
      <c r="Q41" s="207"/>
      <c r="R41" s="215"/>
      <c r="S41" s="226"/>
      <c r="T41" s="227"/>
      <c r="U41" s="227"/>
      <c r="V41" s="227"/>
      <c r="W41" s="227"/>
      <c r="X41" s="227"/>
      <c r="Y41" s="227"/>
      <c r="Z41" s="227"/>
      <c r="AA41" s="227"/>
      <c r="AB41" s="228"/>
      <c r="AC41" s="258"/>
      <c r="AD41" s="178"/>
      <c r="AE41" s="178"/>
      <c r="AF41" s="178"/>
      <c r="AG41" s="530"/>
      <c r="AH41" s="531"/>
      <c r="AI41" s="178"/>
      <c r="AJ41" s="178"/>
      <c r="AK41" s="178"/>
      <c r="AL41" s="202"/>
      <c r="AM41" s="237"/>
      <c r="AN41" s="238"/>
      <c r="AO41" s="238"/>
      <c r="AP41" s="238"/>
      <c r="AQ41" s="238"/>
      <c r="AR41" s="238"/>
      <c r="AS41" s="238"/>
      <c r="AT41" s="238"/>
      <c r="AU41" s="238"/>
      <c r="AV41" s="273"/>
      <c r="AW41" s="295"/>
      <c r="AX41" s="296"/>
      <c r="AY41" s="296"/>
      <c r="AZ41" s="296"/>
      <c r="BA41" s="296"/>
      <c r="BB41" s="296"/>
      <c r="BC41" s="296"/>
      <c r="BD41" s="296"/>
      <c r="BE41" s="296"/>
      <c r="BF41" s="297"/>
      <c r="BG41" s="214"/>
      <c r="BH41" s="207"/>
      <c r="BI41" s="207"/>
      <c r="BJ41" s="207"/>
      <c r="BK41" s="207"/>
      <c r="BL41" s="207"/>
      <c r="BM41" s="207"/>
      <c r="BN41" s="207"/>
      <c r="BO41" s="207"/>
      <c r="BP41" s="215"/>
      <c r="BQ41" s="249"/>
      <c r="BR41" s="227"/>
      <c r="BS41" s="227"/>
      <c r="BT41" s="227"/>
      <c r="BU41" s="227"/>
      <c r="BV41" s="227"/>
      <c r="BW41" s="227"/>
      <c r="BX41" s="227"/>
      <c r="BY41" s="227"/>
      <c r="BZ41" s="247"/>
      <c r="CA41" s="537"/>
      <c r="CB41" s="538"/>
      <c r="CC41" s="538"/>
      <c r="CD41" s="538"/>
      <c r="CE41" s="538"/>
      <c r="CF41" s="538"/>
      <c r="CG41" s="538"/>
      <c r="CH41" s="538"/>
      <c r="CI41" s="538"/>
      <c r="CJ41" s="539"/>
      <c r="CK41" s="240"/>
      <c r="CL41" s="238"/>
      <c r="CM41" s="238"/>
      <c r="CN41" s="238"/>
      <c r="CO41" s="238"/>
      <c r="CP41" s="238"/>
      <c r="CQ41" s="238"/>
      <c r="CR41" s="238"/>
      <c r="CS41" s="238"/>
      <c r="CT41" s="239"/>
      <c r="CU41" s="295"/>
      <c r="CV41" s="296"/>
      <c r="CW41" s="296"/>
      <c r="CX41" s="296"/>
      <c r="CY41" s="296"/>
      <c r="CZ41" s="296"/>
      <c r="DA41" s="296"/>
      <c r="DB41" s="296"/>
      <c r="DC41" s="296"/>
      <c r="DD41" s="297"/>
      <c r="DE41" s="214"/>
      <c r="DF41" s="207"/>
      <c r="DG41" s="207"/>
      <c r="DH41" s="207"/>
      <c r="DI41" s="207"/>
      <c r="DJ41" s="207"/>
      <c r="DK41" s="207"/>
      <c r="DL41" s="207"/>
      <c r="DM41" s="207"/>
      <c r="DN41" s="215"/>
      <c r="DO41" s="226"/>
      <c r="DP41" s="227"/>
      <c r="DQ41" s="227"/>
      <c r="DR41" s="227"/>
      <c r="DS41" s="227"/>
      <c r="DT41" s="227"/>
      <c r="DU41" s="227"/>
      <c r="DV41" s="227"/>
      <c r="DW41" s="227"/>
      <c r="DX41" s="228"/>
      <c r="DY41" s="307"/>
      <c r="DZ41" s="91"/>
      <c r="EA41" s="91"/>
      <c r="EB41" s="91"/>
      <c r="EC41" s="91"/>
      <c r="ED41" s="91"/>
      <c r="EE41" s="91"/>
      <c r="EF41" s="91"/>
      <c r="EG41" s="91"/>
      <c r="EH41" s="91"/>
      <c r="EI41" s="238"/>
      <c r="EJ41" s="238"/>
      <c r="EK41" s="238"/>
      <c r="EL41" s="238"/>
      <c r="EM41" s="238"/>
      <c r="EN41" s="238"/>
      <c r="EO41" s="238"/>
      <c r="EP41" s="238"/>
      <c r="EQ41" s="238"/>
      <c r="ER41" s="238"/>
      <c r="ES41" s="350"/>
      <c r="ET41" s="350"/>
      <c r="EU41" s="350"/>
      <c r="EV41" s="350"/>
      <c r="EW41" s="350"/>
      <c r="EX41" s="350"/>
      <c r="EY41" s="350"/>
      <c r="EZ41" s="350"/>
      <c r="FA41" s="350"/>
      <c r="FB41" s="350"/>
      <c r="FC41" s="350"/>
      <c r="FD41" s="350"/>
      <c r="FE41" s="350"/>
      <c r="FF41" s="350"/>
      <c r="FG41" s="349">
        <f t="shared" si="18"/>
        <v>39</v>
      </c>
      <c r="FH41" s="319">
        <f t="shared" si="12"/>
        <v>0</v>
      </c>
      <c r="FI41" s="319">
        <f>SUM(I7:ER7)-SUM(ES41:FF41)</f>
        <v>128</v>
      </c>
      <c r="FJ41" s="319">
        <f t="shared" si="13"/>
        <v>128</v>
      </c>
      <c r="FK41" s="7"/>
    </row>
    <row r="42" spans="1:167" ht="15.75" customHeight="1">
      <c r="A42" s="2"/>
      <c r="B42" s="3">
        <f t="shared" si="0"/>
        <v>0</v>
      </c>
      <c r="C42" s="347">
        <v>35</v>
      </c>
      <c r="D42" s="184"/>
      <c r="E42" s="347"/>
      <c r="F42" s="347"/>
      <c r="G42" s="493">
        <v>45915</v>
      </c>
      <c r="H42" s="494"/>
      <c r="I42" s="214"/>
      <c r="J42" s="207"/>
      <c r="K42" s="207"/>
      <c r="L42" s="207"/>
      <c r="M42" s="207"/>
      <c r="N42" s="207"/>
      <c r="O42" s="207"/>
      <c r="P42" s="207"/>
      <c r="Q42" s="207"/>
      <c r="R42" s="215"/>
      <c r="S42" s="226"/>
      <c r="T42" s="227"/>
      <c r="U42" s="227"/>
      <c r="V42" s="227"/>
      <c r="W42" s="227"/>
      <c r="X42" s="227"/>
      <c r="Y42" s="227"/>
      <c r="Z42" s="227"/>
      <c r="AA42" s="227"/>
      <c r="AB42" s="228"/>
      <c r="AC42" s="258"/>
      <c r="AD42" s="178"/>
      <c r="AE42" s="178"/>
      <c r="AF42" s="178"/>
      <c r="AG42" s="530"/>
      <c r="AH42" s="531"/>
      <c r="AI42" s="178"/>
      <c r="AJ42" s="178"/>
      <c r="AK42" s="178"/>
      <c r="AL42" s="202"/>
      <c r="AM42" s="237"/>
      <c r="AN42" s="238"/>
      <c r="AO42" s="238"/>
      <c r="AP42" s="238"/>
      <c r="AQ42" s="238"/>
      <c r="AR42" s="238"/>
      <c r="AS42" s="238"/>
      <c r="AT42" s="238"/>
      <c r="AU42" s="238"/>
      <c r="AV42" s="273"/>
      <c r="AW42" s="295"/>
      <c r="AX42" s="296"/>
      <c r="AY42" s="296"/>
      <c r="AZ42" s="296"/>
      <c r="BA42" s="296"/>
      <c r="BB42" s="296"/>
      <c r="BC42" s="296"/>
      <c r="BD42" s="296"/>
      <c r="BE42" s="296"/>
      <c r="BF42" s="297"/>
      <c r="BG42" s="214"/>
      <c r="BH42" s="207"/>
      <c r="BI42" s="207"/>
      <c r="BJ42" s="207"/>
      <c r="BK42" s="207"/>
      <c r="BL42" s="207"/>
      <c r="BM42" s="207"/>
      <c r="BN42" s="207"/>
      <c r="BO42" s="207"/>
      <c r="BP42" s="215"/>
      <c r="BQ42" s="249"/>
      <c r="BR42" s="227"/>
      <c r="BS42" s="227"/>
      <c r="BT42" s="227"/>
      <c r="BU42" s="227"/>
      <c r="BV42" s="227"/>
      <c r="BW42" s="227"/>
      <c r="BX42" s="227"/>
      <c r="BY42" s="227"/>
      <c r="BZ42" s="247"/>
      <c r="CA42" s="537"/>
      <c r="CB42" s="538"/>
      <c r="CC42" s="538"/>
      <c r="CD42" s="538"/>
      <c r="CE42" s="538"/>
      <c r="CF42" s="538"/>
      <c r="CG42" s="538"/>
      <c r="CH42" s="538"/>
      <c r="CI42" s="538"/>
      <c r="CJ42" s="539"/>
      <c r="CK42" s="240"/>
      <c r="CL42" s="238"/>
      <c r="CM42" s="238"/>
      <c r="CN42" s="238"/>
      <c r="CO42" s="238"/>
      <c r="CP42" s="238"/>
      <c r="CQ42" s="238"/>
      <c r="CR42" s="238"/>
      <c r="CS42" s="238"/>
      <c r="CT42" s="239"/>
      <c r="CU42" s="295"/>
      <c r="CV42" s="296"/>
      <c r="CW42" s="296"/>
      <c r="CX42" s="296"/>
      <c r="CY42" s="296"/>
      <c r="CZ42" s="296"/>
      <c r="DA42" s="296"/>
      <c r="DB42" s="296"/>
      <c r="DC42" s="296"/>
      <c r="DD42" s="297"/>
      <c r="DE42" s="214"/>
      <c r="DF42" s="207"/>
      <c r="DG42" s="207"/>
      <c r="DH42" s="207"/>
      <c r="DI42" s="207"/>
      <c r="DJ42" s="207"/>
      <c r="DK42" s="207"/>
      <c r="DL42" s="207"/>
      <c r="DM42" s="207"/>
      <c r="DN42" s="215"/>
      <c r="DO42" s="226"/>
      <c r="DP42" s="227"/>
      <c r="DQ42" s="227"/>
      <c r="DR42" s="227"/>
      <c r="DS42" s="227"/>
      <c r="DT42" s="227"/>
      <c r="DU42" s="227"/>
      <c r="DV42" s="227"/>
      <c r="DW42" s="227"/>
      <c r="DX42" s="228"/>
      <c r="DY42" s="307"/>
      <c r="DZ42" s="91"/>
      <c r="EA42" s="91"/>
      <c r="EB42" s="91"/>
      <c r="EC42" s="91"/>
      <c r="ED42" s="91"/>
      <c r="EE42" s="91"/>
      <c r="EF42" s="91"/>
      <c r="EG42" s="91"/>
      <c r="EH42" s="91"/>
      <c r="EI42" s="238"/>
      <c r="EJ42" s="238"/>
      <c r="EK42" s="238"/>
      <c r="EL42" s="238"/>
      <c r="EM42" s="238"/>
      <c r="EN42" s="238"/>
      <c r="EO42" s="238"/>
      <c r="EP42" s="238"/>
      <c r="EQ42" s="238"/>
      <c r="ER42" s="238"/>
      <c r="ES42" s="350"/>
      <c r="ET42" s="350"/>
      <c r="EU42" s="350"/>
      <c r="EV42" s="350"/>
      <c r="EW42" s="350"/>
      <c r="EX42" s="350"/>
      <c r="EY42" s="350"/>
      <c r="EZ42" s="350"/>
      <c r="FA42" s="350"/>
      <c r="FB42" s="350"/>
      <c r="FC42" s="350"/>
      <c r="FD42" s="350"/>
      <c r="FE42" s="350"/>
      <c r="FF42" s="350"/>
      <c r="FG42" s="349">
        <f t="shared" si="18"/>
        <v>40</v>
      </c>
      <c r="FH42" s="319">
        <f t="shared" si="12"/>
        <v>0</v>
      </c>
      <c r="FI42" s="319">
        <f>SUM(I7:ER7)-SUM(ES42:FF42)</f>
        <v>128</v>
      </c>
      <c r="FJ42" s="319">
        <f t="shared" si="13"/>
        <v>128</v>
      </c>
      <c r="FK42" s="7"/>
    </row>
    <row r="43" spans="1:167" ht="15.75" customHeight="1">
      <c r="A43" s="2"/>
      <c r="B43" s="3">
        <f t="shared" si="0"/>
        <v>0</v>
      </c>
      <c r="C43" s="347">
        <v>36</v>
      </c>
      <c r="D43" s="184"/>
      <c r="E43" s="347"/>
      <c r="F43" s="347"/>
      <c r="G43" s="493">
        <v>45915</v>
      </c>
      <c r="H43" s="494"/>
      <c r="I43" s="214"/>
      <c r="J43" s="207"/>
      <c r="K43" s="207"/>
      <c r="L43" s="207"/>
      <c r="M43" s="207"/>
      <c r="N43" s="207"/>
      <c r="O43" s="207"/>
      <c r="P43" s="207"/>
      <c r="Q43" s="207"/>
      <c r="R43" s="215"/>
      <c r="S43" s="226"/>
      <c r="T43" s="227"/>
      <c r="U43" s="227"/>
      <c r="V43" s="227"/>
      <c r="W43" s="227"/>
      <c r="X43" s="227"/>
      <c r="Y43" s="227"/>
      <c r="Z43" s="227"/>
      <c r="AA43" s="227"/>
      <c r="AB43" s="228"/>
      <c r="AC43" s="258"/>
      <c r="AD43" s="178"/>
      <c r="AE43" s="178"/>
      <c r="AF43" s="178"/>
      <c r="AG43" s="530"/>
      <c r="AH43" s="531"/>
      <c r="AI43" s="178"/>
      <c r="AJ43" s="178"/>
      <c r="AK43" s="178"/>
      <c r="AL43" s="202"/>
      <c r="AM43" s="237"/>
      <c r="AN43" s="238"/>
      <c r="AO43" s="238"/>
      <c r="AP43" s="238"/>
      <c r="AQ43" s="238"/>
      <c r="AR43" s="238"/>
      <c r="AS43" s="238"/>
      <c r="AT43" s="238"/>
      <c r="AU43" s="238"/>
      <c r="AV43" s="273"/>
      <c r="AW43" s="295"/>
      <c r="AX43" s="296"/>
      <c r="AY43" s="296"/>
      <c r="AZ43" s="296"/>
      <c r="BA43" s="296"/>
      <c r="BB43" s="296"/>
      <c r="BC43" s="296"/>
      <c r="BD43" s="296"/>
      <c r="BE43" s="296"/>
      <c r="BF43" s="297"/>
      <c r="BG43" s="214"/>
      <c r="BH43" s="207"/>
      <c r="BI43" s="207"/>
      <c r="BJ43" s="207"/>
      <c r="BK43" s="207"/>
      <c r="BL43" s="207"/>
      <c r="BM43" s="207"/>
      <c r="BN43" s="207"/>
      <c r="BO43" s="207"/>
      <c r="BP43" s="215"/>
      <c r="BQ43" s="249"/>
      <c r="BR43" s="227"/>
      <c r="BS43" s="227"/>
      <c r="BT43" s="227"/>
      <c r="BU43" s="227"/>
      <c r="BV43" s="227"/>
      <c r="BW43" s="227"/>
      <c r="BX43" s="227"/>
      <c r="BY43" s="227"/>
      <c r="BZ43" s="247"/>
      <c r="CA43" s="537"/>
      <c r="CB43" s="538"/>
      <c r="CC43" s="538"/>
      <c r="CD43" s="538"/>
      <c r="CE43" s="538"/>
      <c r="CF43" s="538"/>
      <c r="CG43" s="538"/>
      <c r="CH43" s="538"/>
      <c r="CI43" s="538"/>
      <c r="CJ43" s="539"/>
      <c r="CK43" s="240"/>
      <c r="CL43" s="238"/>
      <c r="CM43" s="238"/>
      <c r="CN43" s="238"/>
      <c r="CO43" s="238"/>
      <c r="CP43" s="238"/>
      <c r="CQ43" s="238"/>
      <c r="CR43" s="238"/>
      <c r="CS43" s="238"/>
      <c r="CT43" s="239"/>
      <c r="CU43" s="295"/>
      <c r="CV43" s="296"/>
      <c r="CW43" s="296"/>
      <c r="CX43" s="296"/>
      <c r="CY43" s="296"/>
      <c r="CZ43" s="296"/>
      <c r="DA43" s="296"/>
      <c r="DB43" s="296"/>
      <c r="DC43" s="296"/>
      <c r="DD43" s="297"/>
      <c r="DE43" s="214"/>
      <c r="DF43" s="207"/>
      <c r="DG43" s="207"/>
      <c r="DH43" s="207"/>
      <c r="DI43" s="207"/>
      <c r="DJ43" s="207"/>
      <c r="DK43" s="207"/>
      <c r="DL43" s="207"/>
      <c r="DM43" s="207"/>
      <c r="DN43" s="215"/>
      <c r="DO43" s="226"/>
      <c r="DP43" s="227"/>
      <c r="DQ43" s="227"/>
      <c r="DR43" s="227"/>
      <c r="DS43" s="227"/>
      <c r="DT43" s="227"/>
      <c r="DU43" s="227"/>
      <c r="DV43" s="227"/>
      <c r="DW43" s="227"/>
      <c r="DX43" s="228"/>
      <c r="DY43" s="307"/>
      <c r="DZ43" s="91"/>
      <c r="EA43" s="91"/>
      <c r="EB43" s="91"/>
      <c r="EC43" s="91"/>
      <c r="ED43" s="91"/>
      <c r="EE43" s="91"/>
      <c r="EF43" s="91"/>
      <c r="EG43" s="91"/>
      <c r="EH43" s="91"/>
      <c r="EI43" s="238"/>
      <c r="EJ43" s="238"/>
      <c r="EK43" s="238"/>
      <c r="EL43" s="238"/>
      <c r="EM43" s="238"/>
      <c r="EN43" s="238"/>
      <c r="EO43" s="238"/>
      <c r="EP43" s="238"/>
      <c r="EQ43" s="238"/>
      <c r="ER43" s="238"/>
      <c r="ES43" s="350"/>
      <c r="ET43" s="350"/>
      <c r="EU43" s="350"/>
      <c r="EV43" s="350"/>
      <c r="EW43" s="350"/>
      <c r="EX43" s="350"/>
      <c r="EY43" s="350"/>
      <c r="EZ43" s="350"/>
      <c r="FA43" s="350"/>
      <c r="FB43" s="350"/>
      <c r="FC43" s="350"/>
      <c r="FD43" s="350"/>
      <c r="FE43" s="350"/>
      <c r="FF43" s="350"/>
      <c r="FG43" s="349">
        <f t="shared" si="18"/>
        <v>41</v>
      </c>
      <c r="FH43" s="319">
        <f t="shared" si="12"/>
        <v>0</v>
      </c>
      <c r="FI43" s="319">
        <f>SUM(I7:ER7)-SUM(ES43:FF43)</f>
        <v>128</v>
      </c>
      <c r="FJ43" s="319">
        <f t="shared" si="13"/>
        <v>128</v>
      </c>
      <c r="FK43" s="7"/>
    </row>
    <row r="44" spans="1:167" ht="15.75" customHeight="1">
      <c r="A44" s="2"/>
      <c r="B44" s="3">
        <f t="shared" si="0"/>
        <v>0</v>
      </c>
      <c r="C44" s="347">
        <v>37</v>
      </c>
      <c r="D44" s="184"/>
      <c r="E44" s="347"/>
      <c r="F44" s="347"/>
      <c r="G44" s="493">
        <v>45915</v>
      </c>
      <c r="H44" s="494"/>
      <c r="I44" s="214"/>
      <c r="J44" s="207"/>
      <c r="K44" s="207"/>
      <c r="L44" s="207"/>
      <c r="M44" s="207"/>
      <c r="N44" s="207"/>
      <c r="O44" s="207"/>
      <c r="P44" s="207"/>
      <c r="Q44" s="207"/>
      <c r="R44" s="215"/>
      <c r="S44" s="226"/>
      <c r="T44" s="227"/>
      <c r="U44" s="227"/>
      <c r="V44" s="227"/>
      <c r="W44" s="227"/>
      <c r="X44" s="227"/>
      <c r="Y44" s="227"/>
      <c r="Z44" s="227"/>
      <c r="AA44" s="227"/>
      <c r="AB44" s="228"/>
      <c r="AC44" s="258"/>
      <c r="AD44" s="178"/>
      <c r="AE44" s="178"/>
      <c r="AF44" s="178"/>
      <c r="AG44" s="530"/>
      <c r="AH44" s="531"/>
      <c r="AI44" s="178"/>
      <c r="AJ44" s="178"/>
      <c r="AK44" s="178"/>
      <c r="AL44" s="202"/>
      <c r="AM44" s="237"/>
      <c r="AN44" s="238"/>
      <c r="AO44" s="238"/>
      <c r="AP44" s="238"/>
      <c r="AQ44" s="238"/>
      <c r="AR44" s="238"/>
      <c r="AS44" s="238"/>
      <c r="AT44" s="238"/>
      <c r="AU44" s="238"/>
      <c r="AV44" s="273"/>
      <c r="AW44" s="295"/>
      <c r="AX44" s="296"/>
      <c r="AY44" s="296"/>
      <c r="AZ44" s="296"/>
      <c r="BA44" s="296"/>
      <c r="BB44" s="296"/>
      <c r="BC44" s="296"/>
      <c r="BD44" s="296"/>
      <c r="BE44" s="296"/>
      <c r="BF44" s="297"/>
      <c r="BG44" s="214"/>
      <c r="BH44" s="207"/>
      <c r="BI44" s="207"/>
      <c r="BJ44" s="207"/>
      <c r="BK44" s="207"/>
      <c r="BL44" s="207"/>
      <c r="BM44" s="207"/>
      <c r="BN44" s="207"/>
      <c r="BO44" s="207"/>
      <c r="BP44" s="215"/>
      <c r="BQ44" s="249"/>
      <c r="BR44" s="227"/>
      <c r="BS44" s="227"/>
      <c r="BT44" s="227"/>
      <c r="BU44" s="227"/>
      <c r="BV44" s="227"/>
      <c r="BW44" s="227"/>
      <c r="BX44" s="227"/>
      <c r="BY44" s="227"/>
      <c r="BZ44" s="247"/>
      <c r="CA44" s="537"/>
      <c r="CB44" s="538"/>
      <c r="CC44" s="538"/>
      <c r="CD44" s="538"/>
      <c r="CE44" s="538"/>
      <c r="CF44" s="538"/>
      <c r="CG44" s="538"/>
      <c r="CH44" s="538"/>
      <c r="CI44" s="538"/>
      <c r="CJ44" s="539"/>
      <c r="CK44" s="240"/>
      <c r="CL44" s="238"/>
      <c r="CM44" s="238"/>
      <c r="CN44" s="238"/>
      <c r="CO44" s="238"/>
      <c r="CP44" s="238"/>
      <c r="CQ44" s="238"/>
      <c r="CR44" s="238"/>
      <c r="CS44" s="238"/>
      <c r="CT44" s="239"/>
      <c r="CU44" s="295"/>
      <c r="CV44" s="296"/>
      <c r="CW44" s="296"/>
      <c r="CX44" s="296"/>
      <c r="CY44" s="296"/>
      <c r="CZ44" s="296"/>
      <c r="DA44" s="296"/>
      <c r="DB44" s="296"/>
      <c r="DC44" s="296"/>
      <c r="DD44" s="297"/>
      <c r="DE44" s="214"/>
      <c r="DF44" s="207"/>
      <c r="DG44" s="207"/>
      <c r="DH44" s="207"/>
      <c r="DI44" s="207"/>
      <c r="DJ44" s="207"/>
      <c r="DK44" s="207"/>
      <c r="DL44" s="207"/>
      <c r="DM44" s="207"/>
      <c r="DN44" s="215"/>
      <c r="DO44" s="226"/>
      <c r="DP44" s="227"/>
      <c r="DQ44" s="227"/>
      <c r="DR44" s="227"/>
      <c r="DS44" s="227"/>
      <c r="DT44" s="227"/>
      <c r="DU44" s="227"/>
      <c r="DV44" s="227"/>
      <c r="DW44" s="227"/>
      <c r="DX44" s="228"/>
      <c r="DY44" s="307"/>
      <c r="DZ44" s="91"/>
      <c r="EA44" s="91"/>
      <c r="EB44" s="91"/>
      <c r="EC44" s="91"/>
      <c r="ED44" s="91"/>
      <c r="EE44" s="91"/>
      <c r="EF44" s="91"/>
      <c r="EG44" s="91"/>
      <c r="EH44" s="91"/>
      <c r="EI44" s="238"/>
      <c r="EJ44" s="238"/>
      <c r="EK44" s="238"/>
      <c r="EL44" s="238"/>
      <c r="EM44" s="238"/>
      <c r="EN44" s="238"/>
      <c r="EO44" s="238"/>
      <c r="EP44" s="238"/>
      <c r="EQ44" s="238"/>
      <c r="ER44" s="238"/>
      <c r="ES44" s="350"/>
      <c r="ET44" s="350"/>
      <c r="EU44" s="350"/>
      <c r="EV44" s="350"/>
      <c r="EW44" s="350"/>
      <c r="EX44" s="350"/>
      <c r="EY44" s="350"/>
      <c r="EZ44" s="350"/>
      <c r="FA44" s="350"/>
      <c r="FB44" s="350"/>
      <c r="FC44" s="350"/>
      <c r="FD44" s="350"/>
      <c r="FE44" s="350"/>
      <c r="FF44" s="350"/>
      <c r="FG44" s="349">
        <f t="shared" si="18"/>
        <v>42</v>
      </c>
      <c r="FH44" s="319">
        <f t="shared" si="12"/>
        <v>0</v>
      </c>
      <c r="FI44" s="319">
        <f>SUM(I7:ER7)-SUM(ES44:FF44)</f>
        <v>128</v>
      </c>
      <c r="FJ44" s="319">
        <f t="shared" si="13"/>
        <v>128</v>
      </c>
      <c r="FK44" s="7"/>
    </row>
    <row r="45" spans="1:167" ht="15.75" customHeight="1">
      <c r="A45" s="2"/>
      <c r="B45" s="3">
        <f t="shared" si="0"/>
        <v>0</v>
      </c>
      <c r="C45" s="347">
        <v>38</v>
      </c>
      <c r="D45" s="184"/>
      <c r="E45" s="347"/>
      <c r="F45" s="347"/>
      <c r="G45" s="493">
        <v>45915</v>
      </c>
      <c r="H45" s="494"/>
      <c r="I45" s="214"/>
      <c r="J45" s="207"/>
      <c r="K45" s="207"/>
      <c r="L45" s="207"/>
      <c r="M45" s="207"/>
      <c r="N45" s="207"/>
      <c r="O45" s="207"/>
      <c r="P45" s="207"/>
      <c r="Q45" s="207"/>
      <c r="R45" s="215"/>
      <c r="S45" s="226"/>
      <c r="T45" s="227"/>
      <c r="U45" s="227"/>
      <c r="V45" s="227"/>
      <c r="W45" s="227"/>
      <c r="X45" s="227"/>
      <c r="Y45" s="227"/>
      <c r="Z45" s="227"/>
      <c r="AA45" s="227"/>
      <c r="AB45" s="228"/>
      <c r="AC45" s="258"/>
      <c r="AD45" s="178"/>
      <c r="AE45" s="178"/>
      <c r="AF45" s="178"/>
      <c r="AG45" s="530"/>
      <c r="AH45" s="531"/>
      <c r="AI45" s="178"/>
      <c r="AJ45" s="178"/>
      <c r="AK45" s="178"/>
      <c r="AL45" s="202"/>
      <c r="AM45" s="237"/>
      <c r="AN45" s="238"/>
      <c r="AO45" s="238"/>
      <c r="AP45" s="238"/>
      <c r="AQ45" s="238"/>
      <c r="AR45" s="238"/>
      <c r="AS45" s="238"/>
      <c r="AT45" s="238"/>
      <c r="AU45" s="238"/>
      <c r="AV45" s="273"/>
      <c r="AW45" s="295"/>
      <c r="AX45" s="296"/>
      <c r="AY45" s="296"/>
      <c r="AZ45" s="296"/>
      <c r="BA45" s="296"/>
      <c r="BB45" s="296"/>
      <c r="BC45" s="296"/>
      <c r="BD45" s="296"/>
      <c r="BE45" s="296"/>
      <c r="BF45" s="297"/>
      <c r="BG45" s="214"/>
      <c r="BH45" s="207"/>
      <c r="BI45" s="207"/>
      <c r="BJ45" s="207"/>
      <c r="BK45" s="207"/>
      <c r="BL45" s="207"/>
      <c r="BM45" s="207"/>
      <c r="BN45" s="207"/>
      <c r="BO45" s="207"/>
      <c r="BP45" s="215"/>
      <c r="BQ45" s="249"/>
      <c r="BR45" s="227"/>
      <c r="BS45" s="227"/>
      <c r="BT45" s="227"/>
      <c r="BU45" s="227"/>
      <c r="BV45" s="227"/>
      <c r="BW45" s="227"/>
      <c r="BX45" s="227"/>
      <c r="BY45" s="227"/>
      <c r="BZ45" s="247"/>
      <c r="CA45" s="537"/>
      <c r="CB45" s="538"/>
      <c r="CC45" s="538"/>
      <c r="CD45" s="538"/>
      <c r="CE45" s="538"/>
      <c r="CF45" s="538"/>
      <c r="CG45" s="538"/>
      <c r="CH45" s="538"/>
      <c r="CI45" s="538"/>
      <c r="CJ45" s="539"/>
      <c r="CK45" s="240"/>
      <c r="CL45" s="238"/>
      <c r="CM45" s="238"/>
      <c r="CN45" s="238"/>
      <c r="CO45" s="238"/>
      <c r="CP45" s="238"/>
      <c r="CQ45" s="238"/>
      <c r="CR45" s="238"/>
      <c r="CS45" s="238"/>
      <c r="CT45" s="239"/>
      <c r="CU45" s="295"/>
      <c r="CV45" s="296"/>
      <c r="CW45" s="296"/>
      <c r="CX45" s="296"/>
      <c r="CY45" s="296"/>
      <c r="CZ45" s="296"/>
      <c r="DA45" s="296"/>
      <c r="DB45" s="296"/>
      <c r="DC45" s="296"/>
      <c r="DD45" s="297"/>
      <c r="DE45" s="214"/>
      <c r="DF45" s="207"/>
      <c r="DG45" s="207"/>
      <c r="DH45" s="207"/>
      <c r="DI45" s="207"/>
      <c r="DJ45" s="207"/>
      <c r="DK45" s="207"/>
      <c r="DL45" s="207"/>
      <c r="DM45" s="207"/>
      <c r="DN45" s="215"/>
      <c r="DO45" s="226"/>
      <c r="DP45" s="227"/>
      <c r="DQ45" s="227"/>
      <c r="DR45" s="227"/>
      <c r="DS45" s="227"/>
      <c r="DT45" s="227"/>
      <c r="DU45" s="227"/>
      <c r="DV45" s="227"/>
      <c r="DW45" s="227"/>
      <c r="DX45" s="228"/>
      <c r="DY45" s="307"/>
      <c r="DZ45" s="91"/>
      <c r="EA45" s="91"/>
      <c r="EB45" s="91"/>
      <c r="EC45" s="91"/>
      <c r="ED45" s="91"/>
      <c r="EE45" s="91"/>
      <c r="EF45" s="91"/>
      <c r="EG45" s="91"/>
      <c r="EH45" s="91"/>
      <c r="EI45" s="238"/>
      <c r="EJ45" s="238"/>
      <c r="EK45" s="238"/>
      <c r="EL45" s="238"/>
      <c r="EM45" s="238"/>
      <c r="EN45" s="238"/>
      <c r="EO45" s="238"/>
      <c r="EP45" s="238"/>
      <c r="EQ45" s="238"/>
      <c r="ER45" s="238"/>
      <c r="ES45" s="350"/>
      <c r="ET45" s="350"/>
      <c r="EU45" s="350"/>
      <c r="EV45" s="350"/>
      <c r="EW45" s="350"/>
      <c r="EX45" s="350"/>
      <c r="EY45" s="350"/>
      <c r="EZ45" s="350"/>
      <c r="FA45" s="350"/>
      <c r="FB45" s="350"/>
      <c r="FC45" s="350"/>
      <c r="FD45" s="350"/>
      <c r="FE45" s="350"/>
      <c r="FF45" s="350"/>
      <c r="FG45" s="349">
        <f t="shared" si="18"/>
        <v>43</v>
      </c>
      <c r="FH45" s="319">
        <f t="shared" si="12"/>
        <v>0</v>
      </c>
      <c r="FI45" s="319">
        <f>SUM(I7:ER7)-SUM(ES45:FF45)</f>
        <v>128</v>
      </c>
      <c r="FJ45" s="319">
        <f t="shared" si="13"/>
        <v>128</v>
      </c>
      <c r="FK45" s="7"/>
    </row>
    <row r="46" spans="1:167" ht="15.75" customHeight="1">
      <c r="A46" s="2"/>
      <c r="B46" s="3">
        <f t="shared" si="0"/>
        <v>0</v>
      </c>
      <c r="C46" s="347">
        <v>39</v>
      </c>
      <c r="D46" s="184"/>
      <c r="E46" s="347"/>
      <c r="F46" s="347"/>
      <c r="G46" s="493">
        <v>45915</v>
      </c>
      <c r="H46" s="494"/>
      <c r="I46" s="214"/>
      <c r="J46" s="207"/>
      <c r="K46" s="207"/>
      <c r="L46" s="207"/>
      <c r="M46" s="207"/>
      <c r="N46" s="207"/>
      <c r="O46" s="207"/>
      <c r="P46" s="207"/>
      <c r="Q46" s="207"/>
      <c r="R46" s="215"/>
      <c r="S46" s="226"/>
      <c r="T46" s="227"/>
      <c r="U46" s="227"/>
      <c r="V46" s="227"/>
      <c r="W46" s="227"/>
      <c r="X46" s="227"/>
      <c r="Y46" s="227"/>
      <c r="Z46" s="227"/>
      <c r="AA46" s="227"/>
      <c r="AB46" s="228"/>
      <c r="AC46" s="258"/>
      <c r="AD46" s="178"/>
      <c r="AE46" s="178"/>
      <c r="AF46" s="178"/>
      <c r="AG46" s="530"/>
      <c r="AH46" s="531"/>
      <c r="AI46" s="178"/>
      <c r="AJ46" s="178"/>
      <c r="AK46" s="178"/>
      <c r="AL46" s="202"/>
      <c r="AM46" s="237"/>
      <c r="AN46" s="238"/>
      <c r="AO46" s="238"/>
      <c r="AP46" s="238"/>
      <c r="AQ46" s="238"/>
      <c r="AR46" s="238"/>
      <c r="AS46" s="238"/>
      <c r="AT46" s="238"/>
      <c r="AU46" s="238"/>
      <c r="AV46" s="273"/>
      <c r="AW46" s="295"/>
      <c r="AX46" s="296"/>
      <c r="AY46" s="296"/>
      <c r="AZ46" s="296"/>
      <c r="BA46" s="296"/>
      <c r="BB46" s="296"/>
      <c r="BC46" s="296"/>
      <c r="BD46" s="296"/>
      <c r="BE46" s="296"/>
      <c r="BF46" s="297"/>
      <c r="BG46" s="214"/>
      <c r="BH46" s="207"/>
      <c r="BI46" s="207"/>
      <c r="BJ46" s="207"/>
      <c r="BK46" s="207"/>
      <c r="BL46" s="207"/>
      <c r="BM46" s="207"/>
      <c r="BN46" s="207"/>
      <c r="BO46" s="207"/>
      <c r="BP46" s="215"/>
      <c r="BQ46" s="249"/>
      <c r="BR46" s="227"/>
      <c r="BS46" s="227"/>
      <c r="BT46" s="227"/>
      <c r="BU46" s="227"/>
      <c r="BV46" s="227"/>
      <c r="BW46" s="227"/>
      <c r="BX46" s="227"/>
      <c r="BY46" s="227"/>
      <c r="BZ46" s="247"/>
      <c r="CA46" s="537"/>
      <c r="CB46" s="538"/>
      <c r="CC46" s="538"/>
      <c r="CD46" s="538"/>
      <c r="CE46" s="538"/>
      <c r="CF46" s="538"/>
      <c r="CG46" s="538"/>
      <c r="CH46" s="538"/>
      <c r="CI46" s="538"/>
      <c r="CJ46" s="539"/>
      <c r="CK46" s="240"/>
      <c r="CL46" s="238"/>
      <c r="CM46" s="238"/>
      <c r="CN46" s="238"/>
      <c r="CO46" s="238"/>
      <c r="CP46" s="238"/>
      <c r="CQ46" s="238"/>
      <c r="CR46" s="238"/>
      <c r="CS46" s="238"/>
      <c r="CT46" s="239"/>
      <c r="CU46" s="295"/>
      <c r="CV46" s="296"/>
      <c r="CW46" s="296"/>
      <c r="CX46" s="296"/>
      <c r="CY46" s="296"/>
      <c r="CZ46" s="296"/>
      <c r="DA46" s="296"/>
      <c r="DB46" s="296"/>
      <c r="DC46" s="296"/>
      <c r="DD46" s="297"/>
      <c r="DE46" s="214"/>
      <c r="DF46" s="207"/>
      <c r="DG46" s="207"/>
      <c r="DH46" s="207"/>
      <c r="DI46" s="207"/>
      <c r="DJ46" s="207"/>
      <c r="DK46" s="207"/>
      <c r="DL46" s="207"/>
      <c r="DM46" s="207"/>
      <c r="DN46" s="215"/>
      <c r="DO46" s="226"/>
      <c r="DP46" s="227"/>
      <c r="DQ46" s="227"/>
      <c r="DR46" s="227"/>
      <c r="DS46" s="227"/>
      <c r="DT46" s="227"/>
      <c r="DU46" s="227"/>
      <c r="DV46" s="227"/>
      <c r="DW46" s="227"/>
      <c r="DX46" s="228"/>
      <c r="DY46" s="307"/>
      <c r="DZ46" s="91"/>
      <c r="EA46" s="91"/>
      <c r="EB46" s="91"/>
      <c r="EC46" s="91"/>
      <c r="ED46" s="91"/>
      <c r="EE46" s="91"/>
      <c r="EF46" s="91"/>
      <c r="EG46" s="91"/>
      <c r="EH46" s="91"/>
      <c r="EI46" s="238"/>
      <c r="EJ46" s="238"/>
      <c r="EK46" s="238"/>
      <c r="EL46" s="238"/>
      <c r="EM46" s="238"/>
      <c r="EN46" s="238"/>
      <c r="EO46" s="238"/>
      <c r="EP46" s="238"/>
      <c r="EQ46" s="238"/>
      <c r="ER46" s="238"/>
      <c r="ES46" s="350"/>
      <c r="ET46" s="350"/>
      <c r="EU46" s="350"/>
      <c r="EV46" s="350"/>
      <c r="EW46" s="350"/>
      <c r="EX46" s="350"/>
      <c r="EY46" s="350"/>
      <c r="EZ46" s="350"/>
      <c r="FA46" s="350"/>
      <c r="FB46" s="350"/>
      <c r="FC46" s="350"/>
      <c r="FD46" s="350"/>
      <c r="FE46" s="350"/>
      <c r="FF46" s="350"/>
      <c r="FG46" s="349">
        <f t="shared" si="18"/>
        <v>44</v>
      </c>
      <c r="FH46" s="319">
        <f t="shared" si="12"/>
        <v>0</v>
      </c>
      <c r="FI46" s="319">
        <f>SUM(I7:ER7)-SUM(ES46:FF46)</f>
        <v>128</v>
      </c>
      <c r="FJ46" s="319">
        <f t="shared" si="13"/>
        <v>128</v>
      </c>
      <c r="FK46" s="7"/>
    </row>
    <row r="47" spans="1:167" ht="15.75" customHeight="1">
      <c r="A47" s="2"/>
      <c r="B47" s="3">
        <f t="shared" si="0"/>
        <v>0</v>
      </c>
      <c r="C47" s="347">
        <v>40</v>
      </c>
      <c r="D47" s="184"/>
      <c r="E47" s="347"/>
      <c r="F47" s="347"/>
      <c r="G47" s="493">
        <v>45915</v>
      </c>
      <c r="H47" s="494"/>
      <c r="I47" s="214"/>
      <c r="J47" s="207"/>
      <c r="K47" s="207"/>
      <c r="L47" s="207"/>
      <c r="M47" s="207"/>
      <c r="N47" s="207"/>
      <c r="O47" s="207"/>
      <c r="P47" s="207"/>
      <c r="Q47" s="207"/>
      <c r="R47" s="215"/>
      <c r="S47" s="226"/>
      <c r="T47" s="227"/>
      <c r="U47" s="227"/>
      <c r="V47" s="227"/>
      <c r="W47" s="227"/>
      <c r="X47" s="227"/>
      <c r="Y47" s="227"/>
      <c r="Z47" s="227"/>
      <c r="AA47" s="227"/>
      <c r="AB47" s="228"/>
      <c r="AC47" s="258"/>
      <c r="AD47" s="178"/>
      <c r="AE47" s="178"/>
      <c r="AF47" s="178"/>
      <c r="AG47" s="530"/>
      <c r="AH47" s="531"/>
      <c r="AI47" s="178"/>
      <c r="AJ47" s="178"/>
      <c r="AK47" s="178"/>
      <c r="AL47" s="202"/>
      <c r="AM47" s="237"/>
      <c r="AN47" s="238"/>
      <c r="AO47" s="238"/>
      <c r="AP47" s="238"/>
      <c r="AQ47" s="238"/>
      <c r="AR47" s="238"/>
      <c r="AS47" s="238"/>
      <c r="AT47" s="238"/>
      <c r="AU47" s="238"/>
      <c r="AV47" s="273"/>
      <c r="AW47" s="295"/>
      <c r="AX47" s="296"/>
      <c r="AY47" s="296"/>
      <c r="AZ47" s="296"/>
      <c r="BA47" s="296"/>
      <c r="BB47" s="296"/>
      <c r="BC47" s="296"/>
      <c r="BD47" s="296"/>
      <c r="BE47" s="296"/>
      <c r="BF47" s="297"/>
      <c r="BG47" s="214"/>
      <c r="BH47" s="207"/>
      <c r="BI47" s="207"/>
      <c r="BJ47" s="207"/>
      <c r="BK47" s="207"/>
      <c r="BL47" s="207"/>
      <c r="BM47" s="207"/>
      <c r="BN47" s="207"/>
      <c r="BO47" s="207"/>
      <c r="BP47" s="215"/>
      <c r="BQ47" s="249"/>
      <c r="BR47" s="227"/>
      <c r="BS47" s="227"/>
      <c r="BT47" s="227"/>
      <c r="BU47" s="227"/>
      <c r="BV47" s="227"/>
      <c r="BW47" s="227"/>
      <c r="BX47" s="227"/>
      <c r="BY47" s="227"/>
      <c r="BZ47" s="247"/>
      <c r="CA47" s="537"/>
      <c r="CB47" s="538"/>
      <c r="CC47" s="538"/>
      <c r="CD47" s="538"/>
      <c r="CE47" s="538"/>
      <c r="CF47" s="538"/>
      <c r="CG47" s="538"/>
      <c r="CH47" s="538"/>
      <c r="CI47" s="538"/>
      <c r="CJ47" s="539"/>
      <c r="CK47" s="240"/>
      <c r="CL47" s="238"/>
      <c r="CM47" s="238"/>
      <c r="CN47" s="238"/>
      <c r="CO47" s="238"/>
      <c r="CP47" s="238"/>
      <c r="CQ47" s="238"/>
      <c r="CR47" s="238"/>
      <c r="CS47" s="238"/>
      <c r="CT47" s="239"/>
      <c r="CU47" s="295"/>
      <c r="CV47" s="296"/>
      <c r="CW47" s="296"/>
      <c r="CX47" s="296"/>
      <c r="CY47" s="296"/>
      <c r="CZ47" s="296"/>
      <c r="DA47" s="296"/>
      <c r="DB47" s="296"/>
      <c r="DC47" s="296"/>
      <c r="DD47" s="297"/>
      <c r="DE47" s="214"/>
      <c r="DF47" s="207"/>
      <c r="DG47" s="207"/>
      <c r="DH47" s="207"/>
      <c r="DI47" s="207"/>
      <c r="DJ47" s="207"/>
      <c r="DK47" s="207"/>
      <c r="DL47" s="207"/>
      <c r="DM47" s="207"/>
      <c r="DN47" s="215"/>
      <c r="DO47" s="226"/>
      <c r="DP47" s="227"/>
      <c r="DQ47" s="227"/>
      <c r="DR47" s="227"/>
      <c r="DS47" s="227"/>
      <c r="DT47" s="227"/>
      <c r="DU47" s="227"/>
      <c r="DV47" s="227"/>
      <c r="DW47" s="227"/>
      <c r="DX47" s="228"/>
      <c r="DY47" s="307"/>
      <c r="DZ47" s="91"/>
      <c r="EA47" s="91"/>
      <c r="EB47" s="91"/>
      <c r="EC47" s="91"/>
      <c r="ED47" s="91"/>
      <c r="EE47" s="91"/>
      <c r="EF47" s="91"/>
      <c r="EG47" s="91"/>
      <c r="EH47" s="91"/>
      <c r="EI47" s="238"/>
      <c r="EJ47" s="238"/>
      <c r="EK47" s="238"/>
      <c r="EL47" s="238"/>
      <c r="EM47" s="238"/>
      <c r="EN47" s="238"/>
      <c r="EO47" s="238"/>
      <c r="EP47" s="238"/>
      <c r="EQ47" s="238"/>
      <c r="ER47" s="238"/>
      <c r="ES47" s="350"/>
      <c r="ET47" s="350"/>
      <c r="EU47" s="350"/>
      <c r="EV47" s="350"/>
      <c r="EW47" s="350"/>
      <c r="EX47" s="350"/>
      <c r="EY47" s="350"/>
      <c r="EZ47" s="350"/>
      <c r="FA47" s="350"/>
      <c r="FB47" s="350"/>
      <c r="FC47" s="350"/>
      <c r="FD47" s="350"/>
      <c r="FE47" s="350"/>
      <c r="FF47" s="350"/>
      <c r="FG47" s="349">
        <f t="shared" si="18"/>
        <v>45</v>
      </c>
      <c r="FH47" s="319">
        <f t="shared" si="12"/>
        <v>0</v>
      </c>
      <c r="FI47" s="319">
        <f>SUM(I7:ER7)-SUM(ES47:FF47)</f>
        <v>128</v>
      </c>
      <c r="FJ47" s="319">
        <f t="shared" si="13"/>
        <v>128</v>
      </c>
      <c r="FK47" s="7"/>
    </row>
    <row r="48" spans="1:167" ht="15.75" customHeight="1">
      <c r="A48" s="2"/>
      <c r="B48" s="3">
        <f t="shared" si="0"/>
        <v>0</v>
      </c>
      <c r="C48" s="347">
        <v>41</v>
      </c>
      <c r="D48" s="184"/>
      <c r="E48" s="347"/>
      <c r="F48" s="347"/>
      <c r="G48" s="493">
        <v>45915</v>
      </c>
      <c r="H48" s="494"/>
      <c r="I48" s="214"/>
      <c r="J48" s="207"/>
      <c r="K48" s="207"/>
      <c r="L48" s="207"/>
      <c r="M48" s="207"/>
      <c r="N48" s="207"/>
      <c r="O48" s="207"/>
      <c r="P48" s="207"/>
      <c r="Q48" s="207"/>
      <c r="R48" s="215"/>
      <c r="S48" s="226"/>
      <c r="T48" s="227"/>
      <c r="U48" s="227"/>
      <c r="V48" s="227"/>
      <c r="W48" s="227"/>
      <c r="X48" s="227"/>
      <c r="Y48" s="227"/>
      <c r="Z48" s="227"/>
      <c r="AA48" s="227"/>
      <c r="AB48" s="228"/>
      <c r="AC48" s="258"/>
      <c r="AD48" s="178"/>
      <c r="AE48" s="178"/>
      <c r="AF48" s="178"/>
      <c r="AG48" s="530"/>
      <c r="AH48" s="531"/>
      <c r="AI48" s="178"/>
      <c r="AJ48" s="178"/>
      <c r="AK48" s="178"/>
      <c r="AL48" s="202"/>
      <c r="AM48" s="237"/>
      <c r="AN48" s="238"/>
      <c r="AO48" s="238"/>
      <c r="AP48" s="238"/>
      <c r="AQ48" s="238"/>
      <c r="AR48" s="238"/>
      <c r="AS48" s="238"/>
      <c r="AT48" s="238"/>
      <c r="AU48" s="238"/>
      <c r="AV48" s="273"/>
      <c r="AW48" s="295"/>
      <c r="AX48" s="296"/>
      <c r="AY48" s="296"/>
      <c r="AZ48" s="296"/>
      <c r="BA48" s="296"/>
      <c r="BB48" s="296"/>
      <c r="BC48" s="296"/>
      <c r="BD48" s="296"/>
      <c r="BE48" s="296"/>
      <c r="BF48" s="297"/>
      <c r="BG48" s="214"/>
      <c r="BH48" s="207"/>
      <c r="BI48" s="207"/>
      <c r="BJ48" s="207"/>
      <c r="BK48" s="207"/>
      <c r="BL48" s="207"/>
      <c r="BM48" s="207"/>
      <c r="BN48" s="207"/>
      <c r="BO48" s="207"/>
      <c r="BP48" s="215"/>
      <c r="BQ48" s="249"/>
      <c r="BR48" s="227"/>
      <c r="BS48" s="227"/>
      <c r="BT48" s="227"/>
      <c r="BU48" s="227"/>
      <c r="BV48" s="227"/>
      <c r="BW48" s="227"/>
      <c r="BX48" s="227"/>
      <c r="BY48" s="227"/>
      <c r="BZ48" s="247"/>
      <c r="CA48" s="537"/>
      <c r="CB48" s="538"/>
      <c r="CC48" s="538"/>
      <c r="CD48" s="538"/>
      <c r="CE48" s="538"/>
      <c r="CF48" s="538"/>
      <c r="CG48" s="538"/>
      <c r="CH48" s="538"/>
      <c r="CI48" s="538"/>
      <c r="CJ48" s="539"/>
      <c r="CK48" s="240"/>
      <c r="CL48" s="238"/>
      <c r="CM48" s="238"/>
      <c r="CN48" s="238"/>
      <c r="CO48" s="238"/>
      <c r="CP48" s="238"/>
      <c r="CQ48" s="238"/>
      <c r="CR48" s="238"/>
      <c r="CS48" s="238"/>
      <c r="CT48" s="239"/>
      <c r="CU48" s="295"/>
      <c r="CV48" s="296"/>
      <c r="CW48" s="296"/>
      <c r="CX48" s="296"/>
      <c r="CY48" s="296"/>
      <c r="CZ48" s="296"/>
      <c r="DA48" s="296"/>
      <c r="DB48" s="296"/>
      <c r="DC48" s="296"/>
      <c r="DD48" s="297"/>
      <c r="DE48" s="214"/>
      <c r="DF48" s="207"/>
      <c r="DG48" s="207"/>
      <c r="DH48" s="207"/>
      <c r="DI48" s="207"/>
      <c r="DJ48" s="207"/>
      <c r="DK48" s="207"/>
      <c r="DL48" s="207"/>
      <c r="DM48" s="207"/>
      <c r="DN48" s="215"/>
      <c r="DO48" s="226"/>
      <c r="DP48" s="227"/>
      <c r="DQ48" s="227"/>
      <c r="DR48" s="227"/>
      <c r="DS48" s="227"/>
      <c r="DT48" s="227"/>
      <c r="DU48" s="227"/>
      <c r="DV48" s="227"/>
      <c r="DW48" s="227"/>
      <c r="DX48" s="228"/>
      <c r="DY48" s="307"/>
      <c r="DZ48" s="91"/>
      <c r="EA48" s="91"/>
      <c r="EB48" s="91"/>
      <c r="EC48" s="91"/>
      <c r="ED48" s="91"/>
      <c r="EE48" s="91"/>
      <c r="EF48" s="91"/>
      <c r="EG48" s="91"/>
      <c r="EH48" s="91"/>
      <c r="EI48" s="238"/>
      <c r="EJ48" s="238"/>
      <c r="EK48" s="238"/>
      <c r="EL48" s="238"/>
      <c r="EM48" s="238"/>
      <c r="EN48" s="238"/>
      <c r="EO48" s="238"/>
      <c r="EP48" s="238"/>
      <c r="EQ48" s="238"/>
      <c r="ER48" s="238"/>
      <c r="ES48" s="350"/>
      <c r="ET48" s="350"/>
      <c r="EU48" s="350"/>
      <c r="EV48" s="350"/>
      <c r="EW48" s="350"/>
      <c r="EX48" s="350"/>
      <c r="EY48" s="350"/>
      <c r="EZ48" s="350"/>
      <c r="FA48" s="350"/>
      <c r="FB48" s="350"/>
      <c r="FC48" s="350"/>
      <c r="FD48" s="350"/>
      <c r="FE48" s="350"/>
      <c r="FF48" s="350"/>
      <c r="FG48" s="349">
        <f t="shared" si="18"/>
        <v>46</v>
      </c>
      <c r="FH48" s="319">
        <f t="shared" si="12"/>
        <v>0</v>
      </c>
      <c r="FI48" s="319">
        <f>SUM(I7:ER7)-SUM(ES48:FF48)</f>
        <v>128</v>
      </c>
      <c r="FJ48" s="319">
        <f t="shared" si="13"/>
        <v>128</v>
      </c>
      <c r="FK48" s="7"/>
    </row>
    <row r="49" spans="1:167" ht="15.75" customHeight="1">
      <c r="A49" s="2"/>
      <c r="B49" s="3">
        <f t="shared" si="0"/>
        <v>0</v>
      </c>
      <c r="C49" s="347">
        <v>42</v>
      </c>
      <c r="D49" s="184"/>
      <c r="E49" s="347"/>
      <c r="F49" s="347"/>
      <c r="G49" s="493">
        <v>45915</v>
      </c>
      <c r="H49" s="494"/>
      <c r="I49" s="214"/>
      <c r="J49" s="207"/>
      <c r="K49" s="207"/>
      <c r="L49" s="207"/>
      <c r="M49" s="207"/>
      <c r="N49" s="207"/>
      <c r="O49" s="207"/>
      <c r="P49" s="207"/>
      <c r="Q49" s="207"/>
      <c r="R49" s="215"/>
      <c r="S49" s="226"/>
      <c r="T49" s="227"/>
      <c r="U49" s="227"/>
      <c r="V49" s="227"/>
      <c r="W49" s="227"/>
      <c r="X49" s="227"/>
      <c r="Y49" s="227"/>
      <c r="Z49" s="227"/>
      <c r="AA49" s="227"/>
      <c r="AB49" s="228"/>
      <c r="AC49" s="258"/>
      <c r="AD49" s="178"/>
      <c r="AE49" s="178"/>
      <c r="AF49" s="178"/>
      <c r="AG49" s="530"/>
      <c r="AH49" s="531"/>
      <c r="AI49" s="178"/>
      <c r="AJ49" s="178"/>
      <c r="AK49" s="178"/>
      <c r="AL49" s="202"/>
      <c r="AM49" s="237"/>
      <c r="AN49" s="238"/>
      <c r="AO49" s="238"/>
      <c r="AP49" s="238"/>
      <c r="AQ49" s="238"/>
      <c r="AR49" s="238"/>
      <c r="AS49" s="238"/>
      <c r="AT49" s="238"/>
      <c r="AU49" s="238"/>
      <c r="AV49" s="273"/>
      <c r="AW49" s="295"/>
      <c r="AX49" s="296"/>
      <c r="AY49" s="296"/>
      <c r="AZ49" s="296"/>
      <c r="BA49" s="296"/>
      <c r="BB49" s="296"/>
      <c r="BC49" s="296"/>
      <c r="BD49" s="296"/>
      <c r="BE49" s="296"/>
      <c r="BF49" s="297"/>
      <c r="BG49" s="214"/>
      <c r="BH49" s="207"/>
      <c r="BI49" s="207"/>
      <c r="BJ49" s="207"/>
      <c r="BK49" s="207"/>
      <c r="BL49" s="207"/>
      <c r="BM49" s="207"/>
      <c r="BN49" s="207"/>
      <c r="BO49" s="207"/>
      <c r="BP49" s="215"/>
      <c r="BQ49" s="249"/>
      <c r="BR49" s="227"/>
      <c r="BS49" s="227"/>
      <c r="BT49" s="227"/>
      <c r="BU49" s="227"/>
      <c r="BV49" s="227"/>
      <c r="BW49" s="227"/>
      <c r="BX49" s="227"/>
      <c r="BY49" s="227"/>
      <c r="BZ49" s="247"/>
      <c r="CA49" s="537"/>
      <c r="CB49" s="538"/>
      <c r="CC49" s="538"/>
      <c r="CD49" s="538"/>
      <c r="CE49" s="538"/>
      <c r="CF49" s="538"/>
      <c r="CG49" s="538"/>
      <c r="CH49" s="538"/>
      <c r="CI49" s="538"/>
      <c r="CJ49" s="539"/>
      <c r="CK49" s="240"/>
      <c r="CL49" s="238"/>
      <c r="CM49" s="238"/>
      <c r="CN49" s="238"/>
      <c r="CO49" s="238"/>
      <c r="CP49" s="238"/>
      <c r="CQ49" s="238"/>
      <c r="CR49" s="238"/>
      <c r="CS49" s="238"/>
      <c r="CT49" s="239"/>
      <c r="CU49" s="295"/>
      <c r="CV49" s="296"/>
      <c r="CW49" s="296"/>
      <c r="CX49" s="296"/>
      <c r="CY49" s="296"/>
      <c r="CZ49" s="296"/>
      <c r="DA49" s="296"/>
      <c r="DB49" s="296"/>
      <c r="DC49" s="296"/>
      <c r="DD49" s="297"/>
      <c r="DE49" s="214"/>
      <c r="DF49" s="207"/>
      <c r="DG49" s="207"/>
      <c r="DH49" s="207"/>
      <c r="DI49" s="207"/>
      <c r="DJ49" s="207"/>
      <c r="DK49" s="207"/>
      <c r="DL49" s="207"/>
      <c r="DM49" s="207"/>
      <c r="DN49" s="215"/>
      <c r="DO49" s="226"/>
      <c r="DP49" s="227"/>
      <c r="DQ49" s="227"/>
      <c r="DR49" s="227"/>
      <c r="DS49" s="227"/>
      <c r="DT49" s="227"/>
      <c r="DU49" s="227"/>
      <c r="DV49" s="227"/>
      <c r="DW49" s="227"/>
      <c r="DX49" s="228"/>
      <c r="DY49" s="307"/>
      <c r="DZ49" s="91"/>
      <c r="EA49" s="91"/>
      <c r="EB49" s="91"/>
      <c r="EC49" s="91"/>
      <c r="ED49" s="91"/>
      <c r="EE49" s="91"/>
      <c r="EF49" s="91"/>
      <c r="EG49" s="91"/>
      <c r="EH49" s="91"/>
      <c r="EI49" s="238"/>
      <c r="EJ49" s="238"/>
      <c r="EK49" s="238"/>
      <c r="EL49" s="238"/>
      <c r="EM49" s="238"/>
      <c r="EN49" s="238"/>
      <c r="EO49" s="238"/>
      <c r="EP49" s="238"/>
      <c r="EQ49" s="238"/>
      <c r="ER49" s="238"/>
      <c r="ES49" s="350"/>
      <c r="ET49" s="350"/>
      <c r="EU49" s="350"/>
      <c r="EV49" s="350"/>
      <c r="EW49" s="350"/>
      <c r="EX49" s="350"/>
      <c r="EY49" s="350"/>
      <c r="EZ49" s="350"/>
      <c r="FA49" s="350"/>
      <c r="FB49" s="350"/>
      <c r="FC49" s="350"/>
      <c r="FD49" s="350"/>
      <c r="FE49" s="350"/>
      <c r="FF49" s="350"/>
      <c r="FG49" s="349">
        <f t="shared" si="18"/>
        <v>47</v>
      </c>
      <c r="FH49" s="319">
        <f t="shared" si="12"/>
        <v>0</v>
      </c>
      <c r="FI49" s="319">
        <f>SUM(I7:ER7)-SUM(ES49:FF49)</f>
        <v>128</v>
      </c>
      <c r="FJ49" s="319">
        <f t="shared" si="13"/>
        <v>128</v>
      </c>
      <c r="FK49" s="7"/>
    </row>
    <row r="50" spans="1:167" ht="15.75" customHeight="1">
      <c r="A50" s="2"/>
      <c r="B50" s="3">
        <f t="shared" si="0"/>
        <v>0</v>
      </c>
      <c r="C50" s="347">
        <v>43</v>
      </c>
      <c r="D50" s="184"/>
      <c r="E50" s="347"/>
      <c r="F50" s="347"/>
      <c r="G50" s="493">
        <v>45915</v>
      </c>
      <c r="H50" s="494"/>
      <c r="I50" s="214"/>
      <c r="J50" s="207"/>
      <c r="K50" s="207"/>
      <c r="L50" s="207"/>
      <c r="M50" s="207"/>
      <c r="N50" s="207"/>
      <c r="O50" s="207"/>
      <c r="P50" s="207"/>
      <c r="Q50" s="207"/>
      <c r="R50" s="215"/>
      <c r="S50" s="226"/>
      <c r="T50" s="227"/>
      <c r="U50" s="227"/>
      <c r="V50" s="227"/>
      <c r="W50" s="227"/>
      <c r="X50" s="227"/>
      <c r="Y50" s="227"/>
      <c r="Z50" s="227"/>
      <c r="AA50" s="227"/>
      <c r="AB50" s="228"/>
      <c r="AC50" s="258"/>
      <c r="AD50" s="178"/>
      <c r="AE50" s="178"/>
      <c r="AF50" s="178"/>
      <c r="AG50" s="530"/>
      <c r="AH50" s="531"/>
      <c r="AI50" s="178"/>
      <c r="AJ50" s="178"/>
      <c r="AK50" s="178"/>
      <c r="AL50" s="202"/>
      <c r="AM50" s="237"/>
      <c r="AN50" s="238"/>
      <c r="AO50" s="238"/>
      <c r="AP50" s="238"/>
      <c r="AQ50" s="238"/>
      <c r="AR50" s="238"/>
      <c r="AS50" s="238"/>
      <c r="AT50" s="238"/>
      <c r="AU50" s="238"/>
      <c r="AV50" s="273"/>
      <c r="AW50" s="295"/>
      <c r="AX50" s="296"/>
      <c r="AY50" s="296"/>
      <c r="AZ50" s="296"/>
      <c r="BA50" s="296"/>
      <c r="BB50" s="296"/>
      <c r="BC50" s="296"/>
      <c r="BD50" s="296"/>
      <c r="BE50" s="296"/>
      <c r="BF50" s="297"/>
      <c r="BG50" s="214"/>
      <c r="BH50" s="207"/>
      <c r="BI50" s="207"/>
      <c r="BJ50" s="207"/>
      <c r="BK50" s="207"/>
      <c r="BL50" s="207"/>
      <c r="BM50" s="207"/>
      <c r="BN50" s="207"/>
      <c r="BO50" s="207"/>
      <c r="BP50" s="215"/>
      <c r="BQ50" s="249"/>
      <c r="BR50" s="227"/>
      <c r="BS50" s="227"/>
      <c r="BT50" s="227"/>
      <c r="BU50" s="227"/>
      <c r="BV50" s="227"/>
      <c r="BW50" s="227"/>
      <c r="BX50" s="227"/>
      <c r="BY50" s="227"/>
      <c r="BZ50" s="247"/>
      <c r="CA50" s="537"/>
      <c r="CB50" s="538"/>
      <c r="CC50" s="538"/>
      <c r="CD50" s="538"/>
      <c r="CE50" s="538"/>
      <c r="CF50" s="538"/>
      <c r="CG50" s="538"/>
      <c r="CH50" s="538"/>
      <c r="CI50" s="538"/>
      <c r="CJ50" s="539"/>
      <c r="CK50" s="240"/>
      <c r="CL50" s="238"/>
      <c r="CM50" s="238"/>
      <c r="CN50" s="238"/>
      <c r="CO50" s="238"/>
      <c r="CP50" s="238"/>
      <c r="CQ50" s="238"/>
      <c r="CR50" s="238"/>
      <c r="CS50" s="238"/>
      <c r="CT50" s="239"/>
      <c r="CU50" s="295"/>
      <c r="CV50" s="296"/>
      <c r="CW50" s="296"/>
      <c r="CX50" s="296"/>
      <c r="CY50" s="296"/>
      <c r="CZ50" s="296"/>
      <c r="DA50" s="296"/>
      <c r="DB50" s="296"/>
      <c r="DC50" s="296"/>
      <c r="DD50" s="297"/>
      <c r="DE50" s="214"/>
      <c r="DF50" s="207"/>
      <c r="DG50" s="207"/>
      <c r="DH50" s="207"/>
      <c r="DI50" s="207"/>
      <c r="DJ50" s="207"/>
      <c r="DK50" s="207"/>
      <c r="DL50" s="207"/>
      <c r="DM50" s="207"/>
      <c r="DN50" s="215"/>
      <c r="DO50" s="226"/>
      <c r="DP50" s="227"/>
      <c r="DQ50" s="227"/>
      <c r="DR50" s="227"/>
      <c r="DS50" s="227"/>
      <c r="DT50" s="227"/>
      <c r="DU50" s="227"/>
      <c r="DV50" s="227"/>
      <c r="DW50" s="227"/>
      <c r="DX50" s="228"/>
      <c r="DY50" s="307"/>
      <c r="DZ50" s="91"/>
      <c r="EA50" s="91"/>
      <c r="EB50" s="91"/>
      <c r="EC50" s="91"/>
      <c r="ED50" s="91"/>
      <c r="EE50" s="91"/>
      <c r="EF50" s="91"/>
      <c r="EG50" s="91"/>
      <c r="EH50" s="91"/>
      <c r="EI50" s="238"/>
      <c r="EJ50" s="238"/>
      <c r="EK50" s="238"/>
      <c r="EL50" s="238"/>
      <c r="EM50" s="238"/>
      <c r="EN50" s="238"/>
      <c r="EO50" s="238"/>
      <c r="EP50" s="238"/>
      <c r="EQ50" s="238"/>
      <c r="ER50" s="238"/>
      <c r="ES50" s="350"/>
      <c r="ET50" s="350"/>
      <c r="EU50" s="350"/>
      <c r="EV50" s="350"/>
      <c r="EW50" s="350"/>
      <c r="EX50" s="350"/>
      <c r="EY50" s="350"/>
      <c r="EZ50" s="350"/>
      <c r="FA50" s="350"/>
      <c r="FB50" s="350"/>
      <c r="FC50" s="350"/>
      <c r="FD50" s="350"/>
      <c r="FE50" s="350"/>
      <c r="FF50" s="350"/>
      <c r="FG50" s="349">
        <f t="shared" si="18"/>
        <v>48</v>
      </c>
      <c r="FH50" s="319">
        <f t="shared" si="12"/>
        <v>0</v>
      </c>
      <c r="FI50" s="319">
        <f>SUM(I7:ER7)-SUM(ES50:FF50)</f>
        <v>128</v>
      </c>
      <c r="FJ50" s="319">
        <f t="shared" si="13"/>
        <v>128</v>
      </c>
      <c r="FK50" s="7"/>
    </row>
    <row r="51" spans="1:167" ht="15.75" customHeight="1">
      <c r="A51" s="2"/>
      <c r="B51" s="3">
        <f t="shared" si="0"/>
        <v>0</v>
      </c>
      <c r="C51" s="347">
        <v>44</v>
      </c>
      <c r="D51" s="184"/>
      <c r="E51" s="347"/>
      <c r="F51" s="347"/>
      <c r="G51" s="493">
        <v>45915</v>
      </c>
      <c r="H51" s="494"/>
      <c r="I51" s="214"/>
      <c r="J51" s="207"/>
      <c r="K51" s="207"/>
      <c r="L51" s="207"/>
      <c r="M51" s="207"/>
      <c r="N51" s="207"/>
      <c r="O51" s="207"/>
      <c r="P51" s="207"/>
      <c r="Q51" s="207"/>
      <c r="R51" s="215"/>
      <c r="S51" s="226"/>
      <c r="T51" s="227"/>
      <c r="U51" s="227"/>
      <c r="V51" s="227"/>
      <c r="W51" s="227"/>
      <c r="X51" s="227"/>
      <c r="Y51" s="227"/>
      <c r="Z51" s="227"/>
      <c r="AA51" s="227"/>
      <c r="AB51" s="228"/>
      <c r="AC51" s="258"/>
      <c r="AD51" s="178"/>
      <c r="AE51" s="178"/>
      <c r="AF51" s="178"/>
      <c r="AG51" s="530"/>
      <c r="AH51" s="531"/>
      <c r="AI51" s="178"/>
      <c r="AJ51" s="178"/>
      <c r="AK51" s="178"/>
      <c r="AL51" s="202"/>
      <c r="AM51" s="237"/>
      <c r="AN51" s="238"/>
      <c r="AO51" s="238"/>
      <c r="AP51" s="238"/>
      <c r="AQ51" s="238"/>
      <c r="AR51" s="238"/>
      <c r="AS51" s="238"/>
      <c r="AT51" s="238"/>
      <c r="AU51" s="238"/>
      <c r="AV51" s="273"/>
      <c r="AW51" s="295"/>
      <c r="AX51" s="296"/>
      <c r="AY51" s="296"/>
      <c r="AZ51" s="296"/>
      <c r="BA51" s="296"/>
      <c r="BB51" s="296"/>
      <c r="BC51" s="296"/>
      <c r="BD51" s="296"/>
      <c r="BE51" s="296"/>
      <c r="BF51" s="297"/>
      <c r="BG51" s="214"/>
      <c r="BH51" s="207"/>
      <c r="BI51" s="207"/>
      <c r="BJ51" s="207"/>
      <c r="BK51" s="207"/>
      <c r="BL51" s="207"/>
      <c r="BM51" s="207"/>
      <c r="BN51" s="207"/>
      <c r="BO51" s="207"/>
      <c r="BP51" s="215"/>
      <c r="BQ51" s="249"/>
      <c r="BR51" s="227"/>
      <c r="BS51" s="227"/>
      <c r="BT51" s="227"/>
      <c r="BU51" s="227"/>
      <c r="BV51" s="227"/>
      <c r="BW51" s="227"/>
      <c r="BX51" s="227"/>
      <c r="BY51" s="227"/>
      <c r="BZ51" s="247"/>
      <c r="CA51" s="537"/>
      <c r="CB51" s="538"/>
      <c r="CC51" s="538"/>
      <c r="CD51" s="538"/>
      <c r="CE51" s="538"/>
      <c r="CF51" s="538"/>
      <c r="CG51" s="538"/>
      <c r="CH51" s="538"/>
      <c r="CI51" s="538"/>
      <c r="CJ51" s="539"/>
      <c r="CK51" s="240"/>
      <c r="CL51" s="238"/>
      <c r="CM51" s="238"/>
      <c r="CN51" s="238"/>
      <c r="CO51" s="238"/>
      <c r="CP51" s="238"/>
      <c r="CQ51" s="238"/>
      <c r="CR51" s="238"/>
      <c r="CS51" s="238"/>
      <c r="CT51" s="239"/>
      <c r="CU51" s="295"/>
      <c r="CV51" s="296"/>
      <c r="CW51" s="296"/>
      <c r="CX51" s="296"/>
      <c r="CY51" s="296"/>
      <c r="CZ51" s="296"/>
      <c r="DA51" s="296"/>
      <c r="DB51" s="296"/>
      <c r="DC51" s="296"/>
      <c r="DD51" s="297"/>
      <c r="DE51" s="214"/>
      <c r="DF51" s="207"/>
      <c r="DG51" s="207"/>
      <c r="DH51" s="207"/>
      <c r="DI51" s="207"/>
      <c r="DJ51" s="207"/>
      <c r="DK51" s="207"/>
      <c r="DL51" s="207"/>
      <c r="DM51" s="207"/>
      <c r="DN51" s="215"/>
      <c r="DO51" s="226"/>
      <c r="DP51" s="227"/>
      <c r="DQ51" s="227"/>
      <c r="DR51" s="227"/>
      <c r="DS51" s="227"/>
      <c r="DT51" s="227"/>
      <c r="DU51" s="227"/>
      <c r="DV51" s="227"/>
      <c r="DW51" s="227"/>
      <c r="DX51" s="228"/>
      <c r="DY51" s="307"/>
      <c r="DZ51" s="91"/>
      <c r="EA51" s="91"/>
      <c r="EB51" s="91"/>
      <c r="EC51" s="91"/>
      <c r="ED51" s="91"/>
      <c r="EE51" s="91"/>
      <c r="EF51" s="91"/>
      <c r="EG51" s="91"/>
      <c r="EH51" s="91"/>
      <c r="EI51" s="238"/>
      <c r="EJ51" s="238"/>
      <c r="EK51" s="238"/>
      <c r="EL51" s="238"/>
      <c r="EM51" s="238"/>
      <c r="EN51" s="238"/>
      <c r="EO51" s="238"/>
      <c r="EP51" s="238"/>
      <c r="EQ51" s="238"/>
      <c r="ER51" s="238"/>
      <c r="ES51" s="350"/>
      <c r="ET51" s="350"/>
      <c r="EU51" s="350"/>
      <c r="EV51" s="350"/>
      <c r="EW51" s="350"/>
      <c r="EX51" s="350"/>
      <c r="EY51" s="350"/>
      <c r="EZ51" s="350"/>
      <c r="FA51" s="350"/>
      <c r="FB51" s="350"/>
      <c r="FC51" s="350"/>
      <c r="FD51" s="350"/>
      <c r="FE51" s="350"/>
      <c r="FF51" s="350"/>
      <c r="FG51" s="349">
        <f t="shared" si="18"/>
        <v>49</v>
      </c>
      <c r="FH51" s="319">
        <f t="shared" si="12"/>
        <v>0</v>
      </c>
      <c r="FI51" s="319">
        <f>SUM(I7:ER7)-SUM(ES51:FF51)</f>
        <v>128</v>
      </c>
      <c r="FJ51" s="319">
        <f t="shared" si="13"/>
        <v>128</v>
      </c>
      <c r="FK51" s="7"/>
    </row>
    <row r="52" spans="1:167" ht="15.75" customHeight="1">
      <c r="A52" s="2"/>
      <c r="B52" s="3">
        <f t="shared" si="0"/>
        <v>0</v>
      </c>
      <c r="C52" s="347">
        <v>45</v>
      </c>
      <c r="D52" s="184"/>
      <c r="E52" s="347"/>
      <c r="F52" s="347"/>
      <c r="G52" s="493">
        <v>45915</v>
      </c>
      <c r="H52" s="494"/>
      <c r="I52" s="214"/>
      <c r="J52" s="207"/>
      <c r="K52" s="207"/>
      <c r="L52" s="207"/>
      <c r="M52" s="207"/>
      <c r="N52" s="207"/>
      <c r="O52" s="207"/>
      <c r="P52" s="207"/>
      <c r="Q52" s="207"/>
      <c r="R52" s="215"/>
      <c r="S52" s="226"/>
      <c r="T52" s="227"/>
      <c r="U52" s="227"/>
      <c r="V52" s="227"/>
      <c r="W52" s="227"/>
      <c r="X52" s="227"/>
      <c r="Y52" s="227"/>
      <c r="Z52" s="227"/>
      <c r="AA52" s="227"/>
      <c r="AB52" s="228"/>
      <c r="AC52" s="258"/>
      <c r="AD52" s="178"/>
      <c r="AE52" s="178"/>
      <c r="AF52" s="178"/>
      <c r="AG52" s="530"/>
      <c r="AH52" s="531"/>
      <c r="AI52" s="178"/>
      <c r="AJ52" s="178"/>
      <c r="AK52" s="178"/>
      <c r="AL52" s="202"/>
      <c r="AM52" s="237"/>
      <c r="AN52" s="238"/>
      <c r="AO52" s="238"/>
      <c r="AP52" s="238"/>
      <c r="AQ52" s="238"/>
      <c r="AR52" s="238"/>
      <c r="AS52" s="238"/>
      <c r="AT52" s="238"/>
      <c r="AU52" s="238"/>
      <c r="AV52" s="273"/>
      <c r="AW52" s="295"/>
      <c r="AX52" s="296"/>
      <c r="AY52" s="296"/>
      <c r="AZ52" s="296"/>
      <c r="BA52" s="296"/>
      <c r="BB52" s="296"/>
      <c r="BC52" s="296"/>
      <c r="BD52" s="296"/>
      <c r="BE52" s="296"/>
      <c r="BF52" s="297"/>
      <c r="BG52" s="214"/>
      <c r="BH52" s="207"/>
      <c r="BI52" s="207"/>
      <c r="BJ52" s="207"/>
      <c r="BK52" s="207"/>
      <c r="BL52" s="207"/>
      <c r="BM52" s="207"/>
      <c r="BN52" s="207"/>
      <c r="BO52" s="207"/>
      <c r="BP52" s="215"/>
      <c r="BQ52" s="249"/>
      <c r="BR52" s="227"/>
      <c r="BS52" s="227"/>
      <c r="BT52" s="227"/>
      <c r="BU52" s="227"/>
      <c r="BV52" s="227"/>
      <c r="BW52" s="227"/>
      <c r="BX52" s="227"/>
      <c r="BY52" s="227"/>
      <c r="BZ52" s="247"/>
      <c r="CA52" s="537"/>
      <c r="CB52" s="538"/>
      <c r="CC52" s="538"/>
      <c r="CD52" s="538"/>
      <c r="CE52" s="538"/>
      <c r="CF52" s="538"/>
      <c r="CG52" s="538"/>
      <c r="CH52" s="538"/>
      <c r="CI52" s="538"/>
      <c r="CJ52" s="539"/>
      <c r="CK52" s="240"/>
      <c r="CL52" s="238"/>
      <c r="CM52" s="238"/>
      <c r="CN52" s="238"/>
      <c r="CO52" s="238"/>
      <c r="CP52" s="238"/>
      <c r="CQ52" s="238"/>
      <c r="CR52" s="238"/>
      <c r="CS52" s="238"/>
      <c r="CT52" s="239"/>
      <c r="CU52" s="295"/>
      <c r="CV52" s="296"/>
      <c r="CW52" s="296"/>
      <c r="CX52" s="296"/>
      <c r="CY52" s="296"/>
      <c r="CZ52" s="296"/>
      <c r="DA52" s="296"/>
      <c r="DB52" s="296"/>
      <c r="DC52" s="296"/>
      <c r="DD52" s="297"/>
      <c r="DE52" s="214"/>
      <c r="DF52" s="207"/>
      <c r="DG52" s="207"/>
      <c r="DH52" s="207"/>
      <c r="DI52" s="207"/>
      <c r="DJ52" s="207"/>
      <c r="DK52" s="207"/>
      <c r="DL52" s="207"/>
      <c r="DM52" s="207"/>
      <c r="DN52" s="215"/>
      <c r="DO52" s="226"/>
      <c r="DP52" s="227"/>
      <c r="DQ52" s="227"/>
      <c r="DR52" s="227"/>
      <c r="DS52" s="227"/>
      <c r="DT52" s="227"/>
      <c r="DU52" s="227"/>
      <c r="DV52" s="227"/>
      <c r="DW52" s="227"/>
      <c r="DX52" s="228"/>
      <c r="DY52" s="307"/>
      <c r="DZ52" s="91"/>
      <c r="EA52" s="91"/>
      <c r="EB52" s="91"/>
      <c r="EC52" s="91"/>
      <c r="ED52" s="91"/>
      <c r="EE52" s="91"/>
      <c r="EF52" s="91"/>
      <c r="EG52" s="91"/>
      <c r="EH52" s="91"/>
      <c r="EI52" s="238"/>
      <c r="EJ52" s="238"/>
      <c r="EK52" s="238"/>
      <c r="EL52" s="238"/>
      <c r="EM52" s="238"/>
      <c r="EN52" s="238"/>
      <c r="EO52" s="238"/>
      <c r="EP52" s="238"/>
      <c r="EQ52" s="238"/>
      <c r="ER52" s="238"/>
      <c r="ES52" s="350"/>
      <c r="ET52" s="350"/>
      <c r="EU52" s="350"/>
      <c r="EV52" s="350"/>
      <c r="EW52" s="350"/>
      <c r="EX52" s="350"/>
      <c r="EY52" s="350"/>
      <c r="EZ52" s="350"/>
      <c r="FA52" s="350"/>
      <c r="FB52" s="350"/>
      <c r="FC52" s="350"/>
      <c r="FD52" s="350"/>
      <c r="FE52" s="350"/>
      <c r="FF52" s="350"/>
      <c r="FG52" s="349">
        <f t="shared" si="18"/>
        <v>50</v>
      </c>
      <c r="FH52" s="319">
        <f t="shared" si="12"/>
        <v>0</v>
      </c>
      <c r="FI52" s="319">
        <f>SUM(I7:ER7)-SUM(ES52:FF52)</f>
        <v>128</v>
      </c>
      <c r="FJ52" s="319">
        <f t="shared" si="13"/>
        <v>128</v>
      </c>
      <c r="FK52" s="7"/>
    </row>
    <row r="53" spans="1:167" ht="15.75" customHeight="1">
      <c r="A53" s="2"/>
      <c r="B53" s="3">
        <f t="shared" si="0"/>
        <v>0</v>
      </c>
      <c r="C53" s="347">
        <v>46</v>
      </c>
      <c r="D53" s="184"/>
      <c r="E53" s="347"/>
      <c r="F53" s="347"/>
      <c r="G53" s="493">
        <v>45915</v>
      </c>
      <c r="H53" s="494"/>
      <c r="I53" s="214"/>
      <c r="J53" s="207"/>
      <c r="K53" s="207"/>
      <c r="L53" s="207"/>
      <c r="M53" s="207"/>
      <c r="N53" s="207"/>
      <c r="O53" s="207"/>
      <c r="P53" s="207"/>
      <c r="Q53" s="207"/>
      <c r="R53" s="215"/>
      <c r="S53" s="226"/>
      <c r="T53" s="227"/>
      <c r="U53" s="227"/>
      <c r="V53" s="227"/>
      <c r="W53" s="227"/>
      <c r="X53" s="227"/>
      <c r="Y53" s="227"/>
      <c r="Z53" s="227"/>
      <c r="AA53" s="227"/>
      <c r="AB53" s="228"/>
      <c r="AC53" s="258"/>
      <c r="AD53" s="178"/>
      <c r="AE53" s="178"/>
      <c r="AF53" s="178"/>
      <c r="AG53" s="530"/>
      <c r="AH53" s="531"/>
      <c r="AI53" s="178"/>
      <c r="AJ53" s="178"/>
      <c r="AK53" s="178"/>
      <c r="AL53" s="202"/>
      <c r="AM53" s="237"/>
      <c r="AN53" s="238"/>
      <c r="AO53" s="238"/>
      <c r="AP53" s="238"/>
      <c r="AQ53" s="238"/>
      <c r="AR53" s="238"/>
      <c r="AS53" s="238"/>
      <c r="AT53" s="238"/>
      <c r="AU53" s="238"/>
      <c r="AV53" s="273"/>
      <c r="AW53" s="295"/>
      <c r="AX53" s="296"/>
      <c r="AY53" s="296"/>
      <c r="AZ53" s="296"/>
      <c r="BA53" s="296"/>
      <c r="BB53" s="296"/>
      <c r="BC53" s="296"/>
      <c r="BD53" s="296"/>
      <c r="BE53" s="296"/>
      <c r="BF53" s="297"/>
      <c r="BG53" s="214"/>
      <c r="BH53" s="207"/>
      <c r="BI53" s="207"/>
      <c r="BJ53" s="207"/>
      <c r="BK53" s="207"/>
      <c r="BL53" s="207"/>
      <c r="BM53" s="207"/>
      <c r="BN53" s="207"/>
      <c r="BO53" s="207"/>
      <c r="BP53" s="215"/>
      <c r="BQ53" s="249"/>
      <c r="BR53" s="227"/>
      <c r="BS53" s="227"/>
      <c r="BT53" s="227"/>
      <c r="BU53" s="227"/>
      <c r="BV53" s="227"/>
      <c r="BW53" s="227"/>
      <c r="BX53" s="227"/>
      <c r="BY53" s="227"/>
      <c r="BZ53" s="247"/>
      <c r="CA53" s="537"/>
      <c r="CB53" s="538"/>
      <c r="CC53" s="538"/>
      <c r="CD53" s="538"/>
      <c r="CE53" s="538"/>
      <c r="CF53" s="538"/>
      <c r="CG53" s="538"/>
      <c r="CH53" s="538"/>
      <c r="CI53" s="538"/>
      <c r="CJ53" s="539"/>
      <c r="CK53" s="240"/>
      <c r="CL53" s="238"/>
      <c r="CM53" s="238"/>
      <c r="CN53" s="238"/>
      <c r="CO53" s="238"/>
      <c r="CP53" s="238"/>
      <c r="CQ53" s="238"/>
      <c r="CR53" s="238"/>
      <c r="CS53" s="238"/>
      <c r="CT53" s="239"/>
      <c r="CU53" s="295"/>
      <c r="CV53" s="296"/>
      <c r="CW53" s="296"/>
      <c r="CX53" s="296"/>
      <c r="CY53" s="296"/>
      <c r="CZ53" s="296"/>
      <c r="DA53" s="296"/>
      <c r="DB53" s="296"/>
      <c r="DC53" s="296"/>
      <c r="DD53" s="297"/>
      <c r="DE53" s="214"/>
      <c r="DF53" s="207"/>
      <c r="DG53" s="207"/>
      <c r="DH53" s="207"/>
      <c r="DI53" s="207"/>
      <c r="DJ53" s="207"/>
      <c r="DK53" s="207"/>
      <c r="DL53" s="207"/>
      <c r="DM53" s="207"/>
      <c r="DN53" s="215"/>
      <c r="DO53" s="226"/>
      <c r="DP53" s="227"/>
      <c r="DQ53" s="227"/>
      <c r="DR53" s="227"/>
      <c r="DS53" s="227"/>
      <c r="DT53" s="227"/>
      <c r="DU53" s="227"/>
      <c r="DV53" s="227"/>
      <c r="DW53" s="227"/>
      <c r="DX53" s="228"/>
      <c r="DY53" s="307"/>
      <c r="DZ53" s="91"/>
      <c r="EA53" s="91"/>
      <c r="EB53" s="91"/>
      <c r="EC53" s="91"/>
      <c r="ED53" s="91"/>
      <c r="EE53" s="91"/>
      <c r="EF53" s="91"/>
      <c r="EG53" s="91"/>
      <c r="EH53" s="91"/>
      <c r="EI53" s="238"/>
      <c r="EJ53" s="238"/>
      <c r="EK53" s="238"/>
      <c r="EL53" s="238"/>
      <c r="EM53" s="238"/>
      <c r="EN53" s="238"/>
      <c r="EO53" s="238"/>
      <c r="EP53" s="238"/>
      <c r="EQ53" s="238"/>
      <c r="ER53" s="238"/>
      <c r="ES53" s="350"/>
      <c r="ET53" s="350"/>
      <c r="EU53" s="350"/>
      <c r="EV53" s="350"/>
      <c r="EW53" s="350"/>
      <c r="EX53" s="350"/>
      <c r="EY53" s="350"/>
      <c r="EZ53" s="350"/>
      <c r="FA53" s="350"/>
      <c r="FB53" s="350"/>
      <c r="FC53" s="350"/>
      <c r="FD53" s="350"/>
      <c r="FE53" s="350"/>
      <c r="FF53" s="350"/>
      <c r="FG53" s="349">
        <f t="shared" si="18"/>
        <v>51</v>
      </c>
      <c r="FH53" s="319">
        <f t="shared" si="12"/>
        <v>0</v>
      </c>
      <c r="FI53" s="319">
        <f>SUM(I7:ER7)-SUM(ES53:FF53)</f>
        <v>128</v>
      </c>
      <c r="FJ53" s="319">
        <f t="shared" si="13"/>
        <v>128</v>
      </c>
      <c r="FK53" s="7"/>
    </row>
    <row r="54" spans="1:167" ht="15.75" customHeight="1">
      <c r="A54" s="2"/>
      <c r="B54" s="3">
        <f t="shared" si="0"/>
        <v>0</v>
      </c>
      <c r="C54" s="347">
        <v>47</v>
      </c>
      <c r="D54" s="184"/>
      <c r="E54" s="347"/>
      <c r="F54" s="347"/>
      <c r="G54" s="493">
        <v>45915</v>
      </c>
      <c r="H54" s="494"/>
      <c r="I54" s="214"/>
      <c r="J54" s="207"/>
      <c r="K54" s="207"/>
      <c r="L54" s="207"/>
      <c r="M54" s="207"/>
      <c r="N54" s="207"/>
      <c r="O54" s="207"/>
      <c r="P54" s="207"/>
      <c r="Q54" s="207"/>
      <c r="R54" s="215"/>
      <c r="S54" s="226"/>
      <c r="T54" s="227"/>
      <c r="U54" s="227"/>
      <c r="V54" s="227"/>
      <c r="W54" s="227"/>
      <c r="X54" s="227"/>
      <c r="Y54" s="227"/>
      <c r="Z54" s="227"/>
      <c r="AA54" s="227"/>
      <c r="AB54" s="228"/>
      <c r="AC54" s="258"/>
      <c r="AD54" s="178"/>
      <c r="AE54" s="178"/>
      <c r="AF54" s="178"/>
      <c r="AG54" s="530"/>
      <c r="AH54" s="531"/>
      <c r="AI54" s="178"/>
      <c r="AJ54" s="178"/>
      <c r="AK54" s="178"/>
      <c r="AL54" s="202"/>
      <c r="AM54" s="237"/>
      <c r="AN54" s="238"/>
      <c r="AO54" s="238"/>
      <c r="AP54" s="238"/>
      <c r="AQ54" s="238"/>
      <c r="AR54" s="238"/>
      <c r="AS54" s="238"/>
      <c r="AT54" s="238"/>
      <c r="AU54" s="238"/>
      <c r="AV54" s="273"/>
      <c r="AW54" s="295"/>
      <c r="AX54" s="296"/>
      <c r="AY54" s="296"/>
      <c r="AZ54" s="296"/>
      <c r="BA54" s="296"/>
      <c r="BB54" s="296"/>
      <c r="BC54" s="296"/>
      <c r="BD54" s="296"/>
      <c r="BE54" s="296"/>
      <c r="BF54" s="297"/>
      <c r="BG54" s="214"/>
      <c r="BH54" s="207"/>
      <c r="BI54" s="207"/>
      <c r="BJ54" s="207"/>
      <c r="BK54" s="207"/>
      <c r="BL54" s="207"/>
      <c r="BM54" s="207"/>
      <c r="BN54" s="207"/>
      <c r="BO54" s="207"/>
      <c r="BP54" s="215"/>
      <c r="BQ54" s="249"/>
      <c r="BR54" s="227"/>
      <c r="BS54" s="227"/>
      <c r="BT54" s="227"/>
      <c r="BU54" s="227"/>
      <c r="BV54" s="227"/>
      <c r="BW54" s="227"/>
      <c r="BX54" s="227"/>
      <c r="BY54" s="227"/>
      <c r="BZ54" s="247"/>
      <c r="CA54" s="537"/>
      <c r="CB54" s="538"/>
      <c r="CC54" s="538"/>
      <c r="CD54" s="538"/>
      <c r="CE54" s="538"/>
      <c r="CF54" s="538"/>
      <c r="CG54" s="538"/>
      <c r="CH54" s="538"/>
      <c r="CI54" s="538"/>
      <c r="CJ54" s="539"/>
      <c r="CK54" s="240"/>
      <c r="CL54" s="238"/>
      <c r="CM54" s="238"/>
      <c r="CN54" s="238"/>
      <c r="CO54" s="238"/>
      <c r="CP54" s="238"/>
      <c r="CQ54" s="238"/>
      <c r="CR54" s="238"/>
      <c r="CS54" s="238"/>
      <c r="CT54" s="239"/>
      <c r="CU54" s="295"/>
      <c r="CV54" s="296"/>
      <c r="CW54" s="296"/>
      <c r="CX54" s="296"/>
      <c r="CY54" s="296"/>
      <c r="CZ54" s="296"/>
      <c r="DA54" s="296"/>
      <c r="DB54" s="296"/>
      <c r="DC54" s="296"/>
      <c r="DD54" s="297"/>
      <c r="DE54" s="214"/>
      <c r="DF54" s="207"/>
      <c r="DG54" s="207"/>
      <c r="DH54" s="207"/>
      <c r="DI54" s="207"/>
      <c r="DJ54" s="207"/>
      <c r="DK54" s="207"/>
      <c r="DL54" s="207"/>
      <c r="DM54" s="207"/>
      <c r="DN54" s="215"/>
      <c r="DO54" s="226"/>
      <c r="DP54" s="227"/>
      <c r="DQ54" s="227"/>
      <c r="DR54" s="227"/>
      <c r="DS54" s="227"/>
      <c r="DT54" s="227"/>
      <c r="DU54" s="227"/>
      <c r="DV54" s="227"/>
      <c r="DW54" s="227"/>
      <c r="DX54" s="228"/>
      <c r="DY54" s="307"/>
      <c r="DZ54" s="91"/>
      <c r="EA54" s="91"/>
      <c r="EB54" s="91"/>
      <c r="EC54" s="91"/>
      <c r="ED54" s="91"/>
      <c r="EE54" s="91"/>
      <c r="EF54" s="91"/>
      <c r="EG54" s="91"/>
      <c r="EH54" s="91"/>
      <c r="EI54" s="238"/>
      <c r="EJ54" s="238"/>
      <c r="EK54" s="238"/>
      <c r="EL54" s="238"/>
      <c r="EM54" s="238"/>
      <c r="EN54" s="238"/>
      <c r="EO54" s="238"/>
      <c r="EP54" s="238"/>
      <c r="EQ54" s="238"/>
      <c r="ER54" s="238"/>
      <c r="ES54" s="350"/>
      <c r="ET54" s="350"/>
      <c r="EU54" s="350"/>
      <c r="EV54" s="350"/>
      <c r="EW54" s="350"/>
      <c r="EX54" s="350"/>
      <c r="EY54" s="350"/>
      <c r="EZ54" s="350"/>
      <c r="FA54" s="350"/>
      <c r="FB54" s="350"/>
      <c r="FC54" s="350"/>
      <c r="FD54" s="350"/>
      <c r="FE54" s="350"/>
      <c r="FF54" s="350"/>
      <c r="FG54" s="349">
        <f t="shared" si="18"/>
        <v>52</v>
      </c>
      <c r="FH54" s="319">
        <f t="shared" si="12"/>
        <v>0</v>
      </c>
      <c r="FI54" s="319">
        <f>SUM(I7:ER7)-SUM(ES54:FF54)</f>
        <v>128</v>
      </c>
      <c r="FJ54" s="319">
        <f t="shared" si="13"/>
        <v>128</v>
      </c>
      <c r="FK54" s="7"/>
    </row>
    <row r="55" spans="1:167" ht="15.75" customHeight="1">
      <c r="A55" s="2"/>
      <c r="B55" s="3">
        <f t="shared" si="0"/>
        <v>0</v>
      </c>
      <c r="C55" s="347">
        <v>48</v>
      </c>
      <c r="D55" s="184"/>
      <c r="E55" s="347"/>
      <c r="F55" s="347"/>
      <c r="G55" s="493">
        <v>45915</v>
      </c>
      <c r="H55" s="494"/>
      <c r="I55" s="214"/>
      <c r="J55" s="207"/>
      <c r="K55" s="207"/>
      <c r="L55" s="207"/>
      <c r="M55" s="207"/>
      <c r="N55" s="207"/>
      <c r="O55" s="207"/>
      <c r="P55" s="207"/>
      <c r="Q55" s="207"/>
      <c r="R55" s="215"/>
      <c r="S55" s="226"/>
      <c r="T55" s="227"/>
      <c r="U55" s="227"/>
      <c r="V55" s="227"/>
      <c r="W55" s="227"/>
      <c r="X55" s="227"/>
      <c r="Y55" s="227"/>
      <c r="Z55" s="227"/>
      <c r="AA55" s="227"/>
      <c r="AB55" s="228"/>
      <c r="AC55" s="258"/>
      <c r="AD55" s="178"/>
      <c r="AE55" s="178"/>
      <c r="AF55" s="178"/>
      <c r="AG55" s="530"/>
      <c r="AH55" s="531"/>
      <c r="AI55" s="178"/>
      <c r="AJ55" s="178"/>
      <c r="AK55" s="178"/>
      <c r="AL55" s="202"/>
      <c r="AM55" s="237"/>
      <c r="AN55" s="238"/>
      <c r="AO55" s="238"/>
      <c r="AP55" s="238"/>
      <c r="AQ55" s="238"/>
      <c r="AR55" s="238"/>
      <c r="AS55" s="238"/>
      <c r="AT55" s="238"/>
      <c r="AU55" s="238"/>
      <c r="AV55" s="273"/>
      <c r="AW55" s="295"/>
      <c r="AX55" s="296"/>
      <c r="AY55" s="296"/>
      <c r="AZ55" s="296"/>
      <c r="BA55" s="296"/>
      <c r="BB55" s="296"/>
      <c r="BC55" s="296"/>
      <c r="BD55" s="296"/>
      <c r="BE55" s="296"/>
      <c r="BF55" s="297"/>
      <c r="BG55" s="214"/>
      <c r="BH55" s="207"/>
      <c r="BI55" s="207"/>
      <c r="BJ55" s="207"/>
      <c r="BK55" s="207"/>
      <c r="BL55" s="207"/>
      <c r="BM55" s="207"/>
      <c r="BN55" s="207"/>
      <c r="BO55" s="207"/>
      <c r="BP55" s="215"/>
      <c r="BQ55" s="249"/>
      <c r="BR55" s="227"/>
      <c r="BS55" s="227"/>
      <c r="BT55" s="227"/>
      <c r="BU55" s="227"/>
      <c r="BV55" s="227"/>
      <c r="BW55" s="227"/>
      <c r="BX55" s="227"/>
      <c r="BY55" s="227"/>
      <c r="BZ55" s="247"/>
      <c r="CA55" s="537"/>
      <c r="CB55" s="538"/>
      <c r="CC55" s="538"/>
      <c r="CD55" s="538"/>
      <c r="CE55" s="538"/>
      <c r="CF55" s="538"/>
      <c r="CG55" s="538"/>
      <c r="CH55" s="538"/>
      <c r="CI55" s="538"/>
      <c r="CJ55" s="539"/>
      <c r="CK55" s="240"/>
      <c r="CL55" s="238"/>
      <c r="CM55" s="238"/>
      <c r="CN55" s="238"/>
      <c r="CO55" s="238"/>
      <c r="CP55" s="238"/>
      <c r="CQ55" s="238"/>
      <c r="CR55" s="238"/>
      <c r="CS55" s="238"/>
      <c r="CT55" s="239"/>
      <c r="CU55" s="295"/>
      <c r="CV55" s="296"/>
      <c r="CW55" s="296"/>
      <c r="CX55" s="296"/>
      <c r="CY55" s="296"/>
      <c r="CZ55" s="296"/>
      <c r="DA55" s="296"/>
      <c r="DB55" s="296"/>
      <c r="DC55" s="296"/>
      <c r="DD55" s="297"/>
      <c r="DE55" s="214"/>
      <c r="DF55" s="207"/>
      <c r="DG55" s="207"/>
      <c r="DH55" s="207"/>
      <c r="DI55" s="207"/>
      <c r="DJ55" s="207"/>
      <c r="DK55" s="207"/>
      <c r="DL55" s="207"/>
      <c r="DM55" s="207"/>
      <c r="DN55" s="215"/>
      <c r="DO55" s="226"/>
      <c r="DP55" s="227"/>
      <c r="DQ55" s="227"/>
      <c r="DR55" s="227"/>
      <c r="DS55" s="227"/>
      <c r="DT55" s="227"/>
      <c r="DU55" s="227"/>
      <c r="DV55" s="227"/>
      <c r="DW55" s="227"/>
      <c r="DX55" s="228"/>
      <c r="DY55" s="307"/>
      <c r="DZ55" s="91"/>
      <c r="EA55" s="91"/>
      <c r="EB55" s="91"/>
      <c r="EC55" s="91"/>
      <c r="ED55" s="91"/>
      <c r="EE55" s="91"/>
      <c r="EF55" s="91"/>
      <c r="EG55" s="91"/>
      <c r="EH55" s="91"/>
      <c r="EI55" s="238"/>
      <c r="EJ55" s="238"/>
      <c r="EK55" s="238"/>
      <c r="EL55" s="238"/>
      <c r="EM55" s="238"/>
      <c r="EN55" s="238"/>
      <c r="EO55" s="238"/>
      <c r="EP55" s="238"/>
      <c r="EQ55" s="238"/>
      <c r="ER55" s="238"/>
      <c r="ES55" s="350"/>
      <c r="ET55" s="350"/>
      <c r="EU55" s="350"/>
      <c r="EV55" s="350"/>
      <c r="EW55" s="350"/>
      <c r="EX55" s="350"/>
      <c r="EY55" s="350"/>
      <c r="EZ55" s="350"/>
      <c r="FA55" s="350"/>
      <c r="FB55" s="350"/>
      <c r="FC55" s="350"/>
      <c r="FD55" s="350"/>
      <c r="FE55" s="350"/>
      <c r="FF55" s="350"/>
      <c r="FG55" s="349">
        <f t="shared" si="18"/>
        <v>53</v>
      </c>
      <c r="FH55" s="319">
        <f t="shared" si="12"/>
        <v>0</v>
      </c>
      <c r="FI55" s="319">
        <f>SUM(I7:ER7)-SUM(ES55:FF55)</f>
        <v>128</v>
      </c>
      <c r="FJ55" s="319">
        <f t="shared" si="13"/>
        <v>128</v>
      </c>
      <c r="FK55" s="7"/>
    </row>
    <row r="56" spans="1:167" ht="15.75" customHeight="1">
      <c r="A56" s="2"/>
      <c r="B56" s="3">
        <f t="shared" si="0"/>
        <v>0</v>
      </c>
      <c r="C56" s="347">
        <v>49</v>
      </c>
      <c r="D56" s="184"/>
      <c r="E56" s="347"/>
      <c r="F56" s="347"/>
      <c r="G56" s="493">
        <v>45915</v>
      </c>
      <c r="H56" s="494"/>
      <c r="I56" s="214"/>
      <c r="J56" s="207"/>
      <c r="K56" s="207"/>
      <c r="L56" s="207"/>
      <c r="M56" s="207"/>
      <c r="N56" s="207"/>
      <c r="O56" s="207"/>
      <c r="P56" s="207"/>
      <c r="Q56" s="207"/>
      <c r="R56" s="215"/>
      <c r="S56" s="226"/>
      <c r="T56" s="227"/>
      <c r="U56" s="227"/>
      <c r="V56" s="227"/>
      <c r="W56" s="227"/>
      <c r="X56" s="227"/>
      <c r="Y56" s="227"/>
      <c r="Z56" s="227"/>
      <c r="AA56" s="227"/>
      <c r="AB56" s="228"/>
      <c r="AC56" s="258"/>
      <c r="AD56" s="178"/>
      <c r="AE56" s="178"/>
      <c r="AF56" s="178"/>
      <c r="AG56" s="530"/>
      <c r="AH56" s="531"/>
      <c r="AI56" s="178"/>
      <c r="AJ56" s="178"/>
      <c r="AK56" s="178"/>
      <c r="AL56" s="202"/>
      <c r="AM56" s="237"/>
      <c r="AN56" s="238"/>
      <c r="AO56" s="238"/>
      <c r="AP56" s="238"/>
      <c r="AQ56" s="238"/>
      <c r="AR56" s="238"/>
      <c r="AS56" s="238"/>
      <c r="AT56" s="238"/>
      <c r="AU56" s="238"/>
      <c r="AV56" s="273"/>
      <c r="AW56" s="295"/>
      <c r="AX56" s="296"/>
      <c r="AY56" s="296"/>
      <c r="AZ56" s="296"/>
      <c r="BA56" s="296"/>
      <c r="BB56" s="296"/>
      <c r="BC56" s="296"/>
      <c r="BD56" s="296"/>
      <c r="BE56" s="296"/>
      <c r="BF56" s="297"/>
      <c r="BG56" s="214"/>
      <c r="BH56" s="207"/>
      <c r="BI56" s="207"/>
      <c r="BJ56" s="207"/>
      <c r="BK56" s="207"/>
      <c r="BL56" s="207"/>
      <c r="BM56" s="207"/>
      <c r="BN56" s="207"/>
      <c r="BO56" s="207"/>
      <c r="BP56" s="215"/>
      <c r="BQ56" s="249"/>
      <c r="BR56" s="227"/>
      <c r="BS56" s="227"/>
      <c r="BT56" s="227"/>
      <c r="BU56" s="227"/>
      <c r="BV56" s="227"/>
      <c r="BW56" s="227"/>
      <c r="BX56" s="227"/>
      <c r="BY56" s="227"/>
      <c r="BZ56" s="247"/>
      <c r="CA56" s="537"/>
      <c r="CB56" s="538"/>
      <c r="CC56" s="538"/>
      <c r="CD56" s="538"/>
      <c r="CE56" s="538"/>
      <c r="CF56" s="538"/>
      <c r="CG56" s="538"/>
      <c r="CH56" s="538"/>
      <c r="CI56" s="538"/>
      <c r="CJ56" s="539"/>
      <c r="CK56" s="240"/>
      <c r="CL56" s="238"/>
      <c r="CM56" s="238"/>
      <c r="CN56" s="238"/>
      <c r="CO56" s="238"/>
      <c r="CP56" s="238"/>
      <c r="CQ56" s="238"/>
      <c r="CR56" s="238"/>
      <c r="CS56" s="238"/>
      <c r="CT56" s="239"/>
      <c r="CU56" s="295"/>
      <c r="CV56" s="296"/>
      <c r="CW56" s="296"/>
      <c r="CX56" s="296"/>
      <c r="CY56" s="296"/>
      <c r="CZ56" s="296"/>
      <c r="DA56" s="296"/>
      <c r="DB56" s="296"/>
      <c r="DC56" s="296"/>
      <c r="DD56" s="297"/>
      <c r="DE56" s="214"/>
      <c r="DF56" s="207"/>
      <c r="DG56" s="207"/>
      <c r="DH56" s="207"/>
      <c r="DI56" s="207"/>
      <c r="DJ56" s="207"/>
      <c r="DK56" s="207"/>
      <c r="DL56" s="207"/>
      <c r="DM56" s="207"/>
      <c r="DN56" s="215"/>
      <c r="DO56" s="226"/>
      <c r="DP56" s="227"/>
      <c r="DQ56" s="227"/>
      <c r="DR56" s="227"/>
      <c r="DS56" s="227"/>
      <c r="DT56" s="227"/>
      <c r="DU56" s="227"/>
      <c r="DV56" s="227"/>
      <c r="DW56" s="227"/>
      <c r="DX56" s="228"/>
      <c r="DY56" s="307"/>
      <c r="DZ56" s="91"/>
      <c r="EA56" s="91"/>
      <c r="EB56" s="91"/>
      <c r="EC56" s="91"/>
      <c r="ED56" s="91"/>
      <c r="EE56" s="91"/>
      <c r="EF56" s="91"/>
      <c r="EG56" s="91"/>
      <c r="EH56" s="91"/>
      <c r="EI56" s="238"/>
      <c r="EJ56" s="238"/>
      <c r="EK56" s="238"/>
      <c r="EL56" s="238"/>
      <c r="EM56" s="238"/>
      <c r="EN56" s="238"/>
      <c r="EO56" s="238"/>
      <c r="EP56" s="238"/>
      <c r="EQ56" s="238"/>
      <c r="ER56" s="238"/>
      <c r="ES56" s="350"/>
      <c r="ET56" s="350"/>
      <c r="EU56" s="350"/>
      <c r="EV56" s="350"/>
      <c r="EW56" s="350"/>
      <c r="EX56" s="350"/>
      <c r="EY56" s="350"/>
      <c r="EZ56" s="350"/>
      <c r="FA56" s="350"/>
      <c r="FB56" s="350"/>
      <c r="FC56" s="350"/>
      <c r="FD56" s="350"/>
      <c r="FE56" s="350"/>
      <c r="FF56" s="350"/>
      <c r="FG56" s="349">
        <f t="shared" si="18"/>
        <v>54</v>
      </c>
      <c r="FH56" s="319">
        <f t="shared" si="12"/>
        <v>0</v>
      </c>
      <c r="FI56" s="319">
        <f>SUM(I7:ER7)-SUM(ES56:FF56)</f>
        <v>128</v>
      </c>
      <c r="FJ56" s="319">
        <f t="shared" si="13"/>
        <v>128</v>
      </c>
      <c r="FK56" s="7"/>
    </row>
    <row r="57" spans="1:167" ht="15.75" customHeight="1">
      <c r="A57" s="2"/>
      <c r="B57" s="3">
        <f t="shared" si="0"/>
        <v>0</v>
      </c>
      <c r="C57" s="347">
        <v>50</v>
      </c>
      <c r="D57" s="184"/>
      <c r="E57" s="347"/>
      <c r="F57" s="347"/>
      <c r="G57" s="493">
        <v>45915</v>
      </c>
      <c r="H57" s="494"/>
      <c r="I57" s="214"/>
      <c r="J57" s="207"/>
      <c r="K57" s="207"/>
      <c r="L57" s="207"/>
      <c r="M57" s="207"/>
      <c r="N57" s="207"/>
      <c r="O57" s="207"/>
      <c r="P57" s="207"/>
      <c r="Q57" s="207"/>
      <c r="R57" s="215"/>
      <c r="S57" s="226"/>
      <c r="T57" s="227"/>
      <c r="U57" s="227"/>
      <c r="V57" s="227"/>
      <c r="W57" s="227"/>
      <c r="X57" s="227"/>
      <c r="Y57" s="227"/>
      <c r="Z57" s="227"/>
      <c r="AA57" s="227"/>
      <c r="AB57" s="228"/>
      <c r="AC57" s="258"/>
      <c r="AD57" s="178"/>
      <c r="AE57" s="178"/>
      <c r="AF57" s="178"/>
      <c r="AG57" s="530"/>
      <c r="AH57" s="531"/>
      <c r="AI57" s="178"/>
      <c r="AJ57" s="178"/>
      <c r="AK57" s="178"/>
      <c r="AL57" s="202"/>
      <c r="AM57" s="237"/>
      <c r="AN57" s="238"/>
      <c r="AO57" s="238"/>
      <c r="AP57" s="238"/>
      <c r="AQ57" s="238"/>
      <c r="AR57" s="238"/>
      <c r="AS57" s="238"/>
      <c r="AT57" s="238"/>
      <c r="AU57" s="238"/>
      <c r="AV57" s="273"/>
      <c r="AW57" s="295"/>
      <c r="AX57" s="296"/>
      <c r="AY57" s="296"/>
      <c r="AZ57" s="296"/>
      <c r="BA57" s="296"/>
      <c r="BB57" s="296"/>
      <c r="BC57" s="296"/>
      <c r="BD57" s="296"/>
      <c r="BE57" s="296"/>
      <c r="BF57" s="297"/>
      <c r="BG57" s="214"/>
      <c r="BH57" s="207"/>
      <c r="BI57" s="207"/>
      <c r="BJ57" s="207"/>
      <c r="BK57" s="207"/>
      <c r="BL57" s="207"/>
      <c r="BM57" s="207"/>
      <c r="BN57" s="207"/>
      <c r="BO57" s="207"/>
      <c r="BP57" s="215"/>
      <c r="BQ57" s="249"/>
      <c r="BR57" s="227"/>
      <c r="BS57" s="227"/>
      <c r="BT57" s="227"/>
      <c r="BU57" s="227"/>
      <c r="BV57" s="227"/>
      <c r="BW57" s="227"/>
      <c r="BX57" s="227"/>
      <c r="BY57" s="227"/>
      <c r="BZ57" s="247"/>
      <c r="CA57" s="537"/>
      <c r="CB57" s="538"/>
      <c r="CC57" s="538"/>
      <c r="CD57" s="538"/>
      <c r="CE57" s="538"/>
      <c r="CF57" s="538"/>
      <c r="CG57" s="538"/>
      <c r="CH57" s="538"/>
      <c r="CI57" s="538"/>
      <c r="CJ57" s="539"/>
      <c r="CK57" s="240"/>
      <c r="CL57" s="238"/>
      <c r="CM57" s="238"/>
      <c r="CN57" s="238"/>
      <c r="CO57" s="238"/>
      <c r="CP57" s="238"/>
      <c r="CQ57" s="238"/>
      <c r="CR57" s="238"/>
      <c r="CS57" s="238"/>
      <c r="CT57" s="239"/>
      <c r="CU57" s="295"/>
      <c r="CV57" s="296"/>
      <c r="CW57" s="296"/>
      <c r="CX57" s="296"/>
      <c r="CY57" s="296"/>
      <c r="CZ57" s="296"/>
      <c r="DA57" s="296"/>
      <c r="DB57" s="296"/>
      <c r="DC57" s="296"/>
      <c r="DD57" s="297"/>
      <c r="DE57" s="214"/>
      <c r="DF57" s="207"/>
      <c r="DG57" s="207"/>
      <c r="DH57" s="207"/>
      <c r="DI57" s="207"/>
      <c r="DJ57" s="207"/>
      <c r="DK57" s="207"/>
      <c r="DL57" s="207"/>
      <c r="DM57" s="207"/>
      <c r="DN57" s="215"/>
      <c r="DO57" s="226"/>
      <c r="DP57" s="227"/>
      <c r="DQ57" s="227"/>
      <c r="DR57" s="227"/>
      <c r="DS57" s="227"/>
      <c r="DT57" s="227"/>
      <c r="DU57" s="227"/>
      <c r="DV57" s="227"/>
      <c r="DW57" s="227"/>
      <c r="DX57" s="228"/>
      <c r="DY57" s="307"/>
      <c r="DZ57" s="91"/>
      <c r="EA57" s="91"/>
      <c r="EB57" s="91"/>
      <c r="EC57" s="91"/>
      <c r="ED57" s="91"/>
      <c r="EE57" s="91"/>
      <c r="EF57" s="91"/>
      <c r="EG57" s="91"/>
      <c r="EH57" s="91"/>
      <c r="EI57" s="238"/>
      <c r="EJ57" s="238"/>
      <c r="EK57" s="238"/>
      <c r="EL57" s="238"/>
      <c r="EM57" s="238"/>
      <c r="EN57" s="238"/>
      <c r="EO57" s="238"/>
      <c r="EP57" s="238"/>
      <c r="EQ57" s="238"/>
      <c r="ER57" s="238"/>
      <c r="ES57" s="350"/>
      <c r="ET57" s="350"/>
      <c r="EU57" s="350"/>
      <c r="EV57" s="350"/>
      <c r="EW57" s="350"/>
      <c r="EX57" s="350"/>
      <c r="EY57" s="350"/>
      <c r="EZ57" s="350"/>
      <c r="FA57" s="350"/>
      <c r="FB57" s="350"/>
      <c r="FC57" s="350"/>
      <c r="FD57" s="350"/>
      <c r="FE57" s="350"/>
      <c r="FF57" s="350"/>
      <c r="FG57" s="349"/>
      <c r="FH57" s="319"/>
      <c r="FI57" s="319"/>
      <c r="FJ57" s="319"/>
      <c r="FK57" s="7"/>
    </row>
    <row r="58" spans="1:167" ht="15.75" customHeight="1">
      <c r="A58" s="2"/>
      <c r="B58" s="3"/>
      <c r="C58" s="347"/>
      <c r="D58" s="219"/>
      <c r="E58" s="347"/>
      <c r="F58" s="347"/>
      <c r="G58" s="495"/>
      <c r="H58" s="494"/>
      <c r="I58" s="214"/>
      <c r="J58" s="207"/>
      <c r="K58" s="207"/>
      <c r="L58" s="207"/>
      <c r="M58" s="207"/>
      <c r="N58" s="207"/>
      <c r="O58" s="207"/>
      <c r="P58" s="207"/>
      <c r="Q58" s="207"/>
      <c r="R58" s="215"/>
      <c r="S58" s="226"/>
      <c r="T58" s="227"/>
      <c r="U58" s="227"/>
      <c r="V58" s="227"/>
      <c r="W58" s="227"/>
      <c r="X58" s="227"/>
      <c r="Y58" s="227"/>
      <c r="Z58" s="227"/>
      <c r="AA58" s="227"/>
      <c r="AB58" s="228"/>
      <c r="AC58" s="258"/>
      <c r="AD58" s="178"/>
      <c r="AE58" s="178"/>
      <c r="AF58" s="178"/>
      <c r="AG58" s="530"/>
      <c r="AH58" s="531"/>
      <c r="AI58" s="178"/>
      <c r="AJ58" s="178"/>
      <c r="AK58" s="178"/>
      <c r="AL58" s="202"/>
      <c r="AM58" s="237"/>
      <c r="AN58" s="238"/>
      <c r="AO58" s="238"/>
      <c r="AP58" s="238"/>
      <c r="AQ58" s="238"/>
      <c r="AR58" s="238"/>
      <c r="AS58" s="238"/>
      <c r="AT58" s="238"/>
      <c r="AU58" s="238"/>
      <c r="AV58" s="273"/>
      <c r="AW58" s="295"/>
      <c r="AX58" s="296"/>
      <c r="AY58" s="296"/>
      <c r="AZ58" s="296"/>
      <c r="BA58" s="296"/>
      <c r="BB58" s="296"/>
      <c r="BC58" s="296"/>
      <c r="BD58" s="296"/>
      <c r="BE58" s="296"/>
      <c r="BF58" s="297"/>
      <c r="BG58" s="214"/>
      <c r="BH58" s="207"/>
      <c r="BI58" s="207"/>
      <c r="BJ58" s="207"/>
      <c r="BK58" s="207"/>
      <c r="BL58" s="207"/>
      <c r="BM58" s="207"/>
      <c r="BN58" s="207"/>
      <c r="BO58" s="207"/>
      <c r="BP58" s="215"/>
      <c r="BQ58" s="249"/>
      <c r="BR58" s="227"/>
      <c r="BS58" s="227"/>
      <c r="BT58" s="227"/>
      <c r="BU58" s="227"/>
      <c r="BV58" s="227"/>
      <c r="BW58" s="227"/>
      <c r="BX58" s="227"/>
      <c r="BY58" s="227"/>
      <c r="BZ58" s="247"/>
      <c r="CA58" s="537"/>
      <c r="CB58" s="538"/>
      <c r="CC58" s="538"/>
      <c r="CD58" s="538"/>
      <c r="CE58" s="538"/>
      <c r="CF58" s="538"/>
      <c r="CG58" s="538"/>
      <c r="CH58" s="538"/>
      <c r="CI58" s="538"/>
      <c r="CJ58" s="539"/>
      <c r="CK58" s="240"/>
      <c r="CL58" s="238"/>
      <c r="CM58" s="238"/>
      <c r="CN58" s="238"/>
      <c r="CO58" s="238"/>
      <c r="CP58" s="238"/>
      <c r="CQ58" s="238"/>
      <c r="CR58" s="238"/>
      <c r="CS58" s="238"/>
      <c r="CT58" s="239"/>
      <c r="CU58" s="295"/>
      <c r="CV58" s="296"/>
      <c r="CW58" s="296"/>
      <c r="CX58" s="296"/>
      <c r="CY58" s="296"/>
      <c r="CZ58" s="296"/>
      <c r="DA58" s="296"/>
      <c r="DB58" s="296"/>
      <c r="DC58" s="296"/>
      <c r="DD58" s="297"/>
      <c r="DE58" s="214"/>
      <c r="DF58" s="207"/>
      <c r="DG58" s="207"/>
      <c r="DH58" s="207"/>
      <c r="DI58" s="207"/>
      <c r="DJ58" s="207"/>
      <c r="DK58" s="207"/>
      <c r="DL58" s="207"/>
      <c r="DM58" s="207"/>
      <c r="DN58" s="215"/>
      <c r="DO58" s="226"/>
      <c r="DP58" s="227"/>
      <c r="DQ58" s="227"/>
      <c r="DR58" s="227"/>
      <c r="DS58" s="227"/>
      <c r="DT58" s="227"/>
      <c r="DU58" s="227"/>
      <c r="DV58" s="227"/>
      <c r="DW58" s="227"/>
      <c r="DX58" s="228"/>
      <c r="DY58" s="307"/>
      <c r="DZ58" s="91"/>
      <c r="EA58" s="91"/>
      <c r="EB58" s="91"/>
      <c r="EC58" s="91"/>
      <c r="ED58" s="91"/>
      <c r="EE58" s="91"/>
      <c r="EF58" s="91"/>
      <c r="EG58" s="91"/>
      <c r="EH58" s="91"/>
      <c r="EI58" s="238"/>
      <c r="EJ58" s="238"/>
      <c r="EK58" s="238"/>
      <c r="EL58" s="238"/>
      <c r="EM58" s="238"/>
      <c r="EN58" s="238"/>
      <c r="EO58" s="238"/>
      <c r="EP58" s="238"/>
      <c r="EQ58" s="238"/>
      <c r="ER58" s="238"/>
      <c r="ES58" s="350"/>
      <c r="ET58" s="350"/>
      <c r="EU58" s="350"/>
      <c r="EV58" s="350"/>
      <c r="EW58" s="350"/>
      <c r="EX58" s="350"/>
      <c r="EY58" s="350"/>
      <c r="EZ58" s="350"/>
      <c r="FA58" s="350"/>
      <c r="FB58" s="350"/>
      <c r="FC58" s="350"/>
      <c r="FD58" s="350"/>
      <c r="FE58" s="350"/>
      <c r="FF58" s="350"/>
      <c r="FG58" s="349"/>
      <c r="FH58" s="319"/>
      <c r="FI58" s="319"/>
      <c r="FJ58" s="319"/>
      <c r="FK58" s="7"/>
    </row>
    <row r="59" spans="1:167" ht="15.75" customHeight="1">
      <c r="A59" s="2"/>
      <c r="B59" s="3"/>
      <c r="C59" s="347"/>
      <c r="D59" s="5" t="s">
        <v>25</v>
      </c>
      <c r="E59" s="347"/>
      <c r="F59" s="347"/>
      <c r="G59" s="495"/>
      <c r="H59" s="494"/>
      <c r="I59" s="214"/>
      <c r="J59" s="207"/>
      <c r="K59" s="207"/>
      <c r="L59" s="207"/>
      <c r="M59" s="207"/>
      <c r="N59" s="207"/>
      <c r="O59" s="207"/>
      <c r="P59" s="207"/>
      <c r="Q59" s="207"/>
      <c r="R59" s="215"/>
      <c r="S59" s="226"/>
      <c r="T59" s="227"/>
      <c r="U59" s="227"/>
      <c r="V59" s="227"/>
      <c r="W59" s="227"/>
      <c r="X59" s="227"/>
      <c r="Y59" s="227"/>
      <c r="Z59" s="227"/>
      <c r="AA59" s="227"/>
      <c r="AB59" s="228"/>
      <c r="AC59" s="258"/>
      <c r="AD59" s="178"/>
      <c r="AE59" s="178"/>
      <c r="AF59" s="178"/>
      <c r="AG59" s="530"/>
      <c r="AH59" s="531"/>
      <c r="AI59" s="178"/>
      <c r="AJ59" s="178"/>
      <c r="AK59" s="178"/>
      <c r="AL59" s="202"/>
      <c r="AM59" s="237"/>
      <c r="AN59" s="238"/>
      <c r="AO59" s="238"/>
      <c r="AP59" s="238"/>
      <c r="AQ59" s="238"/>
      <c r="AR59" s="238"/>
      <c r="AS59" s="238"/>
      <c r="AT59" s="238"/>
      <c r="AU59" s="238"/>
      <c r="AV59" s="273"/>
      <c r="AW59" s="295"/>
      <c r="AX59" s="296"/>
      <c r="AY59" s="296"/>
      <c r="AZ59" s="296"/>
      <c r="BA59" s="296"/>
      <c r="BB59" s="296"/>
      <c r="BC59" s="296"/>
      <c r="BD59" s="296"/>
      <c r="BE59" s="296"/>
      <c r="BF59" s="297"/>
      <c r="BG59" s="214"/>
      <c r="BH59" s="207"/>
      <c r="BI59" s="207"/>
      <c r="BJ59" s="207"/>
      <c r="BK59" s="207"/>
      <c r="BL59" s="207"/>
      <c r="BM59" s="207"/>
      <c r="BN59" s="207"/>
      <c r="BO59" s="207"/>
      <c r="BP59" s="215"/>
      <c r="BQ59" s="249"/>
      <c r="BR59" s="227"/>
      <c r="BS59" s="227"/>
      <c r="BT59" s="227"/>
      <c r="BU59" s="227"/>
      <c r="BV59" s="227"/>
      <c r="BW59" s="227"/>
      <c r="BX59" s="227"/>
      <c r="BY59" s="227"/>
      <c r="BZ59" s="247"/>
      <c r="CA59" s="537"/>
      <c r="CB59" s="538"/>
      <c r="CC59" s="538"/>
      <c r="CD59" s="538"/>
      <c r="CE59" s="538"/>
      <c r="CF59" s="538"/>
      <c r="CG59" s="538"/>
      <c r="CH59" s="538"/>
      <c r="CI59" s="538"/>
      <c r="CJ59" s="539"/>
      <c r="CK59" s="240"/>
      <c r="CL59" s="238"/>
      <c r="CM59" s="238"/>
      <c r="CN59" s="238"/>
      <c r="CO59" s="238"/>
      <c r="CP59" s="238"/>
      <c r="CQ59" s="238"/>
      <c r="CR59" s="238"/>
      <c r="CS59" s="238"/>
      <c r="CT59" s="239"/>
      <c r="CU59" s="295"/>
      <c r="CV59" s="296"/>
      <c r="CW59" s="296"/>
      <c r="CX59" s="296"/>
      <c r="CY59" s="296"/>
      <c r="CZ59" s="296"/>
      <c r="DA59" s="296"/>
      <c r="DB59" s="296"/>
      <c r="DC59" s="296"/>
      <c r="DD59" s="297"/>
      <c r="DE59" s="214"/>
      <c r="DF59" s="207"/>
      <c r="DG59" s="207"/>
      <c r="DH59" s="207"/>
      <c r="DI59" s="207"/>
      <c r="DJ59" s="207"/>
      <c r="DK59" s="207"/>
      <c r="DL59" s="207"/>
      <c r="DM59" s="207"/>
      <c r="DN59" s="215"/>
      <c r="DO59" s="226"/>
      <c r="DP59" s="227"/>
      <c r="DQ59" s="227"/>
      <c r="DR59" s="227"/>
      <c r="DS59" s="227"/>
      <c r="DT59" s="227"/>
      <c r="DU59" s="227"/>
      <c r="DV59" s="227"/>
      <c r="DW59" s="227"/>
      <c r="DX59" s="228"/>
      <c r="DY59" s="307"/>
      <c r="DZ59" s="91"/>
      <c r="EA59" s="91"/>
      <c r="EB59" s="91"/>
      <c r="EC59" s="91"/>
      <c r="ED59" s="91"/>
      <c r="EE59" s="91"/>
      <c r="EF59" s="91"/>
      <c r="EG59" s="91"/>
      <c r="EH59" s="91"/>
      <c r="EI59" s="238"/>
      <c r="EJ59" s="238"/>
      <c r="EK59" s="238"/>
      <c r="EL59" s="238"/>
      <c r="EM59" s="238"/>
      <c r="EN59" s="238"/>
      <c r="EO59" s="238"/>
      <c r="EP59" s="238"/>
      <c r="EQ59" s="238"/>
      <c r="ER59" s="238"/>
      <c r="ES59" s="350"/>
      <c r="ET59" s="350"/>
      <c r="EU59" s="350"/>
      <c r="EV59" s="350"/>
      <c r="EW59" s="350"/>
      <c r="EX59" s="350"/>
      <c r="EY59" s="350"/>
      <c r="EZ59" s="350"/>
      <c r="FA59" s="350"/>
      <c r="FB59" s="350"/>
      <c r="FC59" s="350"/>
      <c r="FD59" s="350"/>
      <c r="FE59" s="350"/>
      <c r="FF59" s="350"/>
      <c r="FG59" s="349"/>
      <c r="FH59" s="319"/>
      <c r="FI59" s="319"/>
      <c r="FJ59" s="319"/>
      <c r="FK59" s="7"/>
    </row>
    <row r="60" spans="1:167" ht="15.75" customHeight="1">
      <c r="A60" s="2"/>
      <c r="B60" s="3">
        <f t="shared" ref="B60:B109" si="19">IF(ISTEXT(D60),1,0)</f>
        <v>1</v>
      </c>
      <c r="C60" s="347">
        <v>1</v>
      </c>
      <c r="D60" s="201" t="s">
        <v>224</v>
      </c>
      <c r="E60" s="347"/>
      <c r="F60" s="347"/>
      <c r="G60" s="493">
        <v>45915</v>
      </c>
      <c r="H60" s="494"/>
      <c r="I60" s="214">
        <v>0</v>
      </c>
      <c r="J60" s="207">
        <v>0</v>
      </c>
      <c r="K60" s="207">
        <v>0</v>
      </c>
      <c r="L60" s="207">
        <v>0</v>
      </c>
      <c r="M60" s="207">
        <v>0</v>
      </c>
      <c r="N60" s="207">
        <v>0</v>
      </c>
      <c r="O60" s="207">
        <v>0</v>
      </c>
      <c r="P60" s="207">
        <v>0</v>
      </c>
      <c r="Q60" s="207">
        <v>0</v>
      </c>
      <c r="R60" s="215">
        <v>0</v>
      </c>
      <c r="S60" s="226">
        <v>1</v>
      </c>
      <c r="T60" s="227">
        <v>1</v>
      </c>
      <c r="U60" s="227">
        <v>1</v>
      </c>
      <c r="V60" s="227">
        <v>1</v>
      </c>
      <c r="W60" s="227">
        <v>1</v>
      </c>
      <c r="X60" s="227">
        <v>1</v>
      </c>
      <c r="Y60" s="227">
        <v>1</v>
      </c>
      <c r="Z60" s="227">
        <v>1</v>
      </c>
      <c r="AA60" s="227">
        <v>1</v>
      </c>
      <c r="AB60" s="228">
        <v>1</v>
      </c>
      <c r="AC60" s="258">
        <v>0</v>
      </c>
      <c r="AD60" s="178">
        <v>0</v>
      </c>
      <c r="AE60" s="178">
        <v>1</v>
      </c>
      <c r="AF60" s="178">
        <v>1</v>
      </c>
      <c r="AG60" s="530"/>
      <c r="AH60" s="531"/>
      <c r="AI60" s="178">
        <v>1</v>
      </c>
      <c r="AJ60" s="178">
        <v>1</v>
      </c>
      <c r="AK60" s="178">
        <v>1</v>
      </c>
      <c r="AL60" s="202">
        <v>1</v>
      </c>
      <c r="AM60" s="237">
        <v>1</v>
      </c>
      <c r="AN60" s="238">
        <v>1</v>
      </c>
      <c r="AO60" s="238">
        <v>1</v>
      </c>
      <c r="AP60" s="238">
        <v>1</v>
      </c>
      <c r="AQ60" s="238">
        <v>1</v>
      </c>
      <c r="AR60" s="238">
        <v>1</v>
      </c>
      <c r="AS60" s="238">
        <v>1</v>
      </c>
      <c r="AT60" s="238">
        <v>1</v>
      </c>
      <c r="AU60" s="238">
        <v>1</v>
      </c>
      <c r="AV60" s="273">
        <v>1</v>
      </c>
      <c r="AW60" s="295">
        <v>1</v>
      </c>
      <c r="AX60" s="296">
        <v>1</v>
      </c>
      <c r="AY60" s="296">
        <v>1</v>
      </c>
      <c r="AZ60" s="296">
        <v>1</v>
      </c>
      <c r="BA60" s="296">
        <v>1</v>
      </c>
      <c r="BB60" s="296">
        <v>1</v>
      </c>
      <c r="BC60" s="296">
        <v>1</v>
      </c>
      <c r="BD60" s="296">
        <v>1</v>
      </c>
      <c r="BE60" s="296">
        <v>1</v>
      </c>
      <c r="BF60" s="297">
        <v>1</v>
      </c>
      <c r="BG60" s="214">
        <v>1</v>
      </c>
      <c r="BH60" s="207">
        <v>1</v>
      </c>
      <c r="BI60" s="207">
        <v>1</v>
      </c>
      <c r="BJ60" s="207">
        <v>1</v>
      </c>
      <c r="BK60" s="207">
        <v>1</v>
      </c>
      <c r="BL60" s="207">
        <v>1</v>
      </c>
      <c r="BM60" s="207">
        <v>1</v>
      </c>
      <c r="BN60" s="207">
        <v>1</v>
      </c>
      <c r="BO60" s="207">
        <v>1</v>
      </c>
      <c r="BP60" s="215">
        <v>1</v>
      </c>
      <c r="BQ60" s="249">
        <v>1</v>
      </c>
      <c r="BR60" s="227">
        <v>1</v>
      </c>
      <c r="BS60" s="227">
        <v>1</v>
      </c>
      <c r="BT60" s="227">
        <v>1</v>
      </c>
      <c r="BU60" s="227">
        <v>1</v>
      </c>
      <c r="BV60" s="227">
        <v>1</v>
      </c>
      <c r="BW60" s="227">
        <v>1</v>
      </c>
      <c r="BX60" s="227">
        <v>1</v>
      </c>
      <c r="BY60" s="227">
        <v>1</v>
      </c>
      <c r="BZ60" s="247">
        <v>1</v>
      </c>
      <c r="CA60" s="537"/>
      <c r="CB60" s="538"/>
      <c r="CC60" s="538"/>
      <c r="CD60" s="538"/>
      <c r="CE60" s="538"/>
      <c r="CF60" s="538"/>
      <c r="CG60" s="538"/>
      <c r="CH60" s="538"/>
      <c r="CI60" s="538"/>
      <c r="CJ60" s="539"/>
      <c r="CK60" s="240">
        <v>1</v>
      </c>
      <c r="CL60" s="238">
        <v>1</v>
      </c>
      <c r="CM60" s="238">
        <v>1</v>
      </c>
      <c r="CN60" s="238">
        <v>1</v>
      </c>
      <c r="CO60" s="238">
        <v>1</v>
      </c>
      <c r="CP60" s="238">
        <v>1</v>
      </c>
      <c r="CQ60" s="238">
        <v>1</v>
      </c>
      <c r="CR60" s="238">
        <v>1</v>
      </c>
      <c r="CS60" s="238">
        <v>1</v>
      </c>
      <c r="CT60" s="239">
        <v>1</v>
      </c>
      <c r="CU60" s="295">
        <v>1</v>
      </c>
      <c r="CV60" s="296">
        <v>1</v>
      </c>
      <c r="CW60" s="296">
        <v>1</v>
      </c>
      <c r="CX60" s="296">
        <v>1</v>
      </c>
      <c r="CY60" s="296">
        <v>1</v>
      </c>
      <c r="CZ60" s="296">
        <v>1</v>
      </c>
      <c r="DA60" s="296">
        <v>1</v>
      </c>
      <c r="DB60" s="296">
        <v>1</v>
      </c>
      <c r="DC60" s="296">
        <v>1</v>
      </c>
      <c r="DD60" s="297">
        <v>1</v>
      </c>
      <c r="DE60" s="214">
        <v>1</v>
      </c>
      <c r="DF60" s="207">
        <v>1</v>
      </c>
      <c r="DG60" s="207">
        <v>1</v>
      </c>
      <c r="DH60" s="207">
        <v>1</v>
      </c>
      <c r="DI60" s="207">
        <v>1</v>
      </c>
      <c r="DJ60" s="207">
        <v>1</v>
      </c>
      <c r="DK60" s="207">
        <v>1</v>
      </c>
      <c r="DL60" s="207">
        <v>1</v>
      </c>
      <c r="DM60" s="207">
        <v>1</v>
      </c>
      <c r="DN60" s="215">
        <v>1</v>
      </c>
      <c r="DO60" s="226">
        <v>1</v>
      </c>
      <c r="DP60" s="227">
        <v>1</v>
      </c>
      <c r="DQ60" s="227">
        <v>1</v>
      </c>
      <c r="DR60" s="227">
        <v>1</v>
      </c>
      <c r="DS60" s="227">
        <v>1</v>
      </c>
      <c r="DT60" s="227">
        <v>1</v>
      </c>
      <c r="DU60" s="227">
        <v>1</v>
      </c>
      <c r="DV60" s="227">
        <v>1</v>
      </c>
      <c r="DW60" s="227">
        <v>1</v>
      </c>
      <c r="DX60" s="228">
        <v>1</v>
      </c>
      <c r="DY60" s="307">
        <v>1</v>
      </c>
      <c r="DZ60" s="91">
        <v>1</v>
      </c>
      <c r="EA60" s="91">
        <v>1</v>
      </c>
      <c r="EB60" s="91">
        <v>1</v>
      </c>
      <c r="EC60" s="91">
        <v>1</v>
      </c>
      <c r="ED60" s="91">
        <v>1</v>
      </c>
      <c r="EE60" s="91">
        <v>1</v>
      </c>
      <c r="EF60" s="91">
        <v>1</v>
      </c>
      <c r="EG60" s="91">
        <v>1</v>
      </c>
      <c r="EH60" s="91">
        <v>1</v>
      </c>
      <c r="EI60" s="238">
        <v>1</v>
      </c>
      <c r="EJ60" s="238">
        <v>1</v>
      </c>
      <c r="EK60" s="238">
        <v>1</v>
      </c>
      <c r="EL60" s="238">
        <v>1</v>
      </c>
      <c r="EM60" s="238">
        <v>1</v>
      </c>
      <c r="EN60" s="238">
        <v>1</v>
      </c>
      <c r="EO60" s="238">
        <v>1</v>
      </c>
      <c r="EP60" s="238">
        <v>1</v>
      </c>
      <c r="EQ60" s="238">
        <v>1</v>
      </c>
      <c r="ER60" s="238">
        <v>1</v>
      </c>
      <c r="ES60" s="350">
        <f t="shared" si="14"/>
        <v>6</v>
      </c>
      <c r="ET60" s="350">
        <f t="shared" si="2"/>
        <v>10</v>
      </c>
      <c r="EU60" s="350">
        <f t="shared" ref="EU60:EU109" si="20">SUM(AC60:AL60)</f>
        <v>6</v>
      </c>
      <c r="EV60" s="350">
        <f t="shared" si="4"/>
        <v>10</v>
      </c>
      <c r="EW60" s="350">
        <f t="shared" si="15"/>
        <v>10</v>
      </c>
      <c r="EX60" s="350">
        <f t="shared" ref="EX60:EX109" si="21">SUM(BG60:BP60)</f>
        <v>10</v>
      </c>
      <c r="EY60" s="350">
        <f t="shared" ref="EY60:EY109" si="22">SUM(BQ60:BZ60)</f>
        <v>10</v>
      </c>
      <c r="EZ60" s="350">
        <f t="shared" ref="EZ60:EZ109" si="23">SUM(CA60:CJ60)</f>
        <v>0</v>
      </c>
      <c r="FA60" s="350">
        <f t="shared" ref="FA60:FA109" si="24">SUM(CK60:CT60)</f>
        <v>10</v>
      </c>
      <c r="FB60" s="350">
        <f t="shared" ref="FB60:FB109" si="25">SUM(CU60:DD60)</f>
        <v>10</v>
      </c>
      <c r="FC60" s="350">
        <f t="shared" ref="FC60:FC109" si="26">SUM(DE60:DN60)</f>
        <v>10</v>
      </c>
      <c r="FD60" s="350">
        <f t="shared" ref="FD60:FD109" si="27">SUM(DO60:DX60)</f>
        <v>10</v>
      </c>
      <c r="FE60" s="350">
        <f t="shared" ref="FE60:FE109" si="28">SUM(DY60:EH60)</f>
        <v>10</v>
      </c>
      <c r="FF60" s="350">
        <f t="shared" ref="FF60:FF109" si="29">SUM(EI60:ER60)</f>
        <v>10</v>
      </c>
      <c r="FG60" s="349">
        <f>ROW(FG30)</f>
        <v>30</v>
      </c>
      <c r="FH60" s="319">
        <f t="shared" ref="FH60:FH110" si="30">SUM(ES60:FF60)</f>
        <v>122</v>
      </c>
      <c r="FI60" s="319">
        <f>SUM(I7:ER7)-SUM(ES60:FF60)</f>
        <v>6</v>
      </c>
      <c r="FJ60" s="319">
        <f t="shared" ref="FJ60:FJ110" si="31">SUM(FH60:FI60)</f>
        <v>128</v>
      </c>
      <c r="FK60" s="7"/>
    </row>
    <row r="61" spans="1:167" ht="15.75" customHeight="1">
      <c r="A61" s="2"/>
      <c r="B61" s="3">
        <f t="shared" si="19"/>
        <v>1</v>
      </c>
      <c r="C61" s="347">
        <f t="shared" ref="C61:C76" si="32">ROW(D2)</f>
        <v>2</v>
      </c>
      <c r="D61" s="201" t="s">
        <v>225</v>
      </c>
      <c r="E61" s="347"/>
      <c r="F61" s="347"/>
      <c r="G61" s="493">
        <v>45915</v>
      </c>
      <c r="H61" s="494"/>
      <c r="I61" s="214">
        <v>0</v>
      </c>
      <c r="J61" s="207">
        <v>0</v>
      </c>
      <c r="K61" s="207">
        <v>1</v>
      </c>
      <c r="L61" s="207">
        <v>1</v>
      </c>
      <c r="M61" s="207">
        <v>0</v>
      </c>
      <c r="N61" s="207">
        <v>0</v>
      </c>
      <c r="O61" s="207">
        <v>1</v>
      </c>
      <c r="P61" s="207">
        <v>1</v>
      </c>
      <c r="Q61" s="207">
        <v>1</v>
      </c>
      <c r="R61" s="215">
        <v>1</v>
      </c>
      <c r="S61" s="226">
        <v>1</v>
      </c>
      <c r="T61" s="227">
        <v>1</v>
      </c>
      <c r="U61" s="227">
        <v>1</v>
      </c>
      <c r="V61" s="227">
        <v>1</v>
      </c>
      <c r="W61" s="227">
        <v>1</v>
      </c>
      <c r="X61" s="227">
        <v>1</v>
      </c>
      <c r="Y61" s="227">
        <v>1</v>
      </c>
      <c r="Z61" s="227">
        <v>1</v>
      </c>
      <c r="AA61" s="227">
        <v>1</v>
      </c>
      <c r="AB61" s="228">
        <v>1</v>
      </c>
      <c r="AC61" s="258">
        <v>1</v>
      </c>
      <c r="AD61" s="178">
        <v>1</v>
      </c>
      <c r="AE61" s="178">
        <v>1</v>
      </c>
      <c r="AF61" s="178">
        <v>1</v>
      </c>
      <c r="AG61" s="530"/>
      <c r="AH61" s="531"/>
      <c r="AI61" s="178">
        <v>1</v>
      </c>
      <c r="AJ61" s="178">
        <v>1</v>
      </c>
      <c r="AK61" s="178">
        <v>1</v>
      </c>
      <c r="AL61" s="202">
        <v>1</v>
      </c>
      <c r="AM61" s="237">
        <v>0</v>
      </c>
      <c r="AN61" s="238">
        <v>0</v>
      </c>
      <c r="AO61" s="238">
        <v>1</v>
      </c>
      <c r="AP61" s="238">
        <v>1</v>
      </c>
      <c r="AQ61" s="238">
        <v>1</v>
      </c>
      <c r="AR61" s="238">
        <v>1</v>
      </c>
      <c r="AS61" s="238">
        <v>1</v>
      </c>
      <c r="AT61" s="238">
        <v>1</v>
      </c>
      <c r="AU61" s="238">
        <v>1</v>
      </c>
      <c r="AV61" s="273">
        <v>1</v>
      </c>
      <c r="AW61" s="295">
        <v>1</v>
      </c>
      <c r="AX61" s="296">
        <v>1</v>
      </c>
      <c r="AY61" s="296">
        <v>1</v>
      </c>
      <c r="AZ61" s="296">
        <v>1</v>
      </c>
      <c r="BA61" s="296">
        <v>1</v>
      </c>
      <c r="BB61" s="296">
        <v>1</v>
      </c>
      <c r="BC61" s="296">
        <v>1</v>
      </c>
      <c r="BD61" s="296">
        <v>1</v>
      </c>
      <c r="BE61" s="296">
        <v>1</v>
      </c>
      <c r="BF61" s="297">
        <v>1</v>
      </c>
      <c r="BG61" s="214">
        <v>1</v>
      </c>
      <c r="BH61" s="207">
        <v>1</v>
      </c>
      <c r="BI61" s="207">
        <v>1</v>
      </c>
      <c r="BJ61" s="207">
        <v>1</v>
      </c>
      <c r="BK61" s="207">
        <v>1</v>
      </c>
      <c r="BL61" s="207">
        <v>1</v>
      </c>
      <c r="BM61" s="207">
        <v>1</v>
      </c>
      <c r="BN61" s="207">
        <v>1</v>
      </c>
      <c r="BO61" s="207">
        <v>1</v>
      </c>
      <c r="BP61" s="215">
        <v>1</v>
      </c>
      <c r="BQ61" s="249">
        <v>1</v>
      </c>
      <c r="BR61" s="227">
        <v>1</v>
      </c>
      <c r="BS61" s="227">
        <v>1</v>
      </c>
      <c r="BT61" s="227">
        <v>1</v>
      </c>
      <c r="BU61" s="227">
        <v>1</v>
      </c>
      <c r="BV61" s="227">
        <v>1</v>
      </c>
      <c r="BW61" s="227">
        <v>1</v>
      </c>
      <c r="BX61" s="227">
        <v>1</v>
      </c>
      <c r="BY61" s="227">
        <v>1</v>
      </c>
      <c r="BZ61" s="247">
        <v>1</v>
      </c>
      <c r="CA61" s="537"/>
      <c r="CB61" s="538"/>
      <c r="CC61" s="538"/>
      <c r="CD61" s="538"/>
      <c r="CE61" s="538"/>
      <c r="CF61" s="538"/>
      <c r="CG61" s="538"/>
      <c r="CH61" s="538"/>
      <c r="CI61" s="538"/>
      <c r="CJ61" s="539"/>
      <c r="CK61" s="240">
        <v>1</v>
      </c>
      <c r="CL61" s="238">
        <v>1</v>
      </c>
      <c r="CM61" s="238">
        <v>1</v>
      </c>
      <c r="CN61" s="238">
        <v>1</v>
      </c>
      <c r="CO61" s="238">
        <v>1</v>
      </c>
      <c r="CP61" s="238">
        <v>1</v>
      </c>
      <c r="CQ61" s="238">
        <v>1</v>
      </c>
      <c r="CR61" s="238">
        <v>1</v>
      </c>
      <c r="CS61" s="238">
        <v>1</v>
      </c>
      <c r="CT61" s="239">
        <v>1</v>
      </c>
      <c r="CU61" s="295">
        <v>1</v>
      </c>
      <c r="CV61" s="296">
        <v>1</v>
      </c>
      <c r="CW61" s="296">
        <v>1</v>
      </c>
      <c r="CX61" s="296">
        <v>1</v>
      </c>
      <c r="CY61" s="296">
        <v>1</v>
      </c>
      <c r="CZ61" s="296">
        <v>1</v>
      </c>
      <c r="DA61" s="296">
        <v>1</v>
      </c>
      <c r="DB61" s="296">
        <v>1</v>
      </c>
      <c r="DC61" s="296">
        <v>1</v>
      </c>
      <c r="DD61" s="297">
        <v>1</v>
      </c>
      <c r="DE61" s="214">
        <v>1</v>
      </c>
      <c r="DF61" s="207">
        <v>1</v>
      </c>
      <c r="DG61" s="207">
        <v>1</v>
      </c>
      <c r="DH61" s="207">
        <v>1</v>
      </c>
      <c r="DI61" s="207">
        <v>1</v>
      </c>
      <c r="DJ61" s="207">
        <v>1</v>
      </c>
      <c r="DK61" s="207">
        <v>1</v>
      </c>
      <c r="DL61" s="207">
        <v>1</v>
      </c>
      <c r="DM61" s="207">
        <v>1</v>
      </c>
      <c r="DN61" s="215">
        <v>1</v>
      </c>
      <c r="DO61" s="226">
        <v>1</v>
      </c>
      <c r="DP61" s="227">
        <v>1</v>
      </c>
      <c r="DQ61" s="227">
        <v>1</v>
      </c>
      <c r="DR61" s="227">
        <v>1</v>
      </c>
      <c r="DS61" s="227">
        <v>1</v>
      </c>
      <c r="DT61" s="227">
        <v>1</v>
      </c>
      <c r="DU61" s="227">
        <v>1</v>
      </c>
      <c r="DV61" s="227">
        <v>1</v>
      </c>
      <c r="DW61" s="227">
        <v>1</v>
      </c>
      <c r="DX61" s="228">
        <v>1</v>
      </c>
      <c r="DY61" s="307">
        <v>1</v>
      </c>
      <c r="DZ61" s="91">
        <v>1</v>
      </c>
      <c r="EA61" s="91">
        <v>1</v>
      </c>
      <c r="EB61" s="91">
        <v>1</v>
      </c>
      <c r="EC61" s="91">
        <v>1</v>
      </c>
      <c r="ED61" s="91">
        <v>1</v>
      </c>
      <c r="EE61" s="91">
        <v>1</v>
      </c>
      <c r="EF61" s="91">
        <v>1</v>
      </c>
      <c r="EG61" s="91">
        <v>1</v>
      </c>
      <c r="EH61" s="91">
        <v>1</v>
      </c>
      <c r="EI61" s="238">
        <v>1</v>
      </c>
      <c r="EJ61" s="238">
        <v>1</v>
      </c>
      <c r="EK61" s="238">
        <v>1</v>
      </c>
      <c r="EL61" s="238">
        <v>1</v>
      </c>
      <c r="EM61" s="238">
        <v>1</v>
      </c>
      <c r="EN61" s="238">
        <v>1</v>
      </c>
      <c r="EO61" s="238">
        <v>1</v>
      </c>
      <c r="EP61" s="238">
        <v>1</v>
      </c>
      <c r="EQ61" s="238">
        <v>1</v>
      </c>
      <c r="ER61" s="238">
        <v>1</v>
      </c>
      <c r="ES61" s="350">
        <f t="shared" si="14"/>
        <v>8</v>
      </c>
      <c r="ET61" s="350">
        <f t="shared" si="2"/>
        <v>10</v>
      </c>
      <c r="EU61" s="350">
        <f t="shared" si="20"/>
        <v>8</v>
      </c>
      <c r="EV61" s="350">
        <f t="shared" si="4"/>
        <v>8</v>
      </c>
      <c r="EW61" s="350">
        <f t="shared" si="15"/>
        <v>10</v>
      </c>
      <c r="EX61" s="350">
        <f t="shared" si="21"/>
        <v>10</v>
      </c>
      <c r="EY61" s="350">
        <f t="shared" si="22"/>
        <v>10</v>
      </c>
      <c r="EZ61" s="350">
        <f t="shared" si="23"/>
        <v>0</v>
      </c>
      <c r="FA61" s="350">
        <f t="shared" si="24"/>
        <v>10</v>
      </c>
      <c r="FB61" s="350">
        <f t="shared" si="25"/>
        <v>10</v>
      </c>
      <c r="FC61" s="350">
        <f t="shared" si="26"/>
        <v>10</v>
      </c>
      <c r="FD61" s="350">
        <f t="shared" si="27"/>
        <v>10</v>
      </c>
      <c r="FE61" s="350">
        <f t="shared" si="28"/>
        <v>10</v>
      </c>
      <c r="FF61" s="350">
        <f t="shared" si="29"/>
        <v>10</v>
      </c>
      <c r="FG61" s="349">
        <f t="shared" ref="FG61:FG109" si="33">ROW(FG59)</f>
        <v>59</v>
      </c>
      <c r="FH61" s="319">
        <f t="shared" si="30"/>
        <v>124</v>
      </c>
      <c r="FI61" s="319">
        <f>SUM(I7:ER7)-SUM(ES61:FF61)</f>
        <v>4</v>
      </c>
      <c r="FJ61" s="319">
        <f t="shared" si="31"/>
        <v>128</v>
      </c>
      <c r="FK61" s="7"/>
    </row>
    <row r="62" spans="1:167" ht="15.75" customHeight="1">
      <c r="A62" s="2"/>
      <c r="B62" s="3">
        <f t="shared" si="19"/>
        <v>1</v>
      </c>
      <c r="C62" s="347">
        <f t="shared" si="32"/>
        <v>3</v>
      </c>
      <c r="D62" s="201" t="s">
        <v>226</v>
      </c>
      <c r="E62" s="347"/>
      <c r="F62" s="347"/>
      <c r="G62" s="493">
        <v>45915</v>
      </c>
      <c r="H62" s="494"/>
      <c r="I62" s="214">
        <v>1</v>
      </c>
      <c r="J62" s="207">
        <v>1</v>
      </c>
      <c r="K62" s="207">
        <v>1</v>
      </c>
      <c r="L62" s="207">
        <v>1</v>
      </c>
      <c r="M62" s="207">
        <v>0</v>
      </c>
      <c r="N62" s="207">
        <v>0</v>
      </c>
      <c r="O62" s="207">
        <v>1</v>
      </c>
      <c r="P62" s="207">
        <v>1</v>
      </c>
      <c r="Q62" s="207">
        <v>1</v>
      </c>
      <c r="R62" s="215">
        <v>1</v>
      </c>
      <c r="S62" s="226">
        <v>1</v>
      </c>
      <c r="T62" s="227">
        <v>1</v>
      </c>
      <c r="U62" s="227">
        <v>1</v>
      </c>
      <c r="V62" s="227">
        <v>1</v>
      </c>
      <c r="W62" s="227">
        <v>1</v>
      </c>
      <c r="X62" s="227">
        <v>1</v>
      </c>
      <c r="Y62" s="227">
        <v>1</v>
      </c>
      <c r="Z62" s="227">
        <v>1</v>
      </c>
      <c r="AA62" s="227">
        <v>1</v>
      </c>
      <c r="AB62" s="228">
        <v>1</v>
      </c>
      <c r="AC62" s="258">
        <v>1</v>
      </c>
      <c r="AD62" s="178">
        <v>1</v>
      </c>
      <c r="AE62" s="178">
        <v>1</v>
      </c>
      <c r="AF62" s="178">
        <v>1</v>
      </c>
      <c r="AG62" s="530"/>
      <c r="AH62" s="531"/>
      <c r="AI62" s="178">
        <v>1</v>
      </c>
      <c r="AJ62" s="178">
        <v>1</v>
      </c>
      <c r="AK62" s="178">
        <v>1</v>
      </c>
      <c r="AL62" s="202">
        <v>1</v>
      </c>
      <c r="AM62" s="237">
        <v>1</v>
      </c>
      <c r="AN62" s="238">
        <v>1</v>
      </c>
      <c r="AO62" s="238">
        <v>1</v>
      </c>
      <c r="AP62" s="238">
        <v>1</v>
      </c>
      <c r="AQ62" s="238">
        <v>1</v>
      </c>
      <c r="AR62" s="238">
        <v>1</v>
      </c>
      <c r="AS62" s="238">
        <v>1</v>
      </c>
      <c r="AT62" s="238">
        <v>1</v>
      </c>
      <c r="AU62" s="238">
        <v>1</v>
      </c>
      <c r="AV62" s="273">
        <v>1</v>
      </c>
      <c r="AW62" s="295">
        <v>1</v>
      </c>
      <c r="AX62" s="296">
        <v>1</v>
      </c>
      <c r="AY62" s="296">
        <v>1</v>
      </c>
      <c r="AZ62" s="296">
        <v>1</v>
      </c>
      <c r="BA62" s="296">
        <v>1</v>
      </c>
      <c r="BB62" s="296">
        <v>1</v>
      </c>
      <c r="BC62" s="296">
        <v>1</v>
      </c>
      <c r="BD62" s="296">
        <v>1</v>
      </c>
      <c r="BE62" s="296">
        <v>1</v>
      </c>
      <c r="BF62" s="297">
        <v>1</v>
      </c>
      <c r="BG62" s="214">
        <v>1</v>
      </c>
      <c r="BH62" s="207">
        <v>1</v>
      </c>
      <c r="BI62" s="207">
        <v>1</v>
      </c>
      <c r="BJ62" s="207">
        <v>1</v>
      </c>
      <c r="BK62" s="207">
        <v>1</v>
      </c>
      <c r="BL62" s="207">
        <v>1</v>
      </c>
      <c r="BM62" s="207">
        <v>1</v>
      </c>
      <c r="BN62" s="207">
        <v>1</v>
      </c>
      <c r="BO62" s="207">
        <v>1</v>
      </c>
      <c r="BP62" s="215">
        <v>1</v>
      </c>
      <c r="BQ62" s="249">
        <v>1</v>
      </c>
      <c r="BR62" s="227">
        <v>1</v>
      </c>
      <c r="BS62" s="227">
        <v>1</v>
      </c>
      <c r="BT62" s="227">
        <v>1</v>
      </c>
      <c r="BU62" s="227">
        <v>1</v>
      </c>
      <c r="BV62" s="227">
        <v>1</v>
      </c>
      <c r="BW62" s="227">
        <v>1</v>
      </c>
      <c r="BX62" s="227">
        <v>1</v>
      </c>
      <c r="BY62" s="227">
        <v>1</v>
      </c>
      <c r="BZ62" s="247">
        <v>1</v>
      </c>
      <c r="CA62" s="537"/>
      <c r="CB62" s="538"/>
      <c r="CC62" s="538"/>
      <c r="CD62" s="538"/>
      <c r="CE62" s="538"/>
      <c r="CF62" s="538"/>
      <c r="CG62" s="538"/>
      <c r="CH62" s="538"/>
      <c r="CI62" s="538"/>
      <c r="CJ62" s="539"/>
      <c r="CK62" s="240">
        <v>1</v>
      </c>
      <c r="CL62" s="238">
        <v>1</v>
      </c>
      <c r="CM62" s="238">
        <v>1</v>
      </c>
      <c r="CN62" s="238">
        <v>1</v>
      </c>
      <c r="CO62" s="238">
        <v>1</v>
      </c>
      <c r="CP62" s="238">
        <v>1</v>
      </c>
      <c r="CQ62" s="238">
        <v>1</v>
      </c>
      <c r="CR62" s="238">
        <v>1</v>
      </c>
      <c r="CS62" s="238">
        <v>1</v>
      </c>
      <c r="CT62" s="239">
        <v>1</v>
      </c>
      <c r="CU62" s="295">
        <v>1</v>
      </c>
      <c r="CV62" s="296">
        <v>1</v>
      </c>
      <c r="CW62" s="296">
        <v>1</v>
      </c>
      <c r="CX62" s="296">
        <v>1</v>
      </c>
      <c r="CY62" s="296">
        <v>1</v>
      </c>
      <c r="CZ62" s="296">
        <v>1</v>
      </c>
      <c r="DA62" s="296">
        <v>1</v>
      </c>
      <c r="DB62" s="296">
        <v>1</v>
      </c>
      <c r="DC62" s="296">
        <v>1</v>
      </c>
      <c r="DD62" s="297">
        <v>1</v>
      </c>
      <c r="DE62" s="214">
        <v>1</v>
      </c>
      <c r="DF62" s="207">
        <v>1</v>
      </c>
      <c r="DG62" s="207">
        <v>1</v>
      </c>
      <c r="DH62" s="207">
        <v>1</v>
      </c>
      <c r="DI62" s="207">
        <v>1</v>
      </c>
      <c r="DJ62" s="207">
        <v>1</v>
      </c>
      <c r="DK62" s="207">
        <v>1</v>
      </c>
      <c r="DL62" s="207">
        <v>1</v>
      </c>
      <c r="DM62" s="207">
        <v>1</v>
      </c>
      <c r="DN62" s="215">
        <v>1</v>
      </c>
      <c r="DO62" s="226">
        <v>1</v>
      </c>
      <c r="DP62" s="227">
        <v>1</v>
      </c>
      <c r="DQ62" s="227">
        <v>1</v>
      </c>
      <c r="DR62" s="227">
        <v>1</v>
      </c>
      <c r="DS62" s="227">
        <v>1</v>
      </c>
      <c r="DT62" s="227">
        <v>1</v>
      </c>
      <c r="DU62" s="227">
        <v>1</v>
      </c>
      <c r="DV62" s="227">
        <v>1</v>
      </c>
      <c r="DW62" s="227">
        <v>1</v>
      </c>
      <c r="DX62" s="228">
        <v>1</v>
      </c>
      <c r="DY62" s="307">
        <v>1</v>
      </c>
      <c r="DZ62" s="91">
        <v>1</v>
      </c>
      <c r="EA62" s="91">
        <v>1</v>
      </c>
      <c r="EB62" s="91">
        <v>1</v>
      </c>
      <c r="EC62" s="91">
        <v>1</v>
      </c>
      <c r="ED62" s="91">
        <v>1</v>
      </c>
      <c r="EE62" s="91">
        <v>1</v>
      </c>
      <c r="EF62" s="91">
        <v>1</v>
      </c>
      <c r="EG62" s="91">
        <v>1</v>
      </c>
      <c r="EH62" s="91">
        <v>1</v>
      </c>
      <c r="EI62" s="238">
        <v>1</v>
      </c>
      <c r="EJ62" s="238">
        <v>1</v>
      </c>
      <c r="EK62" s="238">
        <v>1</v>
      </c>
      <c r="EL62" s="238">
        <v>1</v>
      </c>
      <c r="EM62" s="238">
        <v>1</v>
      </c>
      <c r="EN62" s="238">
        <v>1</v>
      </c>
      <c r="EO62" s="238">
        <v>1</v>
      </c>
      <c r="EP62" s="238">
        <v>1</v>
      </c>
      <c r="EQ62" s="238">
        <v>1</v>
      </c>
      <c r="ER62" s="238">
        <v>1</v>
      </c>
      <c r="ES62" s="350">
        <f t="shared" si="14"/>
        <v>8</v>
      </c>
      <c r="ET62" s="350">
        <f t="shared" si="2"/>
        <v>10</v>
      </c>
      <c r="EU62" s="350">
        <f t="shared" si="20"/>
        <v>8</v>
      </c>
      <c r="EV62" s="350">
        <f t="shared" si="4"/>
        <v>10</v>
      </c>
      <c r="EW62" s="350">
        <f t="shared" si="15"/>
        <v>10</v>
      </c>
      <c r="EX62" s="350">
        <f t="shared" si="21"/>
        <v>10</v>
      </c>
      <c r="EY62" s="350">
        <f t="shared" si="22"/>
        <v>10</v>
      </c>
      <c r="EZ62" s="350">
        <f t="shared" si="23"/>
        <v>0</v>
      </c>
      <c r="FA62" s="350">
        <f t="shared" si="24"/>
        <v>10</v>
      </c>
      <c r="FB62" s="350">
        <f t="shared" si="25"/>
        <v>10</v>
      </c>
      <c r="FC62" s="350">
        <f t="shared" si="26"/>
        <v>10</v>
      </c>
      <c r="FD62" s="350">
        <f t="shared" si="27"/>
        <v>10</v>
      </c>
      <c r="FE62" s="350">
        <f t="shared" si="28"/>
        <v>10</v>
      </c>
      <c r="FF62" s="350">
        <f t="shared" si="29"/>
        <v>10</v>
      </c>
      <c r="FG62" s="349">
        <f t="shared" si="33"/>
        <v>60</v>
      </c>
      <c r="FH62" s="319">
        <f t="shared" si="30"/>
        <v>126</v>
      </c>
      <c r="FI62" s="319">
        <f>SUM(I7:ER7)-SUM(ES62:FF62)</f>
        <v>2</v>
      </c>
      <c r="FJ62" s="319">
        <f t="shared" si="31"/>
        <v>128</v>
      </c>
      <c r="FK62" s="7"/>
    </row>
    <row r="63" spans="1:167" ht="15.75" customHeight="1">
      <c r="A63" s="2"/>
      <c r="B63" s="3">
        <f t="shared" si="19"/>
        <v>1</v>
      </c>
      <c r="C63" s="347">
        <f t="shared" si="32"/>
        <v>4</v>
      </c>
      <c r="D63" s="201" t="s">
        <v>227</v>
      </c>
      <c r="E63" s="347"/>
      <c r="F63" s="347"/>
      <c r="G63" s="493">
        <v>45915</v>
      </c>
      <c r="H63" s="494"/>
      <c r="I63" s="214">
        <v>0</v>
      </c>
      <c r="J63" s="207">
        <v>0</v>
      </c>
      <c r="K63" s="207">
        <v>1</v>
      </c>
      <c r="L63" s="207">
        <v>1</v>
      </c>
      <c r="M63" s="207">
        <v>1</v>
      </c>
      <c r="N63" s="207">
        <v>1</v>
      </c>
      <c r="O63" s="207">
        <v>1</v>
      </c>
      <c r="P63" s="207">
        <v>1</v>
      </c>
      <c r="Q63" s="207">
        <v>1</v>
      </c>
      <c r="R63" s="215">
        <v>1</v>
      </c>
      <c r="S63" s="226">
        <v>1</v>
      </c>
      <c r="T63" s="227">
        <v>1</v>
      </c>
      <c r="U63" s="227">
        <v>1</v>
      </c>
      <c r="V63" s="227">
        <v>1</v>
      </c>
      <c r="W63" s="227">
        <v>1</v>
      </c>
      <c r="X63" s="227">
        <v>1</v>
      </c>
      <c r="Y63" s="227">
        <v>1</v>
      </c>
      <c r="Z63" s="227">
        <v>1</v>
      </c>
      <c r="AA63" s="227">
        <v>1</v>
      </c>
      <c r="AB63" s="228">
        <v>1</v>
      </c>
      <c r="AC63" s="258">
        <v>1</v>
      </c>
      <c r="AD63" s="178">
        <v>1</v>
      </c>
      <c r="AE63" s="178">
        <v>1</v>
      </c>
      <c r="AF63" s="178">
        <v>1</v>
      </c>
      <c r="AG63" s="530"/>
      <c r="AH63" s="531"/>
      <c r="AI63" s="178">
        <v>1</v>
      </c>
      <c r="AJ63" s="178">
        <v>1</v>
      </c>
      <c r="AK63" s="178">
        <v>1</v>
      </c>
      <c r="AL63" s="202">
        <v>1</v>
      </c>
      <c r="AM63" s="237">
        <v>1</v>
      </c>
      <c r="AN63" s="238">
        <v>1</v>
      </c>
      <c r="AO63" s="238">
        <v>1</v>
      </c>
      <c r="AP63" s="238">
        <v>1</v>
      </c>
      <c r="AQ63" s="238">
        <v>1</v>
      </c>
      <c r="AR63" s="238">
        <v>1</v>
      </c>
      <c r="AS63" s="238">
        <v>1</v>
      </c>
      <c r="AT63" s="238">
        <v>1</v>
      </c>
      <c r="AU63" s="238">
        <v>1</v>
      </c>
      <c r="AV63" s="273">
        <v>1</v>
      </c>
      <c r="AW63" s="295">
        <v>1</v>
      </c>
      <c r="AX63" s="296">
        <v>1</v>
      </c>
      <c r="AY63" s="296">
        <v>1</v>
      </c>
      <c r="AZ63" s="296">
        <v>1</v>
      </c>
      <c r="BA63" s="296">
        <v>1</v>
      </c>
      <c r="BB63" s="296">
        <v>1</v>
      </c>
      <c r="BC63" s="296">
        <v>1</v>
      </c>
      <c r="BD63" s="296">
        <v>1</v>
      </c>
      <c r="BE63" s="296">
        <v>1</v>
      </c>
      <c r="BF63" s="297">
        <v>1</v>
      </c>
      <c r="BG63" s="214">
        <v>1</v>
      </c>
      <c r="BH63" s="207">
        <v>1</v>
      </c>
      <c r="BI63" s="207">
        <v>1</v>
      </c>
      <c r="BJ63" s="207">
        <v>1</v>
      </c>
      <c r="BK63" s="207">
        <v>1</v>
      </c>
      <c r="BL63" s="207">
        <v>1</v>
      </c>
      <c r="BM63" s="207">
        <v>1</v>
      </c>
      <c r="BN63" s="207">
        <v>1</v>
      </c>
      <c r="BO63" s="207">
        <v>1</v>
      </c>
      <c r="BP63" s="215">
        <v>1</v>
      </c>
      <c r="BQ63" s="249">
        <v>1</v>
      </c>
      <c r="BR63" s="227">
        <v>1</v>
      </c>
      <c r="BS63" s="227">
        <v>1</v>
      </c>
      <c r="BT63" s="227">
        <v>1</v>
      </c>
      <c r="BU63" s="227">
        <v>1</v>
      </c>
      <c r="BV63" s="227">
        <v>1</v>
      </c>
      <c r="BW63" s="227">
        <v>1</v>
      </c>
      <c r="BX63" s="227">
        <v>1</v>
      </c>
      <c r="BY63" s="227">
        <v>1</v>
      </c>
      <c r="BZ63" s="247">
        <v>1</v>
      </c>
      <c r="CA63" s="537"/>
      <c r="CB63" s="538"/>
      <c r="CC63" s="538"/>
      <c r="CD63" s="538"/>
      <c r="CE63" s="538"/>
      <c r="CF63" s="538"/>
      <c r="CG63" s="538"/>
      <c r="CH63" s="538"/>
      <c r="CI63" s="538"/>
      <c r="CJ63" s="539"/>
      <c r="CK63" s="240">
        <v>1</v>
      </c>
      <c r="CL63" s="238">
        <v>1</v>
      </c>
      <c r="CM63" s="238">
        <v>1</v>
      </c>
      <c r="CN63" s="238">
        <v>1</v>
      </c>
      <c r="CO63" s="238">
        <v>1</v>
      </c>
      <c r="CP63" s="238">
        <v>1</v>
      </c>
      <c r="CQ63" s="238">
        <v>1</v>
      </c>
      <c r="CR63" s="238">
        <v>1</v>
      </c>
      <c r="CS63" s="238">
        <v>1</v>
      </c>
      <c r="CT63" s="239">
        <v>1</v>
      </c>
      <c r="CU63" s="295">
        <v>1</v>
      </c>
      <c r="CV63" s="296">
        <v>1</v>
      </c>
      <c r="CW63" s="296">
        <v>1</v>
      </c>
      <c r="CX63" s="296">
        <v>1</v>
      </c>
      <c r="CY63" s="296">
        <v>1</v>
      </c>
      <c r="CZ63" s="296">
        <v>1</v>
      </c>
      <c r="DA63" s="296">
        <v>1</v>
      </c>
      <c r="DB63" s="296">
        <v>1</v>
      </c>
      <c r="DC63" s="296">
        <v>1</v>
      </c>
      <c r="DD63" s="297">
        <v>1</v>
      </c>
      <c r="DE63" s="214">
        <v>1</v>
      </c>
      <c r="DF63" s="207">
        <v>1</v>
      </c>
      <c r="DG63" s="207">
        <v>1</v>
      </c>
      <c r="DH63" s="207">
        <v>1</v>
      </c>
      <c r="DI63" s="207">
        <v>1</v>
      </c>
      <c r="DJ63" s="207">
        <v>1</v>
      </c>
      <c r="DK63" s="207">
        <v>1</v>
      </c>
      <c r="DL63" s="207">
        <v>1</v>
      </c>
      <c r="DM63" s="207">
        <v>1</v>
      </c>
      <c r="DN63" s="215">
        <v>1</v>
      </c>
      <c r="DO63" s="226">
        <v>1</v>
      </c>
      <c r="DP63" s="227">
        <v>1</v>
      </c>
      <c r="DQ63" s="227">
        <v>1</v>
      </c>
      <c r="DR63" s="227">
        <v>1</v>
      </c>
      <c r="DS63" s="227">
        <v>1</v>
      </c>
      <c r="DT63" s="227">
        <v>1</v>
      </c>
      <c r="DU63" s="227">
        <v>1</v>
      </c>
      <c r="DV63" s="227">
        <v>1</v>
      </c>
      <c r="DW63" s="227">
        <v>1</v>
      </c>
      <c r="DX63" s="228">
        <v>1</v>
      </c>
      <c r="DY63" s="307">
        <v>1</v>
      </c>
      <c r="DZ63" s="91">
        <v>1</v>
      </c>
      <c r="EA63" s="91">
        <v>1</v>
      </c>
      <c r="EB63" s="91">
        <v>1</v>
      </c>
      <c r="EC63" s="91">
        <v>1</v>
      </c>
      <c r="ED63" s="91">
        <v>1</v>
      </c>
      <c r="EE63" s="91">
        <v>1</v>
      </c>
      <c r="EF63" s="91">
        <v>1</v>
      </c>
      <c r="EG63" s="91">
        <v>1</v>
      </c>
      <c r="EH63" s="91">
        <v>1</v>
      </c>
      <c r="EI63" s="238">
        <v>1</v>
      </c>
      <c r="EJ63" s="238">
        <v>1</v>
      </c>
      <c r="EK63" s="238">
        <v>1</v>
      </c>
      <c r="EL63" s="238">
        <v>1</v>
      </c>
      <c r="EM63" s="238">
        <v>1</v>
      </c>
      <c r="EN63" s="238">
        <v>1</v>
      </c>
      <c r="EO63" s="238">
        <v>1</v>
      </c>
      <c r="EP63" s="238">
        <v>1</v>
      </c>
      <c r="EQ63" s="238">
        <v>1</v>
      </c>
      <c r="ER63" s="238">
        <v>1</v>
      </c>
      <c r="ES63" s="350">
        <f t="shared" si="14"/>
        <v>4</v>
      </c>
      <c r="ET63" s="350">
        <f t="shared" si="2"/>
        <v>10</v>
      </c>
      <c r="EU63" s="350">
        <f t="shared" si="20"/>
        <v>8</v>
      </c>
      <c r="EV63" s="350">
        <f t="shared" si="4"/>
        <v>10</v>
      </c>
      <c r="EW63" s="350">
        <f t="shared" si="15"/>
        <v>10</v>
      </c>
      <c r="EX63" s="350">
        <f t="shared" si="21"/>
        <v>10</v>
      </c>
      <c r="EY63" s="350">
        <f t="shared" si="22"/>
        <v>10</v>
      </c>
      <c r="EZ63" s="350">
        <f t="shared" si="23"/>
        <v>0</v>
      </c>
      <c r="FA63" s="350">
        <f t="shared" si="24"/>
        <v>10</v>
      </c>
      <c r="FB63" s="350">
        <f t="shared" si="25"/>
        <v>10</v>
      </c>
      <c r="FC63" s="350">
        <f t="shared" si="26"/>
        <v>10</v>
      </c>
      <c r="FD63" s="350">
        <f t="shared" si="27"/>
        <v>10</v>
      </c>
      <c r="FE63" s="350">
        <f t="shared" si="28"/>
        <v>10</v>
      </c>
      <c r="FF63" s="350">
        <f t="shared" si="29"/>
        <v>10</v>
      </c>
      <c r="FG63" s="349">
        <f t="shared" si="33"/>
        <v>61</v>
      </c>
      <c r="FH63" s="319">
        <f t="shared" si="30"/>
        <v>122</v>
      </c>
      <c r="FI63" s="319">
        <f>SUM(I7:ER7)-SUM(ES63:FF63)</f>
        <v>6</v>
      </c>
      <c r="FJ63" s="319">
        <f t="shared" si="31"/>
        <v>128</v>
      </c>
      <c r="FK63" s="7"/>
    </row>
    <row r="64" spans="1:167" ht="15.75" customHeight="1">
      <c r="A64" s="2"/>
      <c r="B64" s="3">
        <f t="shared" si="19"/>
        <v>1</v>
      </c>
      <c r="C64" s="347">
        <f t="shared" si="32"/>
        <v>5</v>
      </c>
      <c r="D64" s="201" t="s">
        <v>228</v>
      </c>
      <c r="E64" s="347"/>
      <c r="F64" s="347"/>
      <c r="G64" s="493">
        <v>45915</v>
      </c>
      <c r="H64" s="494"/>
      <c r="I64" s="214">
        <v>0</v>
      </c>
      <c r="J64" s="207">
        <v>0</v>
      </c>
      <c r="K64" s="207">
        <v>0</v>
      </c>
      <c r="L64" s="207">
        <v>0</v>
      </c>
      <c r="M64" s="207">
        <v>0</v>
      </c>
      <c r="N64" s="207">
        <v>0</v>
      </c>
      <c r="O64" s="207">
        <v>1</v>
      </c>
      <c r="P64" s="207">
        <v>1</v>
      </c>
      <c r="Q64" s="207">
        <v>1</v>
      </c>
      <c r="R64" s="215">
        <v>1</v>
      </c>
      <c r="S64" s="226">
        <v>1</v>
      </c>
      <c r="T64" s="227">
        <v>1</v>
      </c>
      <c r="U64" s="227">
        <v>1</v>
      </c>
      <c r="V64" s="227">
        <v>1</v>
      </c>
      <c r="W64" s="227">
        <v>1</v>
      </c>
      <c r="X64" s="227">
        <v>1</v>
      </c>
      <c r="Y64" s="227">
        <v>1</v>
      </c>
      <c r="Z64" s="227">
        <v>1</v>
      </c>
      <c r="AA64" s="227">
        <v>1</v>
      </c>
      <c r="AB64" s="228">
        <v>1</v>
      </c>
      <c r="AC64" s="258">
        <v>1</v>
      </c>
      <c r="AD64" s="178">
        <v>1</v>
      </c>
      <c r="AE64" s="178">
        <v>1</v>
      </c>
      <c r="AF64" s="178">
        <v>1</v>
      </c>
      <c r="AG64" s="530"/>
      <c r="AH64" s="531"/>
      <c r="AI64" s="178">
        <v>1</v>
      </c>
      <c r="AJ64" s="178">
        <v>1</v>
      </c>
      <c r="AK64" s="178">
        <v>1</v>
      </c>
      <c r="AL64" s="202">
        <v>1</v>
      </c>
      <c r="AM64" s="237">
        <v>1</v>
      </c>
      <c r="AN64" s="238">
        <v>1</v>
      </c>
      <c r="AO64" s="238">
        <v>1</v>
      </c>
      <c r="AP64" s="238">
        <v>1</v>
      </c>
      <c r="AQ64" s="238">
        <v>1</v>
      </c>
      <c r="AR64" s="238">
        <v>1</v>
      </c>
      <c r="AS64" s="238">
        <v>1</v>
      </c>
      <c r="AT64" s="238">
        <v>1</v>
      </c>
      <c r="AU64" s="238">
        <v>1</v>
      </c>
      <c r="AV64" s="273">
        <v>1</v>
      </c>
      <c r="AW64" s="295">
        <v>1</v>
      </c>
      <c r="AX64" s="296">
        <v>1</v>
      </c>
      <c r="AY64" s="296">
        <v>1</v>
      </c>
      <c r="AZ64" s="296">
        <v>1</v>
      </c>
      <c r="BA64" s="296">
        <v>1</v>
      </c>
      <c r="BB64" s="296">
        <v>1</v>
      </c>
      <c r="BC64" s="296">
        <v>1</v>
      </c>
      <c r="BD64" s="296">
        <v>1</v>
      </c>
      <c r="BE64" s="296">
        <v>1</v>
      </c>
      <c r="BF64" s="297">
        <v>1</v>
      </c>
      <c r="BG64" s="214">
        <v>1</v>
      </c>
      <c r="BH64" s="207">
        <v>1</v>
      </c>
      <c r="BI64" s="207">
        <v>1</v>
      </c>
      <c r="BJ64" s="207">
        <v>1</v>
      </c>
      <c r="BK64" s="207">
        <v>1</v>
      </c>
      <c r="BL64" s="207">
        <v>1</v>
      </c>
      <c r="BM64" s="207">
        <v>1</v>
      </c>
      <c r="BN64" s="207">
        <v>1</v>
      </c>
      <c r="BO64" s="207">
        <v>1</v>
      </c>
      <c r="BP64" s="215">
        <v>1</v>
      </c>
      <c r="BQ64" s="249">
        <v>1</v>
      </c>
      <c r="BR64" s="227">
        <v>1</v>
      </c>
      <c r="BS64" s="227">
        <v>1</v>
      </c>
      <c r="BT64" s="227">
        <v>1</v>
      </c>
      <c r="BU64" s="227">
        <v>1</v>
      </c>
      <c r="BV64" s="227">
        <v>1</v>
      </c>
      <c r="BW64" s="227">
        <v>1</v>
      </c>
      <c r="BX64" s="227">
        <v>1</v>
      </c>
      <c r="BY64" s="227">
        <v>1</v>
      </c>
      <c r="BZ64" s="247">
        <v>1</v>
      </c>
      <c r="CA64" s="537"/>
      <c r="CB64" s="538"/>
      <c r="CC64" s="538"/>
      <c r="CD64" s="538"/>
      <c r="CE64" s="538"/>
      <c r="CF64" s="538"/>
      <c r="CG64" s="538"/>
      <c r="CH64" s="538"/>
      <c r="CI64" s="538"/>
      <c r="CJ64" s="539"/>
      <c r="CK64" s="240">
        <v>1</v>
      </c>
      <c r="CL64" s="238">
        <v>1</v>
      </c>
      <c r="CM64" s="238">
        <v>1</v>
      </c>
      <c r="CN64" s="238">
        <v>1</v>
      </c>
      <c r="CO64" s="238">
        <v>0</v>
      </c>
      <c r="CP64" s="238">
        <v>0</v>
      </c>
      <c r="CQ64" s="238">
        <v>0</v>
      </c>
      <c r="CR64" s="238">
        <v>0</v>
      </c>
      <c r="CS64" s="238">
        <v>1</v>
      </c>
      <c r="CT64" s="239">
        <v>1</v>
      </c>
      <c r="CU64" s="295">
        <v>1</v>
      </c>
      <c r="CV64" s="296">
        <v>1</v>
      </c>
      <c r="CW64" s="296">
        <v>1</v>
      </c>
      <c r="CX64" s="296">
        <v>1</v>
      </c>
      <c r="CY64" s="296">
        <v>1</v>
      </c>
      <c r="CZ64" s="296">
        <v>1</v>
      </c>
      <c r="DA64" s="296">
        <v>1</v>
      </c>
      <c r="DB64" s="296">
        <v>1</v>
      </c>
      <c r="DC64" s="296">
        <v>1</v>
      </c>
      <c r="DD64" s="297">
        <v>1</v>
      </c>
      <c r="DE64" s="214">
        <v>1</v>
      </c>
      <c r="DF64" s="207">
        <v>1</v>
      </c>
      <c r="DG64" s="207">
        <v>1</v>
      </c>
      <c r="DH64" s="207">
        <v>1</v>
      </c>
      <c r="DI64" s="207">
        <v>1</v>
      </c>
      <c r="DJ64" s="207">
        <v>1</v>
      </c>
      <c r="DK64" s="207">
        <v>1</v>
      </c>
      <c r="DL64" s="207">
        <v>1</v>
      </c>
      <c r="DM64" s="207">
        <v>1</v>
      </c>
      <c r="DN64" s="215">
        <v>1</v>
      </c>
      <c r="DO64" s="226">
        <v>1</v>
      </c>
      <c r="DP64" s="227">
        <v>1</v>
      </c>
      <c r="DQ64" s="227">
        <v>1</v>
      </c>
      <c r="DR64" s="227">
        <v>1</v>
      </c>
      <c r="DS64" s="227">
        <v>1</v>
      </c>
      <c r="DT64" s="227">
        <v>1</v>
      </c>
      <c r="DU64" s="227">
        <v>1</v>
      </c>
      <c r="DV64" s="227">
        <v>1</v>
      </c>
      <c r="DW64" s="227">
        <v>1</v>
      </c>
      <c r="DX64" s="228">
        <v>1</v>
      </c>
      <c r="DY64" s="307">
        <v>1</v>
      </c>
      <c r="DZ64" s="91">
        <v>1</v>
      </c>
      <c r="EA64" s="91">
        <v>1</v>
      </c>
      <c r="EB64" s="91">
        <v>1</v>
      </c>
      <c r="EC64" s="91">
        <v>1</v>
      </c>
      <c r="ED64" s="91">
        <v>1</v>
      </c>
      <c r="EE64" s="91">
        <v>1</v>
      </c>
      <c r="EF64" s="91">
        <v>1</v>
      </c>
      <c r="EG64" s="91">
        <v>1</v>
      </c>
      <c r="EH64" s="91">
        <v>1</v>
      </c>
      <c r="EI64" s="238">
        <v>1</v>
      </c>
      <c r="EJ64" s="238">
        <v>1</v>
      </c>
      <c r="EK64" s="238">
        <v>1</v>
      </c>
      <c r="EL64" s="238">
        <v>1</v>
      </c>
      <c r="EM64" s="238">
        <v>1</v>
      </c>
      <c r="EN64" s="238">
        <v>1</v>
      </c>
      <c r="EO64" s="238">
        <v>1</v>
      </c>
      <c r="EP64" s="238">
        <v>1</v>
      </c>
      <c r="EQ64" s="238">
        <v>1</v>
      </c>
      <c r="ER64" s="238">
        <v>1</v>
      </c>
      <c r="ES64" s="350">
        <f t="shared" si="14"/>
        <v>0</v>
      </c>
      <c r="ET64" s="350">
        <f t="shared" si="2"/>
        <v>10</v>
      </c>
      <c r="EU64" s="350">
        <f t="shared" si="20"/>
        <v>8</v>
      </c>
      <c r="EV64" s="350">
        <f t="shared" si="4"/>
        <v>10</v>
      </c>
      <c r="EW64" s="350">
        <f t="shared" si="15"/>
        <v>10</v>
      </c>
      <c r="EX64" s="350">
        <f t="shared" si="21"/>
        <v>10</v>
      </c>
      <c r="EY64" s="350">
        <f t="shared" si="22"/>
        <v>10</v>
      </c>
      <c r="EZ64" s="350">
        <f t="shared" si="23"/>
        <v>0</v>
      </c>
      <c r="FA64" s="350">
        <f t="shared" si="24"/>
        <v>6</v>
      </c>
      <c r="FB64" s="350">
        <f t="shared" si="25"/>
        <v>10</v>
      </c>
      <c r="FC64" s="350">
        <f t="shared" si="26"/>
        <v>10</v>
      </c>
      <c r="FD64" s="350">
        <f t="shared" si="27"/>
        <v>10</v>
      </c>
      <c r="FE64" s="350">
        <f t="shared" si="28"/>
        <v>10</v>
      </c>
      <c r="FF64" s="350">
        <f t="shared" si="29"/>
        <v>10</v>
      </c>
      <c r="FG64" s="349">
        <f t="shared" si="33"/>
        <v>62</v>
      </c>
      <c r="FH64" s="319">
        <f t="shared" si="30"/>
        <v>114</v>
      </c>
      <c r="FI64" s="319">
        <f>SUM(I7:ER7)-SUM(ES64:FF64)</f>
        <v>14</v>
      </c>
      <c r="FJ64" s="319">
        <f t="shared" si="31"/>
        <v>128</v>
      </c>
      <c r="FK64" s="7"/>
    </row>
    <row r="65" spans="1:167" ht="15.75" customHeight="1">
      <c r="A65" s="2"/>
      <c r="B65" s="3">
        <f t="shared" si="19"/>
        <v>1</v>
      </c>
      <c r="C65" s="347">
        <f t="shared" si="32"/>
        <v>6</v>
      </c>
      <c r="D65" s="201" t="s">
        <v>229</v>
      </c>
      <c r="E65" s="347"/>
      <c r="F65" s="347"/>
      <c r="G65" s="493">
        <v>45915</v>
      </c>
      <c r="H65" s="494"/>
      <c r="I65" s="214">
        <v>0</v>
      </c>
      <c r="J65" s="207">
        <v>0</v>
      </c>
      <c r="K65" s="207">
        <v>0</v>
      </c>
      <c r="L65" s="207">
        <v>0</v>
      </c>
      <c r="M65" s="207">
        <v>0</v>
      </c>
      <c r="N65" s="207">
        <v>0</v>
      </c>
      <c r="O65" s="207">
        <v>0</v>
      </c>
      <c r="P65" s="207">
        <v>0</v>
      </c>
      <c r="Q65" s="207">
        <v>0</v>
      </c>
      <c r="R65" s="215">
        <v>0</v>
      </c>
      <c r="S65" s="226">
        <v>1</v>
      </c>
      <c r="T65" s="227">
        <v>1</v>
      </c>
      <c r="U65" s="227">
        <v>1</v>
      </c>
      <c r="V65" s="227">
        <v>1</v>
      </c>
      <c r="W65" s="227">
        <v>1</v>
      </c>
      <c r="X65" s="227">
        <v>1</v>
      </c>
      <c r="Y65" s="227">
        <v>1</v>
      </c>
      <c r="Z65" s="227">
        <v>1</v>
      </c>
      <c r="AA65" s="227">
        <v>1</v>
      </c>
      <c r="AB65" s="228">
        <v>1</v>
      </c>
      <c r="AC65" s="258">
        <v>1</v>
      </c>
      <c r="AD65" s="178">
        <v>1</v>
      </c>
      <c r="AE65" s="178">
        <v>1</v>
      </c>
      <c r="AF65" s="178">
        <v>1</v>
      </c>
      <c r="AG65" s="530"/>
      <c r="AH65" s="531"/>
      <c r="AI65" s="178">
        <v>1</v>
      </c>
      <c r="AJ65" s="178">
        <v>1</v>
      </c>
      <c r="AK65" s="178">
        <v>1</v>
      </c>
      <c r="AL65" s="202">
        <v>1</v>
      </c>
      <c r="AM65" s="237">
        <v>0</v>
      </c>
      <c r="AN65" s="238">
        <v>0</v>
      </c>
      <c r="AO65" s="238">
        <v>1</v>
      </c>
      <c r="AP65" s="238">
        <v>1</v>
      </c>
      <c r="AQ65" s="238">
        <v>1</v>
      </c>
      <c r="AR65" s="238">
        <v>1</v>
      </c>
      <c r="AS65" s="238">
        <v>1</v>
      </c>
      <c r="AT65" s="238">
        <v>1</v>
      </c>
      <c r="AU65" s="238">
        <v>1</v>
      </c>
      <c r="AV65" s="273">
        <v>1</v>
      </c>
      <c r="AW65" s="295">
        <v>1</v>
      </c>
      <c r="AX65" s="296">
        <v>1</v>
      </c>
      <c r="AY65" s="296">
        <v>1</v>
      </c>
      <c r="AZ65" s="296">
        <v>1</v>
      </c>
      <c r="BA65" s="296">
        <v>1</v>
      </c>
      <c r="BB65" s="296">
        <v>1</v>
      </c>
      <c r="BC65" s="296">
        <v>1</v>
      </c>
      <c r="BD65" s="296">
        <v>1</v>
      </c>
      <c r="BE65" s="296">
        <v>1</v>
      </c>
      <c r="BF65" s="297">
        <v>1</v>
      </c>
      <c r="BG65" s="214">
        <v>1</v>
      </c>
      <c r="BH65" s="207">
        <v>1</v>
      </c>
      <c r="BI65" s="207">
        <v>1</v>
      </c>
      <c r="BJ65" s="207">
        <v>1</v>
      </c>
      <c r="BK65" s="207">
        <v>0</v>
      </c>
      <c r="BL65" s="207">
        <v>0</v>
      </c>
      <c r="BM65" s="207">
        <v>1</v>
      </c>
      <c r="BN65" s="207">
        <v>1</v>
      </c>
      <c r="BO65" s="207">
        <v>1</v>
      </c>
      <c r="BP65" s="215">
        <v>1</v>
      </c>
      <c r="BQ65" s="249">
        <v>1</v>
      </c>
      <c r="BR65" s="227">
        <v>1</v>
      </c>
      <c r="BS65" s="227">
        <v>1</v>
      </c>
      <c r="BT65" s="227">
        <v>1</v>
      </c>
      <c r="BU65" s="227">
        <v>1</v>
      </c>
      <c r="BV65" s="227">
        <v>1</v>
      </c>
      <c r="BW65" s="227">
        <v>1</v>
      </c>
      <c r="BX65" s="227">
        <v>1</v>
      </c>
      <c r="BY65" s="227">
        <v>1</v>
      </c>
      <c r="BZ65" s="247">
        <v>1</v>
      </c>
      <c r="CA65" s="537"/>
      <c r="CB65" s="538"/>
      <c r="CC65" s="538"/>
      <c r="CD65" s="538"/>
      <c r="CE65" s="538"/>
      <c r="CF65" s="538"/>
      <c r="CG65" s="538"/>
      <c r="CH65" s="538"/>
      <c r="CI65" s="538"/>
      <c r="CJ65" s="539"/>
      <c r="CK65" s="240">
        <v>0</v>
      </c>
      <c r="CL65" s="238">
        <v>0</v>
      </c>
      <c r="CM65" s="238">
        <v>1</v>
      </c>
      <c r="CN65" s="238">
        <v>1</v>
      </c>
      <c r="CO65" s="238">
        <v>0</v>
      </c>
      <c r="CP65" s="238">
        <v>0</v>
      </c>
      <c r="CQ65" s="238">
        <v>0</v>
      </c>
      <c r="CR65" s="238">
        <v>0</v>
      </c>
      <c r="CS65" s="238">
        <v>1</v>
      </c>
      <c r="CT65" s="239">
        <v>1</v>
      </c>
      <c r="CU65" s="295">
        <v>1</v>
      </c>
      <c r="CV65" s="296">
        <v>1</v>
      </c>
      <c r="CW65" s="296">
        <v>1</v>
      </c>
      <c r="CX65" s="296">
        <v>1</v>
      </c>
      <c r="CY65" s="296">
        <v>1</v>
      </c>
      <c r="CZ65" s="296">
        <v>1</v>
      </c>
      <c r="DA65" s="296">
        <v>1</v>
      </c>
      <c r="DB65" s="296">
        <v>1</v>
      </c>
      <c r="DC65" s="296">
        <v>1</v>
      </c>
      <c r="DD65" s="297">
        <v>1</v>
      </c>
      <c r="DE65" s="214">
        <v>1</v>
      </c>
      <c r="DF65" s="207">
        <v>1</v>
      </c>
      <c r="DG65" s="207">
        <v>1</v>
      </c>
      <c r="DH65" s="207">
        <v>1</v>
      </c>
      <c r="DI65" s="207">
        <v>1</v>
      </c>
      <c r="DJ65" s="207">
        <v>1</v>
      </c>
      <c r="DK65" s="207">
        <v>1</v>
      </c>
      <c r="DL65" s="207">
        <v>1</v>
      </c>
      <c r="DM65" s="207">
        <v>1</v>
      </c>
      <c r="DN65" s="215">
        <v>1</v>
      </c>
      <c r="DO65" s="226">
        <v>1</v>
      </c>
      <c r="DP65" s="227">
        <v>1</v>
      </c>
      <c r="DQ65" s="227">
        <v>1</v>
      </c>
      <c r="DR65" s="227">
        <v>1</v>
      </c>
      <c r="DS65" s="227">
        <v>1</v>
      </c>
      <c r="DT65" s="227">
        <v>1</v>
      </c>
      <c r="DU65" s="227">
        <v>1</v>
      </c>
      <c r="DV65" s="227">
        <v>1</v>
      </c>
      <c r="DW65" s="227">
        <v>1</v>
      </c>
      <c r="DX65" s="228">
        <v>1</v>
      </c>
      <c r="DY65" s="307">
        <v>1</v>
      </c>
      <c r="DZ65" s="91">
        <v>1</v>
      </c>
      <c r="EA65" s="91">
        <v>1</v>
      </c>
      <c r="EB65" s="91">
        <v>1</v>
      </c>
      <c r="EC65" s="91">
        <v>1</v>
      </c>
      <c r="ED65" s="91">
        <v>1</v>
      </c>
      <c r="EE65" s="91">
        <v>1</v>
      </c>
      <c r="EF65" s="91">
        <v>1</v>
      </c>
      <c r="EG65" s="91">
        <v>1</v>
      </c>
      <c r="EH65" s="91">
        <v>1</v>
      </c>
      <c r="EI65" s="238">
        <v>1</v>
      </c>
      <c r="EJ65" s="238">
        <v>1</v>
      </c>
      <c r="EK65" s="238">
        <v>1</v>
      </c>
      <c r="EL65" s="238">
        <v>1</v>
      </c>
      <c r="EM65" s="238">
        <v>1</v>
      </c>
      <c r="EN65" s="238">
        <v>1</v>
      </c>
      <c r="EO65" s="238">
        <v>1</v>
      </c>
      <c r="EP65" s="238">
        <v>1</v>
      </c>
      <c r="EQ65" s="238">
        <v>1</v>
      </c>
      <c r="ER65" s="238">
        <v>1</v>
      </c>
      <c r="ES65" s="350">
        <f t="shared" si="14"/>
        <v>0</v>
      </c>
      <c r="ET65" s="350">
        <f t="shared" si="2"/>
        <v>10</v>
      </c>
      <c r="EU65" s="350">
        <f t="shared" si="20"/>
        <v>8</v>
      </c>
      <c r="EV65" s="350">
        <f t="shared" si="4"/>
        <v>8</v>
      </c>
      <c r="EW65" s="350">
        <f t="shared" si="15"/>
        <v>8</v>
      </c>
      <c r="EX65" s="350">
        <f t="shared" si="21"/>
        <v>8</v>
      </c>
      <c r="EY65" s="350">
        <f t="shared" si="22"/>
        <v>10</v>
      </c>
      <c r="EZ65" s="350">
        <f t="shared" si="23"/>
        <v>0</v>
      </c>
      <c r="FA65" s="350">
        <f t="shared" si="24"/>
        <v>4</v>
      </c>
      <c r="FB65" s="350">
        <f t="shared" si="25"/>
        <v>10</v>
      </c>
      <c r="FC65" s="350">
        <f t="shared" si="26"/>
        <v>10</v>
      </c>
      <c r="FD65" s="350">
        <f t="shared" si="27"/>
        <v>10</v>
      </c>
      <c r="FE65" s="350">
        <f t="shared" si="28"/>
        <v>10</v>
      </c>
      <c r="FF65" s="350">
        <f t="shared" si="29"/>
        <v>10</v>
      </c>
      <c r="FG65" s="349">
        <f t="shared" si="33"/>
        <v>63</v>
      </c>
      <c r="FH65" s="319">
        <f t="shared" si="30"/>
        <v>106</v>
      </c>
      <c r="FI65" s="319">
        <f>SUM(I7:ER7)-SUM(ES65:FF65)</f>
        <v>22</v>
      </c>
      <c r="FJ65" s="319">
        <f t="shared" si="31"/>
        <v>128</v>
      </c>
      <c r="FK65" s="7"/>
    </row>
    <row r="66" spans="1:167" ht="15.75" customHeight="1">
      <c r="A66" s="2"/>
      <c r="B66" s="3">
        <f t="shared" si="19"/>
        <v>1</v>
      </c>
      <c r="C66" s="347">
        <f t="shared" si="32"/>
        <v>7</v>
      </c>
      <c r="D66" s="201" t="s">
        <v>230</v>
      </c>
      <c r="E66" s="347"/>
      <c r="F66" s="347"/>
      <c r="G66" s="493">
        <v>45915</v>
      </c>
      <c r="H66" s="494"/>
      <c r="I66" s="214">
        <v>0</v>
      </c>
      <c r="J66" s="207">
        <v>0</v>
      </c>
      <c r="K66" s="207">
        <v>0</v>
      </c>
      <c r="L66" s="207">
        <v>0</v>
      </c>
      <c r="M66" s="207">
        <v>0</v>
      </c>
      <c r="N66" s="207">
        <v>0</v>
      </c>
      <c r="O66" s="207">
        <v>0</v>
      </c>
      <c r="P66" s="207">
        <v>0</v>
      </c>
      <c r="Q66" s="207">
        <v>0</v>
      </c>
      <c r="R66" s="215">
        <v>0</v>
      </c>
      <c r="S66" s="226">
        <v>1</v>
      </c>
      <c r="T66" s="227">
        <v>1</v>
      </c>
      <c r="U66" s="227">
        <v>1</v>
      </c>
      <c r="V66" s="227">
        <v>1</v>
      </c>
      <c r="W66" s="227">
        <v>1</v>
      </c>
      <c r="X66" s="227">
        <v>1</v>
      </c>
      <c r="Y66" s="227">
        <v>1</v>
      </c>
      <c r="Z66" s="227">
        <v>1</v>
      </c>
      <c r="AA66" s="227">
        <v>1</v>
      </c>
      <c r="AB66" s="228">
        <v>1</v>
      </c>
      <c r="AC66" s="258">
        <v>1</v>
      </c>
      <c r="AD66" s="178">
        <v>1</v>
      </c>
      <c r="AE66" s="178">
        <v>1</v>
      </c>
      <c r="AF66" s="178">
        <v>1</v>
      </c>
      <c r="AG66" s="530"/>
      <c r="AH66" s="531"/>
      <c r="AI66" s="178">
        <v>1</v>
      </c>
      <c r="AJ66" s="178">
        <v>1</v>
      </c>
      <c r="AK66" s="178">
        <v>1</v>
      </c>
      <c r="AL66" s="202">
        <v>1</v>
      </c>
      <c r="AM66" s="237">
        <v>1</v>
      </c>
      <c r="AN66" s="238">
        <v>1</v>
      </c>
      <c r="AO66" s="238">
        <v>1</v>
      </c>
      <c r="AP66" s="238">
        <v>1</v>
      </c>
      <c r="AQ66" s="238">
        <v>1</v>
      </c>
      <c r="AR66" s="238">
        <v>1</v>
      </c>
      <c r="AS66" s="238">
        <v>1</v>
      </c>
      <c r="AT66" s="238">
        <v>1</v>
      </c>
      <c r="AU66" s="238">
        <v>1</v>
      </c>
      <c r="AV66" s="273">
        <v>1</v>
      </c>
      <c r="AW66" s="295">
        <v>1</v>
      </c>
      <c r="AX66" s="296">
        <v>1</v>
      </c>
      <c r="AY66" s="296">
        <v>1</v>
      </c>
      <c r="AZ66" s="296">
        <v>1</v>
      </c>
      <c r="BA66" s="296">
        <v>1</v>
      </c>
      <c r="BB66" s="296">
        <v>1</v>
      </c>
      <c r="BC66" s="296">
        <v>1</v>
      </c>
      <c r="BD66" s="296">
        <v>1</v>
      </c>
      <c r="BE66" s="296">
        <v>1</v>
      </c>
      <c r="BF66" s="297">
        <v>1</v>
      </c>
      <c r="BG66" s="214">
        <v>1</v>
      </c>
      <c r="BH66" s="207">
        <v>1</v>
      </c>
      <c r="BI66" s="207">
        <v>1</v>
      </c>
      <c r="BJ66" s="207">
        <v>1</v>
      </c>
      <c r="BK66" s="207">
        <v>1</v>
      </c>
      <c r="BL66" s="207">
        <v>1</v>
      </c>
      <c r="BM66" s="207">
        <v>1</v>
      </c>
      <c r="BN66" s="207">
        <v>1</v>
      </c>
      <c r="BO66" s="207">
        <v>1</v>
      </c>
      <c r="BP66" s="215">
        <v>1</v>
      </c>
      <c r="BQ66" s="249">
        <v>1</v>
      </c>
      <c r="BR66" s="227">
        <v>1</v>
      </c>
      <c r="BS66" s="227">
        <v>1</v>
      </c>
      <c r="BT66" s="227">
        <v>1</v>
      </c>
      <c r="BU66" s="227">
        <v>1</v>
      </c>
      <c r="BV66" s="227">
        <v>1</v>
      </c>
      <c r="BW66" s="227">
        <v>1</v>
      </c>
      <c r="BX66" s="227">
        <v>1</v>
      </c>
      <c r="BY66" s="227">
        <v>1</v>
      </c>
      <c r="BZ66" s="247">
        <v>1</v>
      </c>
      <c r="CA66" s="537"/>
      <c r="CB66" s="538"/>
      <c r="CC66" s="538"/>
      <c r="CD66" s="538"/>
      <c r="CE66" s="538"/>
      <c r="CF66" s="538"/>
      <c r="CG66" s="538"/>
      <c r="CH66" s="538"/>
      <c r="CI66" s="538"/>
      <c r="CJ66" s="539"/>
      <c r="CK66" s="240">
        <v>1</v>
      </c>
      <c r="CL66" s="238">
        <v>1</v>
      </c>
      <c r="CM66" s="238">
        <v>1</v>
      </c>
      <c r="CN66" s="238">
        <v>1</v>
      </c>
      <c r="CO66" s="238">
        <v>1</v>
      </c>
      <c r="CP66" s="238">
        <v>1</v>
      </c>
      <c r="CQ66" s="238">
        <v>1</v>
      </c>
      <c r="CR66" s="238">
        <v>1</v>
      </c>
      <c r="CS66" s="238">
        <v>1</v>
      </c>
      <c r="CT66" s="239">
        <v>1</v>
      </c>
      <c r="CU66" s="295">
        <v>1</v>
      </c>
      <c r="CV66" s="296">
        <v>1</v>
      </c>
      <c r="CW66" s="296">
        <v>1</v>
      </c>
      <c r="CX66" s="296">
        <v>1</v>
      </c>
      <c r="CY66" s="296">
        <v>1</v>
      </c>
      <c r="CZ66" s="296">
        <v>1</v>
      </c>
      <c r="DA66" s="296">
        <v>1</v>
      </c>
      <c r="DB66" s="296">
        <v>1</v>
      </c>
      <c r="DC66" s="296">
        <v>1</v>
      </c>
      <c r="DD66" s="297">
        <v>1</v>
      </c>
      <c r="DE66" s="214">
        <v>1</v>
      </c>
      <c r="DF66" s="207">
        <v>1</v>
      </c>
      <c r="DG66" s="207">
        <v>1</v>
      </c>
      <c r="DH66" s="207">
        <v>1</v>
      </c>
      <c r="DI66" s="207">
        <v>1</v>
      </c>
      <c r="DJ66" s="207">
        <v>1</v>
      </c>
      <c r="DK66" s="207">
        <v>1</v>
      </c>
      <c r="DL66" s="207">
        <v>1</v>
      </c>
      <c r="DM66" s="207">
        <v>1</v>
      </c>
      <c r="DN66" s="215">
        <v>1</v>
      </c>
      <c r="DO66" s="226">
        <v>1</v>
      </c>
      <c r="DP66" s="227">
        <v>1</v>
      </c>
      <c r="DQ66" s="227">
        <v>1</v>
      </c>
      <c r="DR66" s="227">
        <v>1</v>
      </c>
      <c r="DS66" s="227">
        <v>1</v>
      </c>
      <c r="DT66" s="227">
        <v>1</v>
      </c>
      <c r="DU66" s="227">
        <v>1</v>
      </c>
      <c r="DV66" s="227">
        <v>1</v>
      </c>
      <c r="DW66" s="227">
        <v>1</v>
      </c>
      <c r="DX66" s="228">
        <v>1</v>
      </c>
      <c r="DY66" s="307">
        <v>1</v>
      </c>
      <c r="DZ66" s="91">
        <v>1</v>
      </c>
      <c r="EA66" s="91">
        <v>1</v>
      </c>
      <c r="EB66" s="91">
        <v>1</v>
      </c>
      <c r="EC66" s="91">
        <v>1</v>
      </c>
      <c r="ED66" s="91">
        <v>1</v>
      </c>
      <c r="EE66" s="91">
        <v>1</v>
      </c>
      <c r="EF66" s="91">
        <v>1</v>
      </c>
      <c r="EG66" s="91">
        <v>1</v>
      </c>
      <c r="EH66" s="91">
        <v>1</v>
      </c>
      <c r="EI66" s="238">
        <v>1</v>
      </c>
      <c r="EJ66" s="238">
        <v>1</v>
      </c>
      <c r="EK66" s="238">
        <v>1</v>
      </c>
      <c r="EL66" s="238">
        <v>1</v>
      </c>
      <c r="EM66" s="238">
        <v>1</v>
      </c>
      <c r="EN66" s="238">
        <v>1</v>
      </c>
      <c r="EO66" s="238">
        <v>1</v>
      </c>
      <c r="EP66" s="238">
        <v>1</v>
      </c>
      <c r="EQ66" s="238">
        <v>1</v>
      </c>
      <c r="ER66" s="238">
        <v>1</v>
      </c>
      <c r="ES66" s="350">
        <f t="shared" si="14"/>
        <v>0</v>
      </c>
      <c r="ET66" s="350">
        <f t="shared" si="2"/>
        <v>10</v>
      </c>
      <c r="EU66" s="350">
        <f t="shared" si="20"/>
        <v>8</v>
      </c>
      <c r="EV66" s="350">
        <f t="shared" si="4"/>
        <v>10</v>
      </c>
      <c r="EW66" s="350">
        <f t="shared" si="15"/>
        <v>10</v>
      </c>
      <c r="EX66" s="350">
        <f t="shared" si="21"/>
        <v>10</v>
      </c>
      <c r="EY66" s="350">
        <f t="shared" si="22"/>
        <v>10</v>
      </c>
      <c r="EZ66" s="350">
        <f t="shared" si="23"/>
        <v>0</v>
      </c>
      <c r="FA66" s="350">
        <f t="shared" si="24"/>
        <v>10</v>
      </c>
      <c r="FB66" s="350">
        <f t="shared" si="25"/>
        <v>10</v>
      </c>
      <c r="FC66" s="350">
        <f t="shared" si="26"/>
        <v>10</v>
      </c>
      <c r="FD66" s="350">
        <f t="shared" si="27"/>
        <v>10</v>
      </c>
      <c r="FE66" s="350">
        <f t="shared" si="28"/>
        <v>10</v>
      </c>
      <c r="FF66" s="350">
        <f t="shared" si="29"/>
        <v>10</v>
      </c>
      <c r="FG66" s="349">
        <f t="shared" si="33"/>
        <v>64</v>
      </c>
      <c r="FH66" s="319">
        <f t="shared" si="30"/>
        <v>118</v>
      </c>
      <c r="FI66" s="319">
        <f>SUM(I7:ER7)-SUM(ES66:FF66)</f>
        <v>10</v>
      </c>
      <c r="FJ66" s="319">
        <f t="shared" si="31"/>
        <v>128</v>
      </c>
      <c r="FK66" s="7"/>
    </row>
    <row r="67" spans="1:167" ht="15.75" customHeight="1">
      <c r="A67" s="2"/>
      <c r="B67" s="3">
        <f t="shared" si="19"/>
        <v>1</v>
      </c>
      <c r="C67" s="347">
        <f t="shared" si="32"/>
        <v>8</v>
      </c>
      <c r="D67" s="201" t="s">
        <v>231</v>
      </c>
      <c r="E67" s="347"/>
      <c r="F67" s="347"/>
      <c r="G67" s="493">
        <v>45915</v>
      </c>
      <c r="H67" s="494"/>
      <c r="I67" s="214">
        <v>0</v>
      </c>
      <c r="J67" s="207">
        <v>0</v>
      </c>
      <c r="K67" s="207">
        <v>0</v>
      </c>
      <c r="L67" s="207">
        <v>0</v>
      </c>
      <c r="M67" s="207">
        <v>0</v>
      </c>
      <c r="N67" s="207">
        <v>0</v>
      </c>
      <c r="O67" s="207">
        <v>0</v>
      </c>
      <c r="P67" s="207">
        <v>0</v>
      </c>
      <c r="Q67" s="207">
        <v>0</v>
      </c>
      <c r="R67" s="215">
        <v>0</v>
      </c>
      <c r="S67" s="226">
        <v>1</v>
      </c>
      <c r="T67" s="227">
        <v>1</v>
      </c>
      <c r="U67" s="227">
        <v>1</v>
      </c>
      <c r="V67" s="227">
        <v>1</v>
      </c>
      <c r="W67" s="227">
        <v>1</v>
      </c>
      <c r="X67" s="227">
        <v>1</v>
      </c>
      <c r="Y67" s="227">
        <v>1</v>
      </c>
      <c r="Z67" s="227">
        <v>1</v>
      </c>
      <c r="AA67" s="227">
        <v>1</v>
      </c>
      <c r="AB67" s="228">
        <v>1</v>
      </c>
      <c r="AC67" s="258">
        <v>0</v>
      </c>
      <c r="AD67" s="178">
        <v>0</v>
      </c>
      <c r="AE67" s="178">
        <v>1</v>
      </c>
      <c r="AF67" s="178">
        <v>1</v>
      </c>
      <c r="AG67" s="530"/>
      <c r="AH67" s="531"/>
      <c r="AI67" s="178">
        <v>1</v>
      </c>
      <c r="AJ67" s="178">
        <v>1</v>
      </c>
      <c r="AK67" s="178">
        <v>1</v>
      </c>
      <c r="AL67" s="202">
        <v>1</v>
      </c>
      <c r="AM67" s="237">
        <v>1</v>
      </c>
      <c r="AN67" s="238">
        <v>1</v>
      </c>
      <c r="AO67" s="238">
        <v>1</v>
      </c>
      <c r="AP67" s="238">
        <v>1</v>
      </c>
      <c r="AQ67" s="238">
        <v>1</v>
      </c>
      <c r="AR67" s="238">
        <v>1</v>
      </c>
      <c r="AS67" s="238">
        <v>1</v>
      </c>
      <c r="AT67" s="238">
        <v>1</v>
      </c>
      <c r="AU67" s="238">
        <v>1</v>
      </c>
      <c r="AV67" s="273">
        <v>1</v>
      </c>
      <c r="AW67" s="295">
        <v>1</v>
      </c>
      <c r="AX67" s="296">
        <v>1</v>
      </c>
      <c r="AY67" s="296">
        <v>1</v>
      </c>
      <c r="AZ67" s="296">
        <v>1</v>
      </c>
      <c r="BA67" s="296">
        <v>1</v>
      </c>
      <c r="BB67" s="296">
        <v>1</v>
      </c>
      <c r="BC67" s="296">
        <v>0</v>
      </c>
      <c r="BD67" s="296">
        <v>0</v>
      </c>
      <c r="BE67" s="296">
        <v>0</v>
      </c>
      <c r="BF67" s="297">
        <v>0</v>
      </c>
      <c r="BG67" s="214">
        <v>0</v>
      </c>
      <c r="BH67" s="207">
        <v>0</v>
      </c>
      <c r="BI67" s="207">
        <v>0</v>
      </c>
      <c r="BJ67" s="207">
        <v>0</v>
      </c>
      <c r="BK67" s="207">
        <v>1</v>
      </c>
      <c r="BL67" s="207">
        <v>1</v>
      </c>
      <c r="BM67" s="207">
        <v>1</v>
      </c>
      <c r="BN67" s="207">
        <v>1</v>
      </c>
      <c r="BO67" s="207">
        <v>1</v>
      </c>
      <c r="BP67" s="215">
        <v>1</v>
      </c>
      <c r="BQ67" s="249">
        <v>1</v>
      </c>
      <c r="BR67" s="227">
        <v>1</v>
      </c>
      <c r="BS67" s="227">
        <v>1</v>
      </c>
      <c r="BT67" s="227">
        <v>1</v>
      </c>
      <c r="BU67" s="227">
        <v>1</v>
      </c>
      <c r="BV67" s="227">
        <v>1</v>
      </c>
      <c r="BW67" s="227">
        <v>1</v>
      </c>
      <c r="BX67" s="227">
        <v>1</v>
      </c>
      <c r="BY67" s="227">
        <v>1</v>
      </c>
      <c r="BZ67" s="247">
        <v>1</v>
      </c>
      <c r="CA67" s="537"/>
      <c r="CB67" s="538"/>
      <c r="CC67" s="538"/>
      <c r="CD67" s="538"/>
      <c r="CE67" s="538"/>
      <c r="CF67" s="538"/>
      <c r="CG67" s="538"/>
      <c r="CH67" s="538"/>
      <c r="CI67" s="538"/>
      <c r="CJ67" s="539"/>
      <c r="CK67" s="240">
        <v>1</v>
      </c>
      <c r="CL67" s="238">
        <v>1</v>
      </c>
      <c r="CM67" s="238">
        <v>1</v>
      </c>
      <c r="CN67" s="238">
        <v>1</v>
      </c>
      <c r="CO67" s="238">
        <v>1</v>
      </c>
      <c r="CP67" s="238">
        <v>1</v>
      </c>
      <c r="CQ67" s="238">
        <v>1</v>
      </c>
      <c r="CR67" s="238">
        <v>1</v>
      </c>
      <c r="CS67" s="238">
        <v>0</v>
      </c>
      <c r="CT67" s="239">
        <v>0</v>
      </c>
      <c r="CU67" s="295">
        <v>0</v>
      </c>
      <c r="CV67" s="296">
        <v>0</v>
      </c>
      <c r="CW67" s="296">
        <v>0</v>
      </c>
      <c r="CX67" s="296">
        <v>0</v>
      </c>
      <c r="CY67" s="296">
        <v>1</v>
      </c>
      <c r="CZ67" s="296">
        <v>1</v>
      </c>
      <c r="DA67" s="296">
        <v>0</v>
      </c>
      <c r="DB67" s="296">
        <v>0</v>
      </c>
      <c r="DC67" s="296">
        <v>1</v>
      </c>
      <c r="DD67" s="297">
        <v>1</v>
      </c>
      <c r="DE67" s="214">
        <v>1</v>
      </c>
      <c r="DF67" s="207">
        <v>1</v>
      </c>
      <c r="DG67" s="207">
        <v>1</v>
      </c>
      <c r="DH67" s="207">
        <v>1</v>
      </c>
      <c r="DI67" s="207">
        <v>0</v>
      </c>
      <c r="DJ67" s="207">
        <v>0</v>
      </c>
      <c r="DK67" s="207">
        <v>0</v>
      </c>
      <c r="DL67" s="207">
        <v>0</v>
      </c>
      <c r="DM67" s="207">
        <v>0</v>
      </c>
      <c r="DN67" s="215">
        <v>0</v>
      </c>
      <c r="DO67" s="226">
        <v>1</v>
      </c>
      <c r="DP67" s="227">
        <v>1</v>
      </c>
      <c r="DQ67" s="227">
        <v>1</v>
      </c>
      <c r="DR67" s="227">
        <v>1</v>
      </c>
      <c r="DS67" s="227">
        <v>1</v>
      </c>
      <c r="DT67" s="227">
        <v>1</v>
      </c>
      <c r="DU67" s="227">
        <v>1</v>
      </c>
      <c r="DV67" s="227">
        <v>1</v>
      </c>
      <c r="DW67" s="227">
        <v>1</v>
      </c>
      <c r="DX67" s="228">
        <v>1</v>
      </c>
      <c r="DY67" s="307">
        <v>1</v>
      </c>
      <c r="DZ67" s="91">
        <v>1</v>
      </c>
      <c r="EA67" s="91">
        <v>1</v>
      </c>
      <c r="EB67" s="91">
        <v>1</v>
      </c>
      <c r="EC67" s="91">
        <v>1</v>
      </c>
      <c r="ED67" s="91">
        <v>1</v>
      </c>
      <c r="EE67" s="91">
        <v>1</v>
      </c>
      <c r="EF67" s="91">
        <v>1</v>
      </c>
      <c r="EG67" s="91">
        <v>1</v>
      </c>
      <c r="EH67" s="91">
        <v>1</v>
      </c>
      <c r="EI67" s="238">
        <v>1</v>
      </c>
      <c r="EJ67" s="238">
        <v>1</v>
      </c>
      <c r="EK67" s="238">
        <v>1</v>
      </c>
      <c r="EL67" s="238">
        <v>1</v>
      </c>
      <c r="EM67" s="238">
        <v>1</v>
      </c>
      <c r="EN67" s="238">
        <v>1</v>
      </c>
      <c r="EO67" s="238">
        <v>1</v>
      </c>
      <c r="EP67" s="238">
        <v>1</v>
      </c>
      <c r="EQ67" s="238">
        <v>1</v>
      </c>
      <c r="ER67" s="238">
        <v>1</v>
      </c>
      <c r="ES67" s="350">
        <f t="shared" si="14"/>
        <v>0</v>
      </c>
      <c r="ET67" s="350">
        <f t="shared" si="2"/>
        <v>10</v>
      </c>
      <c r="EU67" s="350">
        <f t="shared" si="20"/>
        <v>6</v>
      </c>
      <c r="EV67" s="350">
        <f t="shared" si="4"/>
        <v>10</v>
      </c>
      <c r="EW67" s="350">
        <f t="shared" si="15"/>
        <v>6</v>
      </c>
      <c r="EX67" s="350">
        <f t="shared" si="21"/>
        <v>6</v>
      </c>
      <c r="EY67" s="350">
        <f t="shared" si="22"/>
        <v>10</v>
      </c>
      <c r="EZ67" s="350">
        <f t="shared" si="23"/>
        <v>0</v>
      </c>
      <c r="FA67" s="350">
        <f t="shared" si="24"/>
        <v>8</v>
      </c>
      <c r="FB67" s="350">
        <f t="shared" si="25"/>
        <v>4</v>
      </c>
      <c r="FC67" s="350">
        <f t="shared" si="26"/>
        <v>4</v>
      </c>
      <c r="FD67" s="350">
        <f t="shared" si="27"/>
        <v>10</v>
      </c>
      <c r="FE67" s="350">
        <f t="shared" si="28"/>
        <v>10</v>
      </c>
      <c r="FF67" s="350">
        <f t="shared" si="29"/>
        <v>10</v>
      </c>
      <c r="FG67" s="349">
        <f t="shared" si="33"/>
        <v>65</v>
      </c>
      <c r="FH67" s="319">
        <f t="shared" si="30"/>
        <v>94</v>
      </c>
      <c r="FI67" s="319">
        <f>SUM(I7:ER7)-SUM(ES67:FF67)</f>
        <v>34</v>
      </c>
      <c r="FJ67" s="319">
        <f t="shared" si="31"/>
        <v>128</v>
      </c>
      <c r="FK67" s="7"/>
    </row>
    <row r="68" spans="1:167" ht="15.75" customHeight="1">
      <c r="A68" s="2"/>
      <c r="B68" s="3">
        <f t="shared" si="19"/>
        <v>1</v>
      </c>
      <c r="C68" s="347">
        <f t="shared" si="32"/>
        <v>9</v>
      </c>
      <c r="D68" s="201" t="s">
        <v>232</v>
      </c>
      <c r="E68" s="347"/>
      <c r="F68" s="347"/>
      <c r="G68" s="493">
        <v>45915</v>
      </c>
      <c r="H68" s="494"/>
      <c r="I68" s="214">
        <v>0</v>
      </c>
      <c r="J68" s="207">
        <v>0</v>
      </c>
      <c r="K68" s="207">
        <v>0</v>
      </c>
      <c r="L68" s="207">
        <v>0</v>
      </c>
      <c r="M68" s="207">
        <v>0</v>
      </c>
      <c r="N68" s="207">
        <v>0</v>
      </c>
      <c r="O68" s="207">
        <v>0</v>
      </c>
      <c r="P68" s="207">
        <v>0</v>
      </c>
      <c r="Q68" s="207">
        <v>0</v>
      </c>
      <c r="R68" s="215">
        <v>0</v>
      </c>
      <c r="S68" s="226">
        <v>1</v>
      </c>
      <c r="T68" s="227">
        <v>1</v>
      </c>
      <c r="U68" s="227">
        <v>1</v>
      </c>
      <c r="V68" s="227">
        <v>1</v>
      </c>
      <c r="W68" s="227">
        <v>1</v>
      </c>
      <c r="X68" s="227">
        <v>1</v>
      </c>
      <c r="Y68" s="227">
        <v>1</v>
      </c>
      <c r="Z68" s="227">
        <v>1</v>
      </c>
      <c r="AA68" s="227">
        <v>1</v>
      </c>
      <c r="AB68" s="228">
        <v>1</v>
      </c>
      <c r="AC68" s="258">
        <v>1</v>
      </c>
      <c r="AD68" s="178">
        <v>1</v>
      </c>
      <c r="AE68" s="178">
        <v>1</v>
      </c>
      <c r="AF68" s="178">
        <v>1</v>
      </c>
      <c r="AG68" s="530"/>
      <c r="AH68" s="531"/>
      <c r="AI68" s="178">
        <v>1</v>
      </c>
      <c r="AJ68" s="178">
        <v>1</v>
      </c>
      <c r="AK68" s="178">
        <v>1</v>
      </c>
      <c r="AL68" s="202">
        <v>1</v>
      </c>
      <c r="AM68" s="237">
        <v>1</v>
      </c>
      <c r="AN68" s="238">
        <v>1</v>
      </c>
      <c r="AO68" s="238">
        <v>1</v>
      </c>
      <c r="AP68" s="238">
        <v>1</v>
      </c>
      <c r="AQ68" s="238">
        <v>1</v>
      </c>
      <c r="AR68" s="238">
        <v>1</v>
      </c>
      <c r="AS68" s="238">
        <v>1</v>
      </c>
      <c r="AT68" s="238">
        <v>1</v>
      </c>
      <c r="AU68" s="238">
        <v>1</v>
      </c>
      <c r="AV68" s="273">
        <v>1</v>
      </c>
      <c r="AW68" s="295">
        <v>1</v>
      </c>
      <c r="AX68" s="296">
        <v>1</v>
      </c>
      <c r="AY68" s="296">
        <v>1</v>
      </c>
      <c r="AZ68" s="296">
        <v>1</v>
      </c>
      <c r="BA68" s="296">
        <v>1</v>
      </c>
      <c r="BB68" s="296">
        <v>1</v>
      </c>
      <c r="BC68" s="296">
        <v>0</v>
      </c>
      <c r="BD68" s="296">
        <v>0</v>
      </c>
      <c r="BE68" s="296">
        <v>1</v>
      </c>
      <c r="BF68" s="297">
        <v>1</v>
      </c>
      <c r="BG68" s="214">
        <v>1</v>
      </c>
      <c r="BH68" s="207">
        <v>1</v>
      </c>
      <c r="BI68" s="207">
        <v>1</v>
      </c>
      <c r="BJ68" s="207">
        <v>1</v>
      </c>
      <c r="BK68" s="207">
        <v>1</v>
      </c>
      <c r="BL68" s="207">
        <v>1</v>
      </c>
      <c r="BM68" s="207">
        <v>1</v>
      </c>
      <c r="BN68" s="207">
        <v>1</v>
      </c>
      <c r="BO68" s="207">
        <v>1</v>
      </c>
      <c r="BP68" s="215">
        <v>1</v>
      </c>
      <c r="BQ68" s="249">
        <v>1</v>
      </c>
      <c r="BR68" s="227">
        <v>1</v>
      </c>
      <c r="BS68" s="227">
        <v>1</v>
      </c>
      <c r="BT68" s="227">
        <v>1</v>
      </c>
      <c r="BU68" s="227">
        <v>1</v>
      </c>
      <c r="BV68" s="227">
        <v>1</v>
      </c>
      <c r="BW68" s="227">
        <v>1</v>
      </c>
      <c r="BX68" s="227">
        <v>1</v>
      </c>
      <c r="BY68" s="227">
        <v>1</v>
      </c>
      <c r="BZ68" s="247">
        <v>1</v>
      </c>
      <c r="CA68" s="537"/>
      <c r="CB68" s="538"/>
      <c r="CC68" s="538"/>
      <c r="CD68" s="538"/>
      <c r="CE68" s="538"/>
      <c r="CF68" s="538"/>
      <c r="CG68" s="538"/>
      <c r="CH68" s="538"/>
      <c r="CI68" s="538"/>
      <c r="CJ68" s="539"/>
      <c r="CK68" s="240">
        <v>1</v>
      </c>
      <c r="CL68" s="238">
        <v>1</v>
      </c>
      <c r="CM68" s="238">
        <v>1</v>
      </c>
      <c r="CN68" s="238">
        <v>1</v>
      </c>
      <c r="CO68" s="238">
        <v>1</v>
      </c>
      <c r="CP68" s="238">
        <v>1</v>
      </c>
      <c r="CQ68" s="238">
        <v>1</v>
      </c>
      <c r="CR68" s="238">
        <v>1</v>
      </c>
      <c r="CS68" s="238">
        <v>1</v>
      </c>
      <c r="CT68" s="239">
        <v>1</v>
      </c>
      <c r="CU68" s="295">
        <v>1</v>
      </c>
      <c r="CV68" s="296">
        <v>1</v>
      </c>
      <c r="CW68" s="296">
        <v>1</v>
      </c>
      <c r="CX68" s="296">
        <v>1</v>
      </c>
      <c r="CY68" s="296">
        <v>1</v>
      </c>
      <c r="CZ68" s="296">
        <v>1</v>
      </c>
      <c r="DA68" s="296">
        <v>1</v>
      </c>
      <c r="DB68" s="296">
        <v>1</v>
      </c>
      <c r="DC68" s="296">
        <v>1</v>
      </c>
      <c r="DD68" s="297">
        <v>1</v>
      </c>
      <c r="DE68" s="214">
        <v>1</v>
      </c>
      <c r="DF68" s="207">
        <v>1</v>
      </c>
      <c r="DG68" s="207">
        <v>1</v>
      </c>
      <c r="DH68" s="207">
        <v>1</v>
      </c>
      <c r="DI68" s="207">
        <v>1</v>
      </c>
      <c r="DJ68" s="207">
        <v>1</v>
      </c>
      <c r="DK68" s="207">
        <v>1</v>
      </c>
      <c r="DL68" s="207">
        <v>1</v>
      </c>
      <c r="DM68" s="207">
        <v>1</v>
      </c>
      <c r="DN68" s="215">
        <v>1</v>
      </c>
      <c r="DO68" s="226">
        <v>1</v>
      </c>
      <c r="DP68" s="227">
        <v>1</v>
      </c>
      <c r="DQ68" s="227">
        <v>1</v>
      </c>
      <c r="DR68" s="227">
        <v>1</v>
      </c>
      <c r="DS68" s="227">
        <v>1</v>
      </c>
      <c r="DT68" s="227">
        <v>1</v>
      </c>
      <c r="DU68" s="227">
        <v>1</v>
      </c>
      <c r="DV68" s="227">
        <v>1</v>
      </c>
      <c r="DW68" s="227">
        <v>1</v>
      </c>
      <c r="DX68" s="228">
        <v>1</v>
      </c>
      <c r="DY68" s="307">
        <v>1</v>
      </c>
      <c r="DZ68" s="91">
        <v>1</v>
      </c>
      <c r="EA68" s="91">
        <v>1</v>
      </c>
      <c r="EB68" s="91">
        <v>1</v>
      </c>
      <c r="EC68" s="91">
        <v>1</v>
      </c>
      <c r="ED68" s="91">
        <v>1</v>
      </c>
      <c r="EE68" s="91">
        <v>1</v>
      </c>
      <c r="EF68" s="91">
        <v>1</v>
      </c>
      <c r="EG68" s="91">
        <v>1</v>
      </c>
      <c r="EH68" s="91">
        <v>1</v>
      </c>
      <c r="EI68" s="238">
        <v>1</v>
      </c>
      <c r="EJ68" s="238">
        <v>1</v>
      </c>
      <c r="EK68" s="238">
        <v>1</v>
      </c>
      <c r="EL68" s="238">
        <v>1</v>
      </c>
      <c r="EM68" s="238">
        <v>1</v>
      </c>
      <c r="EN68" s="238">
        <v>1</v>
      </c>
      <c r="EO68" s="238">
        <v>1</v>
      </c>
      <c r="EP68" s="238">
        <v>1</v>
      </c>
      <c r="EQ68" s="238">
        <v>1</v>
      </c>
      <c r="ER68" s="238">
        <v>1</v>
      </c>
      <c r="ES68" s="350">
        <f t="shared" si="14"/>
        <v>0</v>
      </c>
      <c r="ET68" s="350">
        <f t="shared" si="2"/>
        <v>10</v>
      </c>
      <c r="EU68" s="350">
        <f t="shared" si="20"/>
        <v>8</v>
      </c>
      <c r="EV68" s="350">
        <f t="shared" si="4"/>
        <v>10</v>
      </c>
      <c r="EW68" s="350">
        <f t="shared" si="15"/>
        <v>10</v>
      </c>
      <c r="EX68" s="350">
        <f t="shared" si="21"/>
        <v>10</v>
      </c>
      <c r="EY68" s="350">
        <f t="shared" si="22"/>
        <v>10</v>
      </c>
      <c r="EZ68" s="350">
        <f t="shared" si="23"/>
        <v>0</v>
      </c>
      <c r="FA68" s="350">
        <f t="shared" si="24"/>
        <v>10</v>
      </c>
      <c r="FB68" s="350">
        <f t="shared" si="25"/>
        <v>10</v>
      </c>
      <c r="FC68" s="350">
        <f t="shared" si="26"/>
        <v>10</v>
      </c>
      <c r="FD68" s="350">
        <f t="shared" si="27"/>
        <v>10</v>
      </c>
      <c r="FE68" s="350">
        <f t="shared" si="28"/>
        <v>10</v>
      </c>
      <c r="FF68" s="350">
        <f t="shared" si="29"/>
        <v>10</v>
      </c>
      <c r="FG68" s="349">
        <f t="shared" si="33"/>
        <v>66</v>
      </c>
      <c r="FH68" s="319">
        <f t="shared" si="30"/>
        <v>118</v>
      </c>
      <c r="FI68" s="319">
        <f>SUM(I7:ER7)-SUM(ES68:FF68)</f>
        <v>10</v>
      </c>
      <c r="FJ68" s="319">
        <f t="shared" si="31"/>
        <v>128</v>
      </c>
      <c r="FK68" s="7"/>
    </row>
    <row r="69" spans="1:167" ht="15.75" customHeight="1">
      <c r="A69" s="2"/>
      <c r="B69" s="3">
        <f t="shared" si="19"/>
        <v>1</v>
      </c>
      <c r="C69" s="347">
        <f t="shared" si="32"/>
        <v>10</v>
      </c>
      <c r="D69" s="201" t="s">
        <v>233</v>
      </c>
      <c r="E69" s="347"/>
      <c r="F69" s="347"/>
      <c r="G69" s="493">
        <v>45915</v>
      </c>
      <c r="H69" s="494"/>
      <c r="I69" s="214">
        <v>0</v>
      </c>
      <c r="J69" s="207">
        <v>0</v>
      </c>
      <c r="K69" s="207">
        <v>0</v>
      </c>
      <c r="L69" s="207">
        <v>0</v>
      </c>
      <c r="M69" s="207">
        <v>0</v>
      </c>
      <c r="N69" s="207">
        <v>0</v>
      </c>
      <c r="O69" s="207">
        <v>0</v>
      </c>
      <c r="P69" s="207">
        <v>0</v>
      </c>
      <c r="Q69" s="207">
        <v>0</v>
      </c>
      <c r="R69" s="215">
        <v>0</v>
      </c>
      <c r="S69" s="226">
        <v>1</v>
      </c>
      <c r="T69" s="227">
        <v>1</v>
      </c>
      <c r="U69" s="227">
        <v>1</v>
      </c>
      <c r="V69" s="227">
        <v>1</v>
      </c>
      <c r="W69" s="227">
        <v>1</v>
      </c>
      <c r="X69" s="227">
        <v>1</v>
      </c>
      <c r="Y69" s="227">
        <v>1</v>
      </c>
      <c r="Z69" s="227">
        <v>1</v>
      </c>
      <c r="AA69" s="227">
        <v>1</v>
      </c>
      <c r="AB69" s="228">
        <v>1</v>
      </c>
      <c r="AC69" s="258">
        <v>1</v>
      </c>
      <c r="AD69" s="178">
        <v>1</v>
      </c>
      <c r="AE69" s="178">
        <v>1</v>
      </c>
      <c r="AF69" s="178">
        <v>1</v>
      </c>
      <c r="AG69" s="530"/>
      <c r="AH69" s="531"/>
      <c r="AI69" s="178">
        <v>1</v>
      </c>
      <c r="AJ69" s="178">
        <v>1</v>
      </c>
      <c r="AK69" s="178">
        <v>1</v>
      </c>
      <c r="AL69" s="202">
        <v>1</v>
      </c>
      <c r="AM69" s="237">
        <v>1</v>
      </c>
      <c r="AN69" s="238">
        <v>1</v>
      </c>
      <c r="AO69" s="238">
        <v>1</v>
      </c>
      <c r="AP69" s="238">
        <v>1</v>
      </c>
      <c r="AQ69" s="238">
        <v>1</v>
      </c>
      <c r="AR69" s="238">
        <v>1</v>
      </c>
      <c r="AS69" s="238">
        <v>1</v>
      </c>
      <c r="AT69" s="238">
        <v>1</v>
      </c>
      <c r="AU69" s="238">
        <v>0</v>
      </c>
      <c r="AV69" s="273">
        <v>0</v>
      </c>
      <c r="AW69" s="295">
        <v>1</v>
      </c>
      <c r="AX69" s="296">
        <v>1</v>
      </c>
      <c r="AY69" s="296">
        <v>1</v>
      </c>
      <c r="AZ69" s="296">
        <v>1</v>
      </c>
      <c r="BA69" s="296">
        <v>1</v>
      </c>
      <c r="BB69" s="296">
        <v>1</v>
      </c>
      <c r="BC69" s="296">
        <v>1</v>
      </c>
      <c r="BD69" s="296">
        <v>1</v>
      </c>
      <c r="BE69" s="296">
        <v>1</v>
      </c>
      <c r="BF69" s="297">
        <v>1</v>
      </c>
      <c r="BG69" s="214">
        <v>1</v>
      </c>
      <c r="BH69" s="207">
        <v>1</v>
      </c>
      <c r="BI69" s="207">
        <v>1</v>
      </c>
      <c r="BJ69" s="207">
        <v>1</v>
      </c>
      <c r="BK69" s="207">
        <v>1</v>
      </c>
      <c r="BL69" s="207">
        <v>1</v>
      </c>
      <c r="BM69" s="207">
        <v>1</v>
      </c>
      <c r="BN69" s="207">
        <v>1</v>
      </c>
      <c r="BO69" s="207">
        <v>1</v>
      </c>
      <c r="BP69" s="215">
        <v>1</v>
      </c>
      <c r="BQ69" s="249">
        <v>1</v>
      </c>
      <c r="BR69" s="227">
        <v>1</v>
      </c>
      <c r="BS69" s="227">
        <v>1</v>
      </c>
      <c r="BT69" s="227">
        <v>1</v>
      </c>
      <c r="BU69" s="227">
        <v>1</v>
      </c>
      <c r="BV69" s="227">
        <v>1</v>
      </c>
      <c r="BW69" s="227">
        <v>1</v>
      </c>
      <c r="BX69" s="227">
        <v>1</v>
      </c>
      <c r="BY69" s="227">
        <v>1</v>
      </c>
      <c r="BZ69" s="247">
        <v>1</v>
      </c>
      <c r="CA69" s="537"/>
      <c r="CB69" s="538"/>
      <c r="CC69" s="538"/>
      <c r="CD69" s="538"/>
      <c r="CE69" s="538"/>
      <c r="CF69" s="538"/>
      <c r="CG69" s="538"/>
      <c r="CH69" s="538"/>
      <c r="CI69" s="538"/>
      <c r="CJ69" s="539"/>
      <c r="CK69" s="240">
        <v>1</v>
      </c>
      <c r="CL69" s="238">
        <v>1</v>
      </c>
      <c r="CM69" s="238">
        <v>1</v>
      </c>
      <c r="CN69" s="238">
        <v>1</v>
      </c>
      <c r="CO69" s="238">
        <v>1</v>
      </c>
      <c r="CP69" s="238">
        <v>1</v>
      </c>
      <c r="CQ69" s="238">
        <v>1</v>
      </c>
      <c r="CR69" s="238">
        <v>1</v>
      </c>
      <c r="CS69" s="238">
        <v>1</v>
      </c>
      <c r="CT69" s="239">
        <v>1</v>
      </c>
      <c r="CU69" s="295">
        <v>1</v>
      </c>
      <c r="CV69" s="296">
        <v>1</v>
      </c>
      <c r="CW69" s="296">
        <v>1</v>
      </c>
      <c r="CX69" s="296">
        <v>1</v>
      </c>
      <c r="CY69" s="296">
        <v>1</v>
      </c>
      <c r="CZ69" s="296">
        <v>1</v>
      </c>
      <c r="DA69" s="296">
        <v>1</v>
      </c>
      <c r="DB69" s="296">
        <v>1</v>
      </c>
      <c r="DC69" s="296">
        <v>1</v>
      </c>
      <c r="DD69" s="297">
        <v>1</v>
      </c>
      <c r="DE69" s="214">
        <v>1</v>
      </c>
      <c r="DF69" s="207">
        <v>1</v>
      </c>
      <c r="DG69" s="207">
        <v>1</v>
      </c>
      <c r="DH69" s="207">
        <v>1</v>
      </c>
      <c r="DI69" s="207">
        <v>1</v>
      </c>
      <c r="DJ69" s="207">
        <v>1</v>
      </c>
      <c r="DK69" s="207">
        <v>1</v>
      </c>
      <c r="DL69" s="207">
        <v>1</v>
      </c>
      <c r="DM69" s="207">
        <v>1</v>
      </c>
      <c r="DN69" s="215">
        <v>1</v>
      </c>
      <c r="DO69" s="226">
        <v>1</v>
      </c>
      <c r="DP69" s="227">
        <v>1</v>
      </c>
      <c r="DQ69" s="227">
        <v>1</v>
      </c>
      <c r="DR69" s="227">
        <v>1</v>
      </c>
      <c r="DS69" s="227">
        <v>1</v>
      </c>
      <c r="DT69" s="227">
        <v>1</v>
      </c>
      <c r="DU69" s="227">
        <v>1</v>
      </c>
      <c r="DV69" s="227">
        <v>1</v>
      </c>
      <c r="DW69" s="227">
        <v>1</v>
      </c>
      <c r="DX69" s="228">
        <v>1</v>
      </c>
      <c r="DY69" s="307">
        <v>1</v>
      </c>
      <c r="DZ69" s="91">
        <v>1</v>
      </c>
      <c r="EA69" s="91">
        <v>1</v>
      </c>
      <c r="EB69" s="91">
        <v>1</v>
      </c>
      <c r="EC69" s="91">
        <v>1</v>
      </c>
      <c r="ED69" s="91">
        <v>1</v>
      </c>
      <c r="EE69" s="91">
        <v>1</v>
      </c>
      <c r="EF69" s="91">
        <v>1</v>
      </c>
      <c r="EG69" s="91">
        <v>1</v>
      </c>
      <c r="EH69" s="91">
        <v>1</v>
      </c>
      <c r="EI69" s="238">
        <v>1</v>
      </c>
      <c r="EJ69" s="238">
        <v>1</v>
      </c>
      <c r="EK69" s="238">
        <v>1</v>
      </c>
      <c r="EL69" s="238">
        <v>1</v>
      </c>
      <c r="EM69" s="238">
        <v>1</v>
      </c>
      <c r="EN69" s="238">
        <v>1</v>
      </c>
      <c r="EO69" s="238">
        <v>1</v>
      </c>
      <c r="EP69" s="238">
        <v>1</v>
      </c>
      <c r="EQ69" s="238">
        <v>1</v>
      </c>
      <c r="ER69" s="238">
        <v>1</v>
      </c>
      <c r="ES69" s="350">
        <f t="shared" si="14"/>
        <v>0</v>
      </c>
      <c r="ET69" s="350">
        <f t="shared" si="2"/>
        <v>10</v>
      </c>
      <c r="EU69" s="350">
        <f t="shared" si="20"/>
        <v>8</v>
      </c>
      <c r="EV69" s="350">
        <f t="shared" si="4"/>
        <v>8</v>
      </c>
      <c r="EW69" s="350">
        <f t="shared" si="15"/>
        <v>10</v>
      </c>
      <c r="EX69" s="350">
        <f t="shared" si="21"/>
        <v>10</v>
      </c>
      <c r="EY69" s="350">
        <f t="shared" si="22"/>
        <v>10</v>
      </c>
      <c r="EZ69" s="350">
        <f t="shared" si="23"/>
        <v>0</v>
      </c>
      <c r="FA69" s="350">
        <f t="shared" si="24"/>
        <v>10</v>
      </c>
      <c r="FB69" s="350">
        <f t="shared" si="25"/>
        <v>10</v>
      </c>
      <c r="FC69" s="350">
        <f t="shared" si="26"/>
        <v>10</v>
      </c>
      <c r="FD69" s="350">
        <f t="shared" si="27"/>
        <v>10</v>
      </c>
      <c r="FE69" s="350">
        <f t="shared" si="28"/>
        <v>10</v>
      </c>
      <c r="FF69" s="350">
        <f t="shared" si="29"/>
        <v>10</v>
      </c>
      <c r="FG69" s="349">
        <f t="shared" si="33"/>
        <v>67</v>
      </c>
      <c r="FH69" s="319">
        <f t="shared" si="30"/>
        <v>116</v>
      </c>
      <c r="FI69" s="319">
        <f>SUM(I7:ER7)-SUM(ES69:FF69)</f>
        <v>12</v>
      </c>
      <c r="FJ69" s="319">
        <f t="shared" si="31"/>
        <v>128</v>
      </c>
      <c r="FK69" s="7"/>
    </row>
    <row r="70" spans="1:167" ht="15.75" customHeight="1">
      <c r="A70" s="2"/>
      <c r="B70" s="3">
        <f t="shared" si="19"/>
        <v>1</v>
      </c>
      <c r="C70" s="347">
        <f t="shared" si="32"/>
        <v>11</v>
      </c>
      <c r="D70" s="201" t="s">
        <v>234</v>
      </c>
      <c r="E70" s="347"/>
      <c r="F70" s="347"/>
      <c r="G70" s="493">
        <v>45915</v>
      </c>
      <c r="H70" s="494"/>
      <c r="I70" s="214">
        <v>0</v>
      </c>
      <c r="J70" s="207">
        <v>0</v>
      </c>
      <c r="K70" s="207">
        <v>0</v>
      </c>
      <c r="L70" s="207">
        <v>0</v>
      </c>
      <c r="M70" s="207">
        <v>0</v>
      </c>
      <c r="N70" s="207">
        <v>0</v>
      </c>
      <c r="O70" s="207">
        <v>0</v>
      </c>
      <c r="P70" s="207">
        <v>0</v>
      </c>
      <c r="Q70" s="207">
        <v>0</v>
      </c>
      <c r="R70" s="215">
        <v>0</v>
      </c>
      <c r="S70" s="226">
        <v>1</v>
      </c>
      <c r="T70" s="227">
        <v>1</v>
      </c>
      <c r="U70" s="227">
        <v>1</v>
      </c>
      <c r="V70" s="227">
        <v>1</v>
      </c>
      <c r="W70" s="227">
        <v>1</v>
      </c>
      <c r="X70" s="227">
        <v>1</v>
      </c>
      <c r="Y70" s="227">
        <v>1</v>
      </c>
      <c r="Z70" s="227">
        <v>1</v>
      </c>
      <c r="AA70" s="227">
        <v>1</v>
      </c>
      <c r="AB70" s="228">
        <v>1</v>
      </c>
      <c r="AC70" s="258">
        <v>1</v>
      </c>
      <c r="AD70" s="178">
        <v>1</v>
      </c>
      <c r="AE70" s="178">
        <v>1</v>
      </c>
      <c r="AF70" s="178">
        <v>1</v>
      </c>
      <c r="AG70" s="530"/>
      <c r="AH70" s="531"/>
      <c r="AI70" s="178">
        <v>1</v>
      </c>
      <c r="AJ70" s="178">
        <v>1</v>
      </c>
      <c r="AK70" s="178">
        <v>1</v>
      </c>
      <c r="AL70" s="202">
        <v>1</v>
      </c>
      <c r="AM70" s="237">
        <v>1</v>
      </c>
      <c r="AN70" s="238">
        <v>1</v>
      </c>
      <c r="AO70" s="238">
        <v>1</v>
      </c>
      <c r="AP70" s="238">
        <v>1</v>
      </c>
      <c r="AQ70" s="238">
        <v>1</v>
      </c>
      <c r="AR70" s="238">
        <v>1</v>
      </c>
      <c r="AS70" s="238">
        <v>1</v>
      </c>
      <c r="AT70" s="238">
        <v>1</v>
      </c>
      <c r="AU70" s="238">
        <v>1</v>
      </c>
      <c r="AV70" s="273">
        <v>1</v>
      </c>
      <c r="AW70" s="295">
        <v>1</v>
      </c>
      <c r="AX70" s="296">
        <v>1</v>
      </c>
      <c r="AY70" s="296">
        <v>1</v>
      </c>
      <c r="AZ70" s="296">
        <v>1</v>
      </c>
      <c r="BA70" s="296">
        <v>1</v>
      </c>
      <c r="BB70" s="296">
        <v>1</v>
      </c>
      <c r="BC70" s="296">
        <v>1</v>
      </c>
      <c r="BD70" s="296">
        <v>1</v>
      </c>
      <c r="BE70" s="296">
        <v>1</v>
      </c>
      <c r="BF70" s="297">
        <v>1</v>
      </c>
      <c r="BG70" s="214">
        <v>1</v>
      </c>
      <c r="BH70" s="207">
        <v>1</v>
      </c>
      <c r="BI70" s="207">
        <v>1</v>
      </c>
      <c r="BJ70" s="207">
        <v>1</v>
      </c>
      <c r="BK70" s="207">
        <v>1</v>
      </c>
      <c r="BL70" s="207">
        <v>1</v>
      </c>
      <c r="BM70" s="207">
        <v>1</v>
      </c>
      <c r="BN70" s="207">
        <v>1</v>
      </c>
      <c r="BO70" s="207">
        <v>1</v>
      </c>
      <c r="BP70" s="215">
        <v>1</v>
      </c>
      <c r="BQ70" s="249">
        <v>1</v>
      </c>
      <c r="BR70" s="227">
        <v>1</v>
      </c>
      <c r="BS70" s="227">
        <v>1</v>
      </c>
      <c r="BT70" s="227">
        <v>1</v>
      </c>
      <c r="BU70" s="227">
        <v>1</v>
      </c>
      <c r="BV70" s="227">
        <v>1</v>
      </c>
      <c r="BW70" s="227">
        <v>1</v>
      </c>
      <c r="BX70" s="227">
        <v>1</v>
      </c>
      <c r="BY70" s="227">
        <v>1</v>
      </c>
      <c r="BZ70" s="247">
        <v>1</v>
      </c>
      <c r="CA70" s="537"/>
      <c r="CB70" s="538"/>
      <c r="CC70" s="538"/>
      <c r="CD70" s="538"/>
      <c r="CE70" s="538"/>
      <c r="CF70" s="538"/>
      <c r="CG70" s="538"/>
      <c r="CH70" s="538"/>
      <c r="CI70" s="538"/>
      <c r="CJ70" s="539"/>
      <c r="CK70" s="240">
        <v>1</v>
      </c>
      <c r="CL70" s="238">
        <v>1</v>
      </c>
      <c r="CM70" s="238">
        <v>1</v>
      </c>
      <c r="CN70" s="238">
        <v>1</v>
      </c>
      <c r="CO70" s="238">
        <v>1</v>
      </c>
      <c r="CP70" s="238">
        <v>1</v>
      </c>
      <c r="CQ70" s="238">
        <v>1</v>
      </c>
      <c r="CR70" s="238">
        <v>1</v>
      </c>
      <c r="CS70" s="238">
        <v>1</v>
      </c>
      <c r="CT70" s="239">
        <v>1</v>
      </c>
      <c r="CU70" s="295">
        <v>1</v>
      </c>
      <c r="CV70" s="296">
        <v>1</v>
      </c>
      <c r="CW70" s="296">
        <v>1</v>
      </c>
      <c r="CX70" s="296">
        <v>1</v>
      </c>
      <c r="CY70" s="296">
        <v>1</v>
      </c>
      <c r="CZ70" s="296">
        <v>1</v>
      </c>
      <c r="DA70" s="296">
        <v>1</v>
      </c>
      <c r="DB70" s="296">
        <v>1</v>
      </c>
      <c r="DC70" s="296">
        <v>1</v>
      </c>
      <c r="DD70" s="297">
        <v>1</v>
      </c>
      <c r="DE70" s="214">
        <v>1</v>
      </c>
      <c r="DF70" s="207">
        <v>1</v>
      </c>
      <c r="DG70" s="207">
        <v>1</v>
      </c>
      <c r="DH70" s="207">
        <v>1</v>
      </c>
      <c r="DI70" s="207">
        <v>1</v>
      </c>
      <c r="DJ70" s="207">
        <v>1</v>
      </c>
      <c r="DK70" s="207">
        <v>1</v>
      </c>
      <c r="DL70" s="207">
        <v>1</v>
      </c>
      <c r="DM70" s="207">
        <v>1</v>
      </c>
      <c r="DN70" s="215">
        <v>1</v>
      </c>
      <c r="DO70" s="226">
        <v>1</v>
      </c>
      <c r="DP70" s="227">
        <v>1</v>
      </c>
      <c r="DQ70" s="227">
        <v>1</v>
      </c>
      <c r="DR70" s="227">
        <v>1</v>
      </c>
      <c r="DS70" s="227">
        <v>1</v>
      </c>
      <c r="DT70" s="227">
        <v>1</v>
      </c>
      <c r="DU70" s="227">
        <v>1</v>
      </c>
      <c r="DV70" s="227">
        <v>1</v>
      </c>
      <c r="DW70" s="227">
        <v>1</v>
      </c>
      <c r="DX70" s="228">
        <v>1</v>
      </c>
      <c r="DY70" s="307">
        <v>1</v>
      </c>
      <c r="DZ70" s="91">
        <v>1</v>
      </c>
      <c r="EA70" s="91">
        <v>1</v>
      </c>
      <c r="EB70" s="91">
        <v>1</v>
      </c>
      <c r="EC70" s="91">
        <v>1</v>
      </c>
      <c r="ED70" s="91">
        <v>1</v>
      </c>
      <c r="EE70" s="91">
        <v>1</v>
      </c>
      <c r="EF70" s="91">
        <v>1</v>
      </c>
      <c r="EG70" s="91">
        <v>1</v>
      </c>
      <c r="EH70" s="91">
        <v>1</v>
      </c>
      <c r="EI70" s="238">
        <v>1</v>
      </c>
      <c r="EJ70" s="238">
        <v>1</v>
      </c>
      <c r="EK70" s="238">
        <v>1</v>
      </c>
      <c r="EL70" s="238">
        <v>1</v>
      </c>
      <c r="EM70" s="238">
        <v>1</v>
      </c>
      <c r="EN70" s="238">
        <v>1</v>
      </c>
      <c r="EO70" s="238">
        <v>1</v>
      </c>
      <c r="EP70" s="238">
        <v>1</v>
      </c>
      <c r="EQ70" s="238">
        <v>1</v>
      </c>
      <c r="ER70" s="238">
        <v>1</v>
      </c>
      <c r="ES70" s="350">
        <f t="shared" si="14"/>
        <v>10</v>
      </c>
      <c r="ET70" s="350">
        <f t="shared" si="2"/>
        <v>10</v>
      </c>
      <c r="EU70" s="350">
        <f t="shared" si="20"/>
        <v>8</v>
      </c>
      <c r="EV70" s="350">
        <f t="shared" si="4"/>
        <v>10</v>
      </c>
      <c r="EW70" s="350">
        <f t="shared" si="15"/>
        <v>10</v>
      </c>
      <c r="EX70" s="350">
        <f t="shared" si="21"/>
        <v>10</v>
      </c>
      <c r="EY70" s="350">
        <f t="shared" si="22"/>
        <v>10</v>
      </c>
      <c r="EZ70" s="350">
        <f t="shared" si="23"/>
        <v>0</v>
      </c>
      <c r="FA70" s="350">
        <f t="shared" si="24"/>
        <v>10</v>
      </c>
      <c r="FB70" s="350">
        <f t="shared" si="25"/>
        <v>10</v>
      </c>
      <c r="FC70" s="350">
        <f t="shared" si="26"/>
        <v>10</v>
      </c>
      <c r="FD70" s="350">
        <f t="shared" si="27"/>
        <v>10</v>
      </c>
      <c r="FE70" s="350">
        <f t="shared" si="28"/>
        <v>10</v>
      </c>
      <c r="FF70" s="350">
        <f t="shared" si="29"/>
        <v>10</v>
      </c>
      <c r="FG70" s="349">
        <f t="shared" si="33"/>
        <v>68</v>
      </c>
      <c r="FH70" s="319">
        <f t="shared" si="30"/>
        <v>128</v>
      </c>
      <c r="FI70" s="319">
        <f>SUM(I7:ER7)-SUM(ES70:FF70)</f>
        <v>0</v>
      </c>
      <c r="FJ70" s="319">
        <f t="shared" si="31"/>
        <v>128</v>
      </c>
      <c r="FK70" s="7"/>
    </row>
    <row r="71" spans="1:167" ht="15.75" customHeight="1">
      <c r="A71" s="2"/>
      <c r="B71" s="3">
        <f t="shared" si="19"/>
        <v>1</v>
      </c>
      <c r="C71" s="347">
        <f t="shared" si="32"/>
        <v>12</v>
      </c>
      <c r="D71" s="201" t="s">
        <v>235</v>
      </c>
      <c r="E71" s="347"/>
      <c r="F71" s="347"/>
      <c r="G71" s="493">
        <v>45915</v>
      </c>
      <c r="H71" s="494"/>
      <c r="I71" s="214">
        <v>1</v>
      </c>
      <c r="J71" s="207">
        <v>1</v>
      </c>
      <c r="K71" s="207">
        <v>1</v>
      </c>
      <c r="L71" s="207">
        <v>1</v>
      </c>
      <c r="M71" s="207">
        <v>1</v>
      </c>
      <c r="N71" s="207">
        <v>1</v>
      </c>
      <c r="O71" s="207">
        <v>1</v>
      </c>
      <c r="P71" s="207">
        <v>1</v>
      </c>
      <c r="Q71" s="207">
        <v>1</v>
      </c>
      <c r="R71" s="215">
        <v>1</v>
      </c>
      <c r="S71" s="226">
        <v>1</v>
      </c>
      <c r="T71" s="227">
        <v>1</v>
      </c>
      <c r="U71" s="227">
        <v>1</v>
      </c>
      <c r="V71" s="227">
        <v>1</v>
      </c>
      <c r="W71" s="227">
        <v>1</v>
      </c>
      <c r="X71" s="227">
        <v>1</v>
      </c>
      <c r="Y71" s="227">
        <v>1</v>
      </c>
      <c r="Z71" s="227">
        <v>1</v>
      </c>
      <c r="AA71" s="227">
        <v>1</v>
      </c>
      <c r="AB71" s="228">
        <v>1</v>
      </c>
      <c r="AC71" s="258">
        <v>1</v>
      </c>
      <c r="AD71" s="178">
        <v>1</v>
      </c>
      <c r="AE71" s="178">
        <v>1</v>
      </c>
      <c r="AF71" s="178">
        <v>1</v>
      </c>
      <c r="AG71" s="530"/>
      <c r="AH71" s="531"/>
      <c r="AI71" s="178">
        <v>1</v>
      </c>
      <c r="AJ71" s="178">
        <v>1</v>
      </c>
      <c r="AK71" s="178">
        <v>1</v>
      </c>
      <c r="AL71" s="202">
        <v>1</v>
      </c>
      <c r="AM71" s="237">
        <v>0</v>
      </c>
      <c r="AN71" s="238">
        <v>0</v>
      </c>
      <c r="AO71" s="238">
        <v>1</v>
      </c>
      <c r="AP71" s="238">
        <v>1</v>
      </c>
      <c r="AQ71" s="238">
        <v>1</v>
      </c>
      <c r="AR71" s="238">
        <v>1</v>
      </c>
      <c r="AS71" s="238">
        <v>1</v>
      </c>
      <c r="AT71" s="238">
        <v>1</v>
      </c>
      <c r="AU71" s="238">
        <v>1</v>
      </c>
      <c r="AV71" s="273">
        <v>1</v>
      </c>
      <c r="AW71" s="295">
        <v>1</v>
      </c>
      <c r="AX71" s="296">
        <v>1</v>
      </c>
      <c r="AY71" s="296">
        <v>1</v>
      </c>
      <c r="AZ71" s="296">
        <v>1</v>
      </c>
      <c r="BA71" s="296">
        <v>1</v>
      </c>
      <c r="BB71" s="296">
        <v>1</v>
      </c>
      <c r="BC71" s="296">
        <v>1</v>
      </c>
      <c r="BD71" s="296">
        <v>1</v>
      </c>
      <c r="BE71" s="296">
        <v>1</v>
      </c>
      <c r="BF71" s="297">
        <v>1</v>
      </c>
      <c r="BG71" s="214">
        <v>1</v>
      </c>
      <c r="BH71" s="207">
        <v>1</v>
      </c>
      <c r="BI71" s="207">
        <v>1</v>
      </c>
      <c r="BJ71" s="207">
        <v>1</v>
      </c>
      <c r="BK71" s="207">
        <v>1</v>
      </c>
      <c r="BL71" s="207">
        <v>1</v>
      </c>
      <c r="BM71" s="207">
        <v>1</v>
      </c>
      <c r="BN71" s="207">
        <v>1</v>
      </c>
      <c r="BO71" s="207">
        <v>1</v>
      </c>
      <c r="BP71" s="215">
        <v>1</v>
      </c>
      <c r="BQ71" s="249">
        <v>1</v>
      </c>
      <c r="BR71" s="227">
        <v>1</v>
      </c>
      <c r="BS71" s="227">
        <v>1</v>
      </c>
      <c r="BT71" s="227">
        <v>1</v>
      </c>
      <c r="BU71" s="227">
        <v>0</v>
      </c>
      <c r="BV71" s="227">
        <v>0</v>
      </c>
      <c r="BW71" s="227">
        <v>1</v>
      </c>
      <c r="BX71" s="227">
        <v>1</v>
      </c>
      <c r="BY71" s="227">
        <v>1</v>
      </c>
      <c r="BZ71" s="247">
        <v>1</v>
      </c>
      <c r="CA71" s="537"/>
      <c r="CB71" s="538"/>
      <c r="CC71" s="538"/>
      <c r="CD71" s="538"/>
      <c r="CE71" s="538"/>
      <c r="CF71" s="538"/>
      <c r="CG71" s="538"/>
      <c r="CH71" s="538"/>
      <c r="CI71" s="538"/>
      <c r="CJ71" s="539"/>
      <c r="CK71" s="240">
        <v>1</v>
      </c>
      <c r="CL71" s="238">
        <v>1</v>
      </c>
      <c r="CM71" s="238">
        <v>1</v>
      </c>
      <c r="CN71" s="238">
        <v>1</v>
      </c>
      <c r="CO71" s="238">
        <v>1</v>
      </c>
      <c r="CP71" s="238">
        <v>1</v>
      </c>
      <c r="CQ71" s="238">
        <v>1</v>
      </c>
      <c r="CR71" s="238">
        <v>1</v>
      </c>
      <c r="CS71" s="238">
        <v>1</v>
      </c>
      <c r="CT71" s="239">
        <v>1</v>
      </c>
      <c r="CU71" s="295">
        <v>1</v>
      </c>
      <c r="CV71" s="296">
        <v>1</v>
      </c>
      <c r="CW71" s="296">
        <v>1</v>
      </c>
      <c r="CX71" s="296">
        <v>1</v>
      </c>
      <c r="CY71" s="296">
        <v>1</v>
      </c>
      <c r="CZ71" s="296">
        <v>1</v>
      </c>
      <c r="DA71" s="296">
        <v>1</v>
      </c>
      <c r="DB71" s="296">
        <v>1</v>
      </c>
      <c r="DC71" s="296">
        <v>1</v>
      </c>
      <c r="DD71" s="297">
        <v>1</v>
      </c>
      <c r="DE71" s="214">
        <v>1</v>
      </c>
      <c r="DF71" s="207">
        <v>1</v>
      </c>
      <c r="DG71" s="207">
        <v>1</v>
      </c>
      <c r="DH71" s="207">
        <v>1</v>
      </c>
      <c r="DI71" s="207">
        <v>1</v>
      </c>
      <c r="DJ71" s="207">
        <v>1</v>
      </c>
      <c r="DK71" s="207">
        <v>1</v>
      </c>
      <c r="DL71" s="207">
        <v>1</v>
      </c>
      <c r="DM71" s="207">
        <v>1</v>
      </c>
      <c r="DN71" s="215">
        <v>1</v>
      </c>
      <c r="DO71" s="226">
        <v>1</v>
      </c>
      <c r="DP71" s="227">
        <v>1</v>
      </c>
      <c r="DQ71" s="227">
        <v>1</v>
      </c>
      <c r="DR71" s="227">
        <v>1</v>
      </c>
      <c r="DS71" s="227">
        <v>1</v>
      </c>
      <c r="DT71" s="227">
        <v>1</v>
      </c>
      <c r="DU71" s="227">
        <v>1</v>
      </c>
      <c r="DV71" s="227">
        <v>1</v>
      </c>
      <c r="DW71" s="227">
        <v>1</v>
      </c>
      <c r="DX71" s="228">
        <v>1</v>
      </c>
      <c r="DY71" s="307">
        <v>1</v>
      </c>
      <c r="DZ71" s="91">
        <v>1</v>
      </c>
      <c r="EA71" s="91">
        <v>1</v>
      </c>
      <c r="EB71" s="91">
        <v>1</v>
      </c>
      <c r="EC71" s="91">
        <v>1</v>
      </c>
      <c r="ED71" s="91">
        <v>1</v>
      </c>
      <c r="EE71" s="91">
        <v>1</v>
      </c>
      <c r="EF71" s="91">
        <v>1</v>
      </c>
      <c r="EG71" s="91">
        <v>1</v>
      </c>
      <c r="EH71" s="91">
        <v>1</v>
      </c>
      <c r="EI71" s="238">
        <v>1</v>
      </c>
      <c r="EJ71" s="238">
        <v>1</v>
      </c>
      <c r="EK71" s="238">
        <v>1</v>
      </c>
      <c r="EL71" s="238">
        <v>1</v>
      </c>
      <c r="EM71" s="238">
        <v>1</v>
      </c>
      <c r="EN71" s="238">
        <v>1</v>
      </c>
      <c r="EO71" s="238">
        <v>1</v>
      </c>
      <c r="EP71" s="238">
        <v>1</v>
      </c>
      <c r="EQ71" s="238">
        <v>1</v>
      </c>
      <c r="ER71" s="238">
        <v>1</v>
      </c>
      <c r="ES71" s="350">
        <f t="shared" si="14"/>
        <v>8</v>
      </c>
      <c r="ET71" s="350">
        <f t="shared" si="2"/>
        <v>10</v>
      </c>
      <c r="EU71" s="350">
        <f t="shared" si="20"/>
        <v>8</v>
      </c>
      <c r="EV71" s="350">
        <f t="shared" si="4"/>
        <v>8</v>
      </c>
      <c r="EW71" s="350">
        <f t="shared" si="15"/>
        <v>10</v>
      </c>
      <c r="EX71" s="350">
        <f t="shared" si="21"/>
        <v>10</v>
      </c>
      <c r="EY71" s="350">
        <f t="shared" si="22"/>
        <v>8</v>
      </c>
      <c r="EZ71" s="350">
        <f t="shared" si="23"/>
        <v>0</v>
      </c>
      <c r="FA71" s="350">
        <f t="shared" si="24"/>
        <v>10</v>
      </c>
      <c r="FB71" s="350">
        <f t="shared" si="25"/>
        <v>10</v>
      </c>
      <c r="FC71" s="350">
        <f t="shared" si="26"/>
        <v>10</v>
      </c>
      <c r="FD71" s="350">
        <f t="shared" si="27"/>
        <v>10</v>
      </c>
      <c r="FE71" s="350">
        <f t="shared" si="28"/>
        <v>10</v>
      </c>
      <c r="FF71" s="350">
        <f t="shared" si="29"/>
        <v>10</v>
      </c>
      <c r="FG71" s="349">
        <f t="shared" si="33"/>
        <v>69</v>
      </c>
      <c r="FH71" s="319">
        <f t="shared" si="30"/>
        <v>122</v>
      </c>
      <c r="FI71" s="319">
        <f>SUM(I7:ER7)-SUM(ES71:FF71)</f>
        <v>6</v>
      </c>
      <c r="FJ71" s="319">
        <f t="shared" si="31"/>
        <v>128</v>
      </c>
      <c r="FK71" s="7"/>
    </row>
    <row r="72" spans="1:167" ht="15.75" customHeight="1">
      <c r="A72" s="2"/>
      <c r="B72" s="3">
        <f t="shared" si="19"/>
        <v>1</v>
      </c>
      <c r="C72" s="347">
        <f t="shared" si="32"/>
        <v>13</v>
      </c>
      <c r="D72" s="201" t="s">
        <v>236</v>
      </c>
      <c r="E72" s="347"/>
      <c r="F72" s="347"/>
      <c r="G72" s="493">
        <v>45915</v>
      </c>
      <c r="H72" s="494"/>
      <c r="I72" s="214">
        <v>0</v>
      </c>
      <c r="J72" s="207">
        <v>0</v>
      </c>
      <c r="K72" s="207">
        <v>1</v>
      </c>
      <c r="L72" s="207">
        <v>1</v>
      </c>
      <c r="M72" s="207">
        <v>1</v>
      </c>
      <c r="N72" s="207">
        <v>1</v>
      </c>
      <c r="O72" s="207">
        <v>1</v>
      </c>
      <c r="P72" s="207">
        <v>1</v>
      </c>
      <c r="Q72" s="207">
        <v>1</v>
      </c>
      <c r="R72" s="215">
        <v>1</v>
      </c>
      <c r="S72" s="226">
        <v>1</v>
      </c>
      <c r="T72" s="227">
        <v>1</v>
      </c>
      <c r="U72" s="227">
        <v>1</v>
      </c>
      <c r="V72" s="227">
        <v>1</v>
      </c>
      <c r="W72" s="227">
        <v>1</v>
      </c>
      <c r="X72" s="227">
        <v>1</v>
      </c>
      <c r="Y72" s="227">
        <v>1</v>
      </c>
      <c r="Z72" s="227">
        <v>1</v>
      </c>
      <c r="AA72" s="227">
        <v>1</v>
      </c>
      <c r="AB72" s="228">
        <v>1</v>
      </c>
      <c r="AC72" s="258">
        <v>1</v>
      </c>
      <c r="AD72" s="178">
        <v>1</v>
      </c>
      <c r="AE72" s="178">
        <v>1</v>
      </c>
      <c r="AF72" s="178">
        <v>1</v>
      </c>
      <c r="AG72" s="530"/>
      <c r="AH72" s="531"/>
      <c r="AI72" s="178">
        <v>1</v>
      </c>
      <c r="AJ72" s="178">
        <v>1</v>
      </c>
      <c r="AK72" s="178">
        <v>1</v>
      </c>
      <c r="AL72" s="202">
        <v>1</v>
      </c>
      <c r="AM72" s="237">
        <v>1</v>
      </c>
      <c r="AN72" s="238">
        <v>1</v>
      </c>
      <c r="AO72" s="238">
        <v>1</v>
      </c>
      <c r="AP72" s="238">
        <v>1</v>
      </c>
      <c r="AQ72" s="238">
        <v>1</v>
      </c>
      <c r="AR72" s="238">
        <v>1</v>
      </c>
      <c r="AS72" s="238">
        <v>1</v>
      </c>
      <c r="AT72" s="238">
        <v>1</v>
      </c>
      <c r="AU72" s="238">
        <v>1</v>
      </c>
      <c r="AV72" s="273">
        <v>1</v>
      </c>
      <c r="AW72" s="295">
        <v>1</v>
      </c>
      <c r="AX72" s="296">
        <v>1</v>
      </c>
      <c r="AY72" s="296">
        <v>1</v>
      </c>
      <c r="AZ72" s="296">
        <v>1</v>
      </c>
      <c r="BA72" s="296">
        <v>1</v>
      </c>
      <c r="BB72" s="296">
        <v>1</v>
      </c>
      <c r="BC72" s="296">
        <v>1</v>
      </c>
      <c r="BD72" s="296">
        <v>1</v>
      </c>
      <c r="BE72" s="296">
        <v>1</v>
      </c>
      <c r="BF72" s="297">
        <v>1</v>
      </c>
      <c r="BG72" s="214">
        <v>1</v>
      </c>
      <c r="BH72" s="207">
        <v>1</v>
      </c>
      <c r="BI72" s="207">
        <v>1</v>
      </c>
      <c r="BJ72" s="207">
        <v>1</v>
      </c>
      <c r="BK72" s="207">
        <v>1</v>
      </c>
      <c r="BL72" s="207">
        <v>1</v>
      </c>
      <c r="BM72" s="207">
        <v>1</v>
      </c>
      <c r="BN72" s="207">
        <v>1</v>
      </c>
      <c r="BO72" s="207">
        <v>1</v>
      </c>
      <c r="BP72" s="215">
        <v>1</v>
      </c>
      <c r="BQ72" s="249">
        <v>1</v>
      </c>
      <c r="BR72" s="227">
        <v>1</v>
      </c>
      <c r="BS72" s="227">
        <v>1</v>
      </c>
      <c r="BT72" s="227">
        <v>1</v>
      </c>
      <c r="BU72" s="227">
        <v>1</v>
      </c>
      <c r="BV72" s="227">
        <v>1</v>
      </c>
      <c r="BW72" s="227">
        <v>1</v>
      </c>
      <c r="BX72" s="227">
        <v>1</v>
      </c>
      <c r="BY72" s="227">
        <v>1</v>
      </c>
      <c r="BZ72" s="247">
        <v>1</v>
      </c>
      <c r="CA72" s="537"/>
      <c r="CB72" s="538"/>
      <c r="CC72" s="538"/>
      <c r="CD72" s="538"/>
      <c r="CE72" s="538"/>
      <c r="CF72" s="538"/>
      <c r="CG72" s="538"/>
      <c r="CH72" s="538"/>
      <c r="CI72" s="538"/>
      <c r="CJ72" s="539"/>
      <c r="CK72" s="240">
        <v>1</v>
      </c>
      <c r="CL72" s="238">
        <v>1</v>
      </c>
      <c r="CM72" s="238">
        <v>1</v>
      </c>
      <c r="CN72" s="238">
        <v>1</v>
      </c>
      <c r="CO72" s="238">
        <v>1</v>
      </c>
      <c r="CP72" s="238">
        <v>1</v>
      </c>
      <c r="CQ72" s="238">
        <v>1</v>
      </c>
      <c r="CR72" s="238">
        <v>1</v>
      </c>
      <c r="CS72" s="238">
        <v>1</v>
      </c>
      <c r="CT72" s="239">
        <v>1</v>
      </c>
      <c r="CU72" s="295">
        <v>1</v>
      </c>
      <c r="CV72" s="296">
        <v>1</v>
      </c>
      <c r="CW72" s="296">
        <v>1</v>
      </c>
      <c r="CX72" s="296">
        <v>1</v>
      </c>
      <c r="CY72" s="296">
        <v>1</v>
      </c>
      <c r="CZ72" s="296">
        <v>1</v>
      </c>
      <c r="DA72" s="296">
        <v>1</v>
      </c>
      <c r="DB72" s="296">
        <v>1</v>
      </c>
      <c r="DC72" s="296">
        <v>1</v>
      </c>
      <c r="DD72" s="297">
        <v>1</v>
      </c>
      <c r="DE72" s="214">
        <v>1</v>
      </c>
      <c r="DF72" s="207">
        <v>1</v>
      </c>
      <c r="DG72" s="207">
        <v>1</v>
      </c>
      <c r="DH72" s="207">
        <v>1</v>
      </c>
      <c r="DI72" s="207">
        <v>1</v>
      </c>
      <c r="DJ72" s="207">
        <v>1</v>
      </c>
      <c r="DK72" s="207">
        <v>1</v>
      </c>
      <c r="DL72" s="207">
        <v>1</v>
      </c>
      <c r="DM72" s="207">
        <v>1</v>
      </c>
      <c r="DN72" s="215">
        <v>1</v>
      </c>
      <c r="DO72" s="226">
        <v>1</v>
      </c>
      <c r="DP72" s="227">
        <v>1</v>
      </c>
      <c r="DQ72" s="227">
        <v>1</v>
      </c>
      <c r="DR72" s="227">
        <v>1</v>
      </c>
      <c r="DS72" s="227">
        <v>1</v>
      </c>
      <c r="DT72" s="227">
        <v>1</v>
      </c>
      <c r="DU72" s="227">
        <v>1</v>
      </c>
      <c r="DV72" s="227">
        <v>1</v>
      </c>
      <c r="DW72" s="227">
        <v>1</v>
      </c>
      <c r="DX72" s="228">
        <v>1</v>
      </c>
      <c r="DY72" s="307">
        <v>1</v>
      </c>
      <c r="DZ72" s="91">
        <v>1</v>
      </c>
      <c r="EA72" s="91">
        <v>1</v>
      </c>
      <c r="EB72" s="91">
        <v>1</v>
      </c>
      <c r="EC72" s="91">
        <v>1</v>
      </c>
      <c r="ED72" s="91">
        <v>1</v>
      </c>
      <c r="EE72" s="91">
        <v>1</v>
      </c>
      <c r="EF72" s="91">
        <v>1</v>
      </c>
      <c r="EG72" s="91">
        <v>1</v>
      </c>
      <c r="EH72" s="91">
        <v>1</v>
      </c>
      <c r="EI72" s="238">
        <v>1</v>
      </c>
      <c r="EJ72" s="238">
        <v>1</v>
      </c>
      <c r="EK72" s="238">
        <v>1</v>
      </c>
      <c r="EL72" s="238">
        <v>1</v>
      </c>
      <c r="EM72" s="238">
        <v>1</v>
      </c>
      <c r="EN72" s="238">
        <v>1</v>
      </c>
      <c r="EO72" s="238">
        <v>1</v>
      </c>
      <c r="EP72" s="238">
        <v>1</v>
      </c>
      <c r="EQ72" s="238">
        <v>1</v>
      </c>
      <c r="ER72" s="238">
        <v>1</v>
      </c>
      <c r="ES72" s="350">
        <f t="shared" si="14"/>
        <v>8</v>
      </c>
      <c r="ET72" s="350">
        <f t="shared" ref="ET72:ET109" si="34">SUM(S72:AB72)</f>
        <v>10</v>
      </c>
      <c r="EU72" s="350">
        <f t="shared" si="20"/>
        <v>8</v>
      </c>
      <c r="EV72" s="350">
        <f t="shared" ref="EV72:EV109" si="35">SUM(AM72:AV72)</f>
        <v>10</v>
      </c>
      <c r="EW72" s="350">
        <f t="shared" si="15"/>
        <v>10</v>
      </c>
      <c r="EX72" s="350">
        <f t="shared" si="21"/>
        <v>10</v>
      </c>
      <c r="EY72" s="350">
        <f t="shared" si="22"/>
        <v>10</v>
      </c>
      <c r="EZ72" s="350">
        <f t="shared" si="23"/>
        <v>0</v>
      </c>
      <c r="FA72" s="350">
        <f t="shared" si="24"/>
        <v>10</v>
      </c>
      <c r="FB72" s="350">
        <f t="shared" si="25"/>
        <v>10</v>
      </c>
      <c r="FC72" s="350">
        <f t="shared" si="26"/>
        <v>10</v>
      </c>
      <c r="FD72" s="350">
        <f t="shared" si="27"/>
        <v>10</v>
      </c>
      <c r="FE72" s="350">
        <f t="shared" si="28"/>
        <v>10</v>
      </c>
      <c r="FF72" s="350">
        <f t="shared" si="29"/>
        <v>10</v>
      </c>
      <c r="FG72" s="349">
        <f t="shared" si="33"/>
        <v>70</v>
      </c>
      <c r="FH72" s="319">
        <f t="shared" si="30"/>
        <v>126</v>
      </c>
      <c r="FI72" s="319">
        <f>SUM(I7:ER7)-SUM(ES72:FF72)</f>
        <v>2</v>
      </c>
      <c r="FJ72" s="319">
        <f t="shared" si="31"/>
        <v>128</v>
      </c>
      <c r="FK72" s="7"/>
    </row>
    <row r="73" spans="1:167" ht="15.75" customHeight="1">
      <c r="A73" s="2"/>
      <c r="B73" s="3">
        <f t="shared" si="19"/>
        <v>1</v>
      </c>
      <c r="C73" s="347">
        <f t="shared" si="32"/>
        <v>14</v>
      </c>
      <c r="D73" s="201" t="s">
        <v>237</v>
      </c>
      <c r="E73" s="347"/>
      <c r="F73" s="347"/>
      <c r="G73" s="493">
        <v>45915</v>
      </c>
      <c r="H73" s="494"/>
      <c r="I73" s="214">
        <v>0</v>
      </c>
      <c r="J73" s="207">
        <v>0</v>
      </c>
      <c r="K73" s="207">
        <v>1</v>
      </c>
      <c r="L73" s="207">
        <v>1</v>
      </c>
      <c r="M73" s="207">
        <v>1</v>
      </c>
      <c r="N73" s="207">
        <v>1</v>
      </c>
      <c r="O73" s="207">
        <v>1</v>
      </c>
      <c r="P73" s="207">
        <v>1</v>
      </c>
      <c r="Q73" s="207">
        <v>1</v>
      </c>
      <c r="R73" s="215">
        <v>1</v>
      </c>
      <c r="S73" s="226">
        <v>1</v>
      </c>
      <c r="T73" s="227">
        <v>1</v>
      </c>
      <c r="U73" s="227">
        <v>1</v>
      </c>
      <c r="V73" s="227">
        <v>1</v>
      </c>
      <c r="W73" s="227">
        <v>1</v>
      </c>
      <c r="X73" s="227">
        <v>1</v>
      </c>
      <c r="Y73" s="227">
        <v>1</v>
      </c>
      <c r="Z73" s="227">
        <v>1</v>
      </c>
      <c r="AA73" s="227">
        <v>1</v>
      </c>
      <c r="AB73" s="228">
        <v>1</v>
      </c>
      <c r="AC73" s="258">
        <v>1</v>
      </c>
      <c r="AD73" s="178">
        <v>1</v>
      </c>
      <c r="AE73" s="178">
        <v>1</v>
      </c>
      <c r="AF73" s="178">
        <v>1</v>
      </c>
      <c r="AG73" s="530"/>
      <c r="AH73" s="531"/>
      <c r="AI73" s="178">
        <v>1</v>
      </c>
      <c r="AJ73" s="178">
        <v>1</v>
      </c>
      <c r="AK73" s="178">
        <v>1</v>
      </c>
      <c r="AL73" s="202">
        <v>1</v>
      </c>
      <c r="AM73" s="237">
        <v>1</v>
      </c>
      <c r="AN73" s="238">
        <v>1</v>
      </c>
      <c r="AO73" s="238">
        <v>1</v>
      </c>
      <c r="AP73" s="238">
        <v>1</v>
      </c>
      <c r="AQ73" s="238">
        <v>1</v>
      </c>
      <c r="AR73" s="238">
        <v>1</v>
      </c>
      <c r="AS73" s="238">
        <v>1</v>
      </c>
      <c r="AT73" s="238">
        <v>1</v>
      </c>
      <c r="AU73" s="238">
        <v>1</v>
      </c>
      <c r="AV73" s="273">
        <v>1</v>
      </c>
      <c r="AW73" s="295">
        <v>0</v>
      </c>
      <c r="AX73" s="296">
        <v>0</v>
      </c>
      <c r="AY73" s="296">
        <v>1</v>
      </c>
      <c r="AZ73" s="296">
        <v>1</v>
      </c>
      <c r="BA73" s="296">
        <v>1</v>
      </c>
      <c r="BB73" s="296">
        <v>1</v>
      </c>
      <c r="BC73" s="296">
        <v>1</v>
      </c>
      <c r="BD73" s="296">
        <v>1</v>
      </c>
      <c r="BE73" s="296">
        <v>1</v>
      </c>
      <c r="BF73" s="297">
        <v>1</v>
      </c>
      <c r="BG73" s="214">
        <v>1</v>
      </c>
      <c r="BH73" s="207">
        <v>1</v>
      </c>
      <c r="BI73" s="207">
        <v>1</v>
      </c>
      <c r="BJ73" s="207">
        <v>1</v>
      </c>
      <c r="BK73" s="207">
        <v>1</v>
      </c>
      <c r="BL73" s="207">
        <v>1</v>
      </c>
      <c r="BM73" s="207">
        <v>1</v>
      </c>
      <c r="BN73" s="207">
        <v>1</v>
      </c>
      <c r="BO73" s="207">
        <v>1</v>
      </c>
      <c r="BP73" s="215">
        <v>1</v>
      </c>
      <c r="BQ73" s="249">
        <v>1</v>
      </c>
      <c r="BR73" s="227">
        <v>1</v>
      </c>
      <c r="BS73" s="227">
        <v>1</v>
      </c>
      <c r="BT73" s="227">
        <v>1</v>
      </c>
      <c r="BU73" s="227">
        <v>1</v>
      </c>
      <c r="BV73" s="227">
        <v>1</v>
      </c>
      <c r="BW73" s="227">
        <v>1</v>
      </c>
      <c r="BX73" s="227">
        <v>1</v>
      </c>
      <c r="BY73" s="227">
        <v>1</v>
      </c>
      <c r="BZ73" s="247">
        <v>1</v>
      </c>
      <c r="CA73" s="537"/>
      <c r="CB73" s="538"/>
      <c r="CC73" s="538"/>
      <c r="CD73" s="538"/>
      <c r="CE73" s="538"/>
      <c r="CF73" s="538"/>
      <c r="CG73" s="538"/>
      <c r="CH73" s="538"/>
      <c r="CI73" s="538"/>
      <c r="CJ73" s="539"/>
      <c r="CK73" s="240">
        <v>1</v>
      </c>
      <c r="CL73" s="238">
        <v>1</v>
      </c>
      <c r="CM73" s="238">
        <v>1</v>
      </c>
      <c r="CN73" s="238">
        <v>1</v>
      </c>
      <c r="CO73" s="238">
        <v>1</v>
      </c>
      <c r="CP73" s="238">
        <v>1</v>
      </c>
      <c r="CQ73" s="238">
        <v>1</v>
      </c>
      <c r="CR73" s="238">
        <v>1</v>
      </c>
      <c r="CS73" s="238">
        <v>1</v>
      </c>
      <c r="CT73" s="239">
        <v>1</v>
      </c>
      <c r="CU73" s="295">
        <v>1</v>
      </c>
      <c r="CV73" s="296">
        <v>1</v>
      </c>
      <c r="CW73" s="296">
        <v>1</v>
      </c>
      <c r="CX73" s="296">
        <v>1</v>
      </c>
      <c r="CY73" s="296">
        <v>1</v>
      </c>
      <c r="CZ73" s="296">
        <v>1</v>
      </c>
      <c r="DA73" s="296">
        <v>1</v>
      </c>
      <c r="DB73" s="296">
        <v>1</v>
      </c>
      <c r="DC73" s="296">
        <v>1</v>
      </c>
      <c r="DD73" s="297">
        <v>1</v>
      </c>
      <c r="DE73" s="214">
        <v>1</v>
      </c>
      <c r="DF73" s="207">
        <v>1</v>
      </c>
      <c r="DG73" s="207">
        <v>1</v>
      </c>
      <c r="DH73" s="207">
        <v>1</v>
      </c>
      <c r="DI73" s="207">
        <v>1</v>
      </c>
      <c r="DJ73" s="207">
        <v>1</v>
      </c>
      <c r="DK73" s="207">
        <v>1</v>
      </c>
      <c r="DL73" s="207">
        <v>1</v>
      </c>
      <c r="DM73" s="207">
        <v>1</v>
      </c>
      <c r="DN73" s="215">
        <v>1</v>
      </c>
      <c r="DO73" s="226">
        <v>1</v>
      </c>
      <c r="DP73" s="227">
        <v>1</v>
      </c>
      <c r="DQ73" s="227">
        <v>1</v>
      </c>
      <c r="DR73" s="227">
        <v>1</v>
      </c>
      <c r="DS73" s="227">
        <v>1</v>
      </c>
      <c r="DT73" s="227">
        <v>1</v>
      </c>
      <c r="DU73" s="227">
        <v>1</v>
      </c>
      <c r="DV73" s="227">
        <v>1</v>
      </c>
      <c r="DW73" s="227">
        <v>1</v>
      </c>
      <c r="DX73" s="228">
        <v>1</v>
      </c>
      <c r="DY73" s="307">
        <v>1</v>
      </c>
      <c r="DZ73" s="91">
        <v>1</v>
      </c>
      <c r="EA73" s="91">
        <v>1</v>
      </c>
      <c r="EB73" s="91">
        <v>1</v>
      </c>
      <c r="EC73" s="91">
        <v>1</v>
      </c>
      <c r="ED73" s="91">
        <v>1</v>
      </c>
      <c r="EE73" s="91">
        <v>1</v>
      </c>
      <c r="EF73" s="91">
        <v>1</v>
      </c>
      <c r="EG73" s="91">
        <v>1</v>
      </c>
      <c r="EH73" s="91">
        <v>1</v>
      </c>
      <c r="EI73" s="238">
        <v>1</v>
      </c>
      <c r="EJ73" s="238">
        <v>1</v>
      </c>
      <c r="EK73" s="238">
        <v>1</v>
      </c>
      <c r="EL73" s="238">
        <v>1</v>
      </c>
      <c r="EM73" s="238">
        <v>1</v>
      </c>
      <c r="EN73" s="238">
        <v>1</v>
      </c>
      <c r="EO73" s="238">
        <v>1</v>
      </c>
      <c r="EP73" s="238">
        <v>1</v>
      </c>
      <c r="EQ73" s="238">
        <v>1</v>
      </c>
      <c r="ER73" s="238">
        <v>1</v>
      </c>
      <c r="ES73" s="350">
        <f t="shared" ref="ES73:ES109" si="36">SUM(I74:R74)</f>
        <v>10</v>
      </c>
      <c r="ET73" s="350">
        <f t="shared" si="34"/>
        <v>10</v>
      </c>
      <c r="EU73" s="350">
        <f t="shared" si="20"/>
        <v>8</v>
      </c>
      <c r="EV73" s="350">
        <f t="shared" si="35"/>
        <v>10</v>
      </c>
      <c r="EW73" s="350">
        <f t="shared" ref="EW73:EW109" si="37">SUM(BG73:BP73)</f>
        <v>10</v>
      </c>
      <c r="EX73" s="350">
        <f t="shared" si="21"/>
        <v>10</v>
      </c>
      <c r="EY73" s="350">
        <f t="shared" si="22"/>
        <v>10</v>
      </c>
      <c r="EZ73" s="350">
        <f t="shared" si="23"/>
        <v>0</v>
      </c>
      <c r="FA73" s="350">
        <f t="shared" si="24"/>
        <v>10</v>
      </c>
      <c r="FB73" s="350">
        <f t="shared" si="25"/>
        <v>10</v>
      </c>
      <c r="FC73" s="350">
        <f t="shared" si="26"/>
        <v>10</v>
      </c>
      <c r="FD73" s="350">
        <f t="shared" si="27"/>
        <v>10</v>
      </c>
      <c r="FE73" s="350">
        <f t="shared" si="28"/>
        <v>10</v>
      </c>
      <c r="FF73" s="350">
        <f t="shared" si="29"/>
        <v>10</v>
      </c>
      <c r="FG73" s="349">
        <f t="shared" si="33"/>
        <v>71</v>
      </c>
      <c r="FH73" s="319">
        <f t="shared" si="30"/>
        <v>128</v>
      </c>
      <c r="FI73" s="319">
        <f>SUM(I7:ER7)-SUM(ES73:FF73)</f>
        <v>0</v>
      </c>
      <c r="FJ73" s="319">
        <f t="shared" si="31"/>
        <v>128</v>
      </c>
      <c r="FK73" s="7"/>
    </row>
    <row r="74" spans="1:167" ht="15.75" customHeight="1">
      <c r="A74" s="2"/>
      <c r="B74" s="3">
        <f t="shared" si="19"/>
        <v>1</v>
      </c>
      <c r="C74" s="347">
        <f t="shared" si="32"/>
        <v>15</v>
      </c>
      <c r="D74" s="201" t="s">
        <v>238</v>
      </c>
      <c r="E74" s="347"/>
      <c r="F74" s="347"/>
      <c r="G74" s="493">
        <v>45915</v>
      </c>
      <c r="H74" s="494"/>
      <c r="I74" s="214">
        <v>1</v>
      </c>
      <c r="J74" s="207">
        <v>1</v>
      </c>
      <c r="K74" s="207">
        <v>1</v>
      </c>
      <c r="L74" s="207">
        <v>1</v>
      </c>
      <c r="M74" s="207">
        <v>1</v>
      </c>
      <c r="N74" s="207">
        <v>1</v>
      </c>
      <c r="O74" s="207">
        <v>1</v>
      </c>
      <c r="P74" s="207">
        <v>1</v>
      </c>
      <c r="Q74" s="207">
        <v>1</v>
      </c>
      <c r="R74" s="215">
        <v>1</v>
      </c>
      <c r="S74" s="226">
        <v>1</v>
      </c>
      <c r="T74" s="227">
        <v>1</v>
      </c>
      <c r="U74" s="227">
        <v>1</v>
      </c>
      <c r="V74" s="227">
        <v>1</v>
      </c>
      <c r="W74" s="227">
        <v>1</v>
      </c>
      <c r="X74" s="227">
        <v>1</v>
      </c>
      <c r="Y74" s="227">
        <v>1</v>
      </c>
      <c r="Z74" s="227">
        <v>1</v>
      </c>
      <c r="AA74" s="227">
        <v>1</v>
      </c>
      <c r="AB74" s="228">
        <v>1</v>
      </c>
      <c r="AC74" s="258">
        <v>1</v>
      </c>
      <c r="AD74" s="178">
        <v>1</v>
      </c>
      <c r="AE74" s="178">
        <v>1</v>
      </c>
      <c r="AF74" s="178">
        <v>1</v>
      </c>
      <c r="AG74" s="530"/>
      <c r="AH74" s="531"/>
      <c r="AI74" s="178">
        <v>1</v>
      </c>
      <c r="AJ74" s="178">
        <v>1</v>
      </c>
      <c r="AK74" s="178">
        <v>1</v>
      </c>
      <c r="AL74" s="202">
        <v>1</v>
      </c>
      <c r="AM74" s="237">
        <v>1</v>
      </c>
      <c r="AN74" s="238">
        <v>1</v>
      </c>
      <c r="AO74" s="238">
        <v>1</v>
      </c>
      <c r="AP74" s="238">
        <v>1</v>
      </c>
      <c r="AQ74" s="238">
        <v>1</v>
      </c>
      <c r="AR74" s="238">
        <v>1</v>
      </c>
      <c r="AS74" s="238">
        <v>1</v>
      </c>
      <c r="AT74" s="238">
        <v>1</v>
      </c>
      <c r="AU74" s="238">
        <v>1</v>
      </c>
      <c r="AV74" s="273">
        <v>1</v>
      </c>
      <c r="AW74" s="295">
        <v>1</v>
      </c>
      <c r="AX74" s="296">
        <v>1</v>
      </c>
      <c r="AY74" s="296">
        <v>1</v>
      </c>
      <c r="AZ74" s="296">
        <v>1</v>
      </c>
      <c r="BA74" s="296">
        <v>1</v>
      </c>
      <c r="BB74" s="296">
        <v>1</v>
      </c>
      <c r="BC74" s="296">
        <v>1</v>
      </c>
      <c r="BD74" s="296">
        <v>1</v>
      </c>
      <c r="BE74" s="296">
        <v>1</v>
      </c>
      <c r="BF74" s="297">
        <v>1</v>
      </c>
      <c r="BG74" s="214">
        <v>1</v>
      </c>
      <c r="BH74" s="207">
        <v>1</v>
      </c>
      <c r="BI74" s="207">
        <v>1</v>
      </c>
      <c r="BJ74" s="207">
        <v>1</v>
      </c>
      <c r="BK74" s="207">
        <v>1</v>
      </c>
      <c r="BL74" s="207">
        <v>1</v>
      </c>
      <c r="BM74" s="207">
        <v>1</v>
      </c>
      <c r="BN74" s="207">
        <v>1</v>
      </c>
      <c r="BO74" s="207">
        <v>1</v>
      </c>
      <c r="BP74" s="215">
        <v>1</v>
      </c>
      <c r="BQ74" s="249">
        <v>1</v>
      </c>
      <c r="BR74" s="227">
        <v>1</v>
      </c>
      <c r="BS74" s="227">
        <v>1</v>
      </c>
      <c r="BT74" s="227">
        <v>1</v>
      </c>
      <c r="BU74" s="227">
        <v>1</v>
      </c>
      <c r="BV74" s="227">
        <v>1</v>
      </c>
      <c r="BW74" s="227">
        <v>1</v>
      </c>
      <c r="BX74" s="227">
        <v>1</v>
      </c>
      <c r="BY74" s="227">
        <v>1</v>
      </c>
      <c r="BZ74" s="247">
        <v>1</v>
      </c>
      <c r="CA74" s="537"/>
      <c r="CB74" s="538"/>
      <c r="CC74" s="538"/>
      <c r="CD74" s="538"/>
      <c r="CE74" s="538"/>
      <c r="CF74" s="538"/>
      <c r="CG74" s="538"/>
      <c r="CH74" s="538"/>
      <c r="CI74" s="538"/>
      <c r="CJ74" s="539"/>
      <c r="CK74" s="240">
        <v>1</v>
      </c>
      <c r="CL74" s="238">
        <v>1</v>
      </c>
      <c r="CM74" s="238">
        <v>1</v>
      </c>
      <c r="CN74" s="238">
        <v>1</v>
      </c>
      <c r="CO74" s="238">
        <v>1</v>
      </c>
      <c r="CP74" s="238">
        <v>1</v>
      </c>
      <c r="CQ74" s="238">
        <v>1</v>
      </c>
      <c r="CR74" s="238">
        <v>1</v>
      </c>
      <c r="CS74" s="238">
        <v>1</v>
      </c>
      <c r="CT74" s="239">
        <v>1</v>
      </c>
      <c r="CU74" s="295">
        <v>1</v>
      </c>
      <c r="CV74" s="296">
        <v>1</v>
      </c>
      <c r="CW74" s="296">
        <v>1</v>
      </c>
      <c r="CX74" s="296">
        <v>1</v>
      </c>
      <c r="CY74" s="296">
        <v>1</v>
      </c>
      <c r="CZ74" s="296">
        <v>1</v>
      </c>
      <c r="DA74" s="296">
        <v>1</v>
      </c>
      <c r="DB74" s="296">
        <v>1</v>
      </c>
      <c r="DC74" s="296">
        <v>1</v>
      </c>
      <c r="DD74" s="297">
        <v>1</v>
      </c>
      <c r="DE74" s="214">
        <v>1</v>
      </c>
      <c r="DF74" s="207">
        <v>1</v>
      </c>
      <c r="DG74" s="207">
        <v>1</v>
      </c>
      <c r="DH74" s="207">
        <v>1</v>
      </c>
      <c r="DI74" s="207">
        <v>1</v>
      </c>
      <c r="DJ74" s="207">
        <v>1</v>
      </c>
      <c r="DK74" s="207">
        <v>1</v>
      </c>
      <c r="DL74" s="207">
        <v>1</v>
      </c>
      <c r="DM74" s="207">
        <v>1</v>
      </c>
      <c r="DN74" s="215">
        <v>1</v>
      </c>
      <c r="DO74" s="226">
        <v>1</v>
      </c>
      <c r="DP74" s="227">
        <v>1</v>
      </c>
      <c r="DQ74" s="227">
        <v>1</v>
      </c>
      <c r="DR74" s="227">
        <v>1</v>
      </c>
      <c r="DS74" s="227">
        <v>1</v>
      </c>
      <c r="DT74" s="227">
        <v>1</v>
      </c>
      <c r="DU74" s="227">
        <v>1</v>
      </c>
      <c r="DV74" s="227">
        <v>1</v>
      </c>
      <c r="DW74" s="227">
        <v>1</v>
      </c>
      <c r="DX74" s="228">
        <v>1</v>
      </c>
      <c r="DY74" s="307">
        <v>1</v>
      </c>
      <c r="DZ74" s="91">
        <v>1</v>
      </c>
      <c r="EA74" s="91">
        <v>1</v>
      </c>
      <c r="EB74" s="91">
        <v>1</v>
      </c>
      <c r="EC74" s="91">
        <v>1</v>
      </c>
      <c r="ED74" s="91">
        <v>1</v>
      </c>
      <c r="EE74" s="91">
        <v>1</v>
      </c>
      <c r="EF74" s="91">
        <v>1</v>
      </c>
      <c r="EG74" s="91">
        <v>1</v>
      </c>
      <c r="EH74" s="91">
        <v>1</v>
      </c>
      <c r="EI74" s="238">
        <v>1</v>
      </c>
      <c r="EJ74" s="238">
        <v>1</v>
      </c>
      <c r="EK74" s="238">
        <v>1</v>
      </c>
      <c r="EL74" s="238">
        <v>1</v>
      </c>
      <c r="EM74" s="238">
        <v>1</v>
      </c>
      <c r="EN74" s="238">
        <v>1</v>
      </c>
      <c r="EO74" s="238">
        <v>1</v>
      </c>
      <c r="EP74" s="238">
        <v>1</v>
      </c>
      <c r="EQ74" s="238">
        <v>1</v>
      </c>
      <c r="ER74" s="238">
        <v>1</v>
      </c>
      <c r="ES74" s="350">
        <f t="shared" si="36"/>
        <v>10</v>
      </c>
      <c r="ET74" s="350">
        <f t="shared" si="34"/>
        <v>10</v>
      </c>
      <c r="EU74" s="350">
        <f t="shared" si="20"/>
        <v>8</v>
      </c>
      <c r="EV74" s="350">
        <f t="shared" si="35"/>
        <v>10</v>
      </c>
      <c r="EW74" s="350">
        <f t="shared" si="37"/>
        <v>10</v>
      </c>
      <c r="EX74" s="350">
        <f t="shared" si="21"/>
        <v>10</v>
      </c>
      <c r="EY74" s="350">
        <f t="shared" si="22"/>
        <v>10</v>
      </c>
      <c r="EZ74" s="350">
        <f t="shared" si="23"/>
        <v>0</v>
      </c>
      <c r="FA74" s="350">
        <f t="shared" si="24"/>
        <v>10</v>
      </c>
      <c r="FB74" s="350">
        <f t="shared" si="25"/>
        <v>10</v>
      </c>
      <c r="FC74" s="350">
        <f t="shared" si="26"/>
        <v>10</v>
      </c>
      <c r="FD74" s="350">
        <f t="shared" si="27"/>
        <v>10</v>
      </c>
      <c r="FE74" s="350">
        <f t="shared" si="28"/>
        <v>10</v>
      </c>
      <c r="FF74" s="350">
        <f t="shared" si="29"/>
        <v>10</v>
      </c>
      <c r="FG74" s="349">
        <f t="shared" si="33"/>
        <v>72</v>
      </c>
      <c r="FH74" s="319">
        <f t="shared" si="30"/>
        <v>128</v>
      </c>
      <c r="FI74" s="319">
        <f>SUM(I7:ER7)-SUM(ES74:FF74)</f>
        <v>0</v>
      </c>
      <c r="FJ74" s="319">
        <f t="shared" si="31"/>
        <v>128</v>
      </c>
      <c r="FK74" s="7"/>
    </row>
    <row r="75" spans="1:167" ht="15.75" customHeight="1">
      <c r="A75" s="2"/>
      <c r="B75" s="3">
        <f t="shared" si="19"/>
        <v>1</v>
      </c>
      <c r="C75" s="347">
        <f t="shared" si="32"/>
        <v>16</v>
      </c>
      <c r="D75" s="201" t="s">
        <v>239</v>
      </c>
      <c r="E75" s="347"/>
      <c r="F75" s="347"/>
      <c r="G75" s="493">
        <v>45915</v>
      </c>
      <c r="H75" s="494"/>
      <c r="I75" s="214">
        <v>1</v>
      </c>
      <c r="J75" s="207">
        <v>1</v>
      </c>
      <c r="K75" s="207">
        <v>1</v>
      </c>
      <c r="L75" s="207">
        <v>1</v>
      </c>
      <c r="M75" s="207">
        <v>1</v>
      </c>
      <c r="N75" s="207">
        <v>1</v>
      </c>
      <c r="O75" s="207">
        <v>1</v>
      </c>
      <c r="P75" s="207">
        <v>1</v>
      </c>
      <c r="Q75" s="207">
        <v>1</v>
      </c>
      <c r="R75" s="215">
        <v>1</v>
      </c>
      <c r="S75" s="226">
        <v>1</v>
      </c>
      <c r="T75" s="227">
        <v>1</v>
      </c>
      <c r="U75" s="227">
        <v>1</v>
      </c>
      <c r="V75" s="227">
        <v>1</v>
      </c>
      <c r="W75" s="227">
        <v>1</v>
      </c>
      <c r="X75" s="227">
        <v>1</v>
      </c>
      <c r="Y75" s="227">
        <v>1</v>
      </c>
      <c r="Z75" s="227">
        <v>1</v>
      </c>
      <c r="AA75" s="227">
        <v>1</v>
      </c>
      <c r="AB75" s="228">
        <v>1</v>
      </c>
      <c r="AC75" s="258">
        <v>1</v>
      </c>
      <c r="AD75" s="178">
        <v>1</v>
      </c>
      <c r="AE75" s="178">
        <v>1</v>
      </c>
      <c r="AF75" s="178">
        <v>1</v>
      </c>
      <c r="AG75" s="530"/>
      <c r="AH75" s="531"/>
      <c r="AI75" s="178">
        <v>1</v>
      </c>
      <c r="AJ75" s="178">
        <v>1</v>
      </c>
      <c r="AK75" s="178">
        <v>1</v>
      </c>
      <c r="AL75" s="202">
        <v>1</v>
      </c>
      <c r="AM75" s="237">
        <v>1</v>
      </c>
      <c r="AN75" s="238">
        <v>1</v>
      </c>
      <c r="AO75" s="238">
        <v>1</v>
      </c>
      <c r="AP75" s="238">
        <v>1</v>
      </c>
      <c r="AQ75" s="238">
        <v>1</v>
      </c>
      <c r="AR75" s="238">
        <v>1</v>
      </c>
      <c r="AS75" s="238">
        <v>1</v>
      </c>
      <c r="AT75" s="238">
        <v>1</v>
      </c>
      <c r="AU75" s="238">
        <v>1</v>
      </c>
      <c r="AV75" s="273">
        <v>1</v>
      </c>
      <c r="AW75" s="295">
        <v>1</v>
      </c>
      <c r="AX75" s="296">
        <v>1</v>
      </c>
      <c r="AY75" s="296">
        <v>1</v>
      </c>
      <c r="AZ75" s="296">
        <v>1</v>
      </c>
      <c r="BA75" s="296">
        <v>1</v>
      </c>
      <c r="BB75" s="296">
        <v>1</v>
      </c>
      <c r="BC75" s="296">
        <v>1</v>
      </c>
      <c r="BD75" s="296">
        <v>1</v>
      </c>
      <c r="BE75" s="296">
        <v>1</v>
      </c>
      <c r="BF75" s="297">
        <v>1</v>
      </c>
      <c r="BG75" s="214">
        <v>1</v>
      </c>
      <c r="BH75" s="207">
        <v>1</v>
      </c>
      <c r="BI75" s="207">
        <v>1</v>
      </c>
      <c r="BJ75" s="207">
        <v>1</v>
      </c>
      <c r="BK75" s="207">
        <v>1</v>
      </c>
      <c r="BL75" s="207">
        <v>1</v>
      </c>
      <c r="BM75" s="207">
        <v>1</v>
      </c>
      <c r="BN75" s="207">
        <v>1</v>
      </c>
      <c r="BO75" s="207">
        <v>1</v>
      </c>
      <c r="BP75" s="215">
        <v>1</v>
      </c>
      <c r="BQ75" s="249">
        <v>1</v>
      </c>
      <c r="BR75" s="227">
        <v>1</v>
      </c>
      <c r="BS75" s="227">
        <v>1</v>
      </c>
      <c r="BT75" s="227">
        <v>1</v>
      </c>
      <c r="BU75" s="227">
        <v>1</v>
      </c>
      <c r="BV75" s="227">
        <v>1</v>
      </c>
      <c r="BW75" s="227">
        <v>1</v>
      </c>
      <c r="BX75" s="227">
        <v>1</v>
      </c>
      <c r="BY75" s="227">
        <v>1</v>
      </c>
      <c r="BZ75" s="247">
        <v>1</v>
      </c>
      <c r="CA75" s="537"/>
      <c r="CB75" s="538"/>
      <c r="CC75" s="538"/>
      <c r="CD75" s="538"/>
      <c r="CE75" s="538"/>
      <c r="CF75" s="538"/>
      <c r="CG75" s="538"/>
      <c r="CH75" s="538"/>
      <c r="CI75" s="538"/>
      <c r="CJ75" s="539"/>
      <c r="CK75" s="240">
        <v>1</v>
      </c>
      <c r="CL75" s="238">
        <v>1</v>
      </c>
      <c r="CM75" s="238">
        <v>1</v>
      </c>
      <c r="CN75" s="238">
        <v>1</v>
      </c>
      <c r="CO75" s="238">
        <v>1</v>
      </c>
      <c r="CP75" s="238">
        <v>1</v>
      </c>
      <c r="CQ75" s="238">
        <v>1</v>
      </c>
      <c r="CR75" s="238">
        <v>1</v>
      </c>
      <c r="CS75" s="238">
        <v>1</v>
      </c>
      <c r="CT75" s="239">
        <v>1</v>
      </c>
      <c r="CU75" s="295">
        <v>1</v>
      </c>
      <c r="CV75" s="296">
        <v>1</v>
      </c>
      <c r="CW75" s="296">
        <v>1</v>
      </c>
      <c r="CX75" s="296">
        <v>1</v>
      </c>
      <c r="CY75" s="296">
        <v>1</v>
      </c>
      <c r="CZ75" s="296">
        <v>1</v>
      </c>
      <c r="DA75" s="296">
        <v>1</v>
      </c>
      <c r="DB75" s="296">
        <v>1</v>
      </c>
      <c r="DC75" s="296">
        <v>1</v>
      </c>
      <c r="DD75" s="297">
        <v>1</v>
      </c>
      <c r="DE75" s="214">
        <v>1</v>
      </c>
      <c r="DF75" s="207">
        <v>1</v>
      </c>
      <c r="DG75" s="207">
        <v>1</v>
      </c>
      <c r="DH75" s="207">
        <v>1</v>
      </c>
      <c r="DI75" s="207">
        <v>1</v>
      </c>
      <c r="DJ75" s="207">
        <v>1</v>
      </c>
      <c r="DK75" s="207">
        <v>1</v>
      </c>
      <c r="DL75" s="207">
        <v>1</v>
      </c>
      <c r="DM75" s="207">
        <v>1</v>
      </c>
      <c r="DN75" s="215">
        <v>1</v>
      </c>
      <c r="DO75" s="226">
        <v>1</v>
      </c>
      <c r="DP75" s="227">
        <v>1</v>
      </c>
      <c r="DQ75" s="227">
        <v>1</v>
      </c>
      <c r="DR75" s="227">
        <v>1</v>
      </c>
      <c r="DS75" s="227">
        <v>1</v>
      </c>
      <c r="DT75" s="227">
        <v>1</v>
      </c>
      <c r="DU75" s="227">
        <v>1</v>
      </c>
      <c r="DV75" s="227">
        <v>1</v>
      </c>
      <c r="DW75" s="227">
        <v>1</v>
      </c>
      <c r="DX75" s="228">
        <v>1</v>
      </c>
      <c r="DY75" s="307">
        <v>1</v>
      </c>
      <c r="DZ75" s="91">
        <v>1</v>
      </c>
      <c r="EA75" s="91">
        <v>1</v>
      </c>
      <c r="EB75" s="91">
        <v>1</v>
      </c>
      <c r="EC75" s="91">
        <v>1</v>
      </c>
      <c r="ED75" s="91">
        <v>1</v>
      </c>
      <c r="EE75" s="91">
        <v>1</v>
      </c>
      <c r="EF75" s="91">
        <v>1</v>
      </c>
      <c r="EG75" s="91">
        <v>1</v>
      </c>
      <c r="EH75" s="91">
        <v>1</v>
      </c>
      <c r="EI75" s="238">
        <v>1</v>
      </c>
      <c r="EJ75" s="238">
        <v>1</v>
      </c>
      <c r="EK75" s="238">
        <v>1</v>
      </c>
      <c r="EL75" s="238">
        <v>1</v>
      </c>
      <c r="EM75" s="238">
        <v>1</v>
      </c>
      <c r="EN75" s="238">
        <v>1</v>
      </c>
      <c r="EO75" s="238">
        <v>1</v>
      </c>
      <c r="EP75" s="238">
        <v>1</v>
      </c>
      <c r="EQ75" s="238">
        <v>1</v>
      </c>
      <c r="ER75" s="238">
        <v>1</v>
      </c>
      <c r="ES75" s="350">
        <f t="shared" si="36"/>
        <v>10</v>
      </c>
      <c r="ET75" s="350">
        <f t="shared" si="34"/>
        <v>10</v>
      </c>
      <c r="EU75" s="350">
        <f t="shared" si="20"/>
        <v>8</v>
      </c>
      <c r="EV75" s="350">
        <f t="shared" si="35"/>
        <v>10</v>
      </c>
      <c r="EW75" s="350">
        <f t="shared" si="37"/>
        <v>10</v>
      </c>
      <c r="EX75" s="350">
        <f t="shared" si="21"/>
        <v>10</v>
      </c>
      <c r="EY75" s="350">
        <f t="shared" si="22"/>
        <v>10</v>
      </c>
      <c r="EZ75" s="350">
        <f t="shared" si="23"/>
        <v>0</v>
      </c>
      <c r="FA75" s="350">
        <f t="shared" si="24"/>
        <v>10</v>
      </c>
      <c r="FB75" s="350">
        <f t="shared" si="25"/>
        <v>10</v>
      </c>
      <c r="FC75" s="350">
        <f t="shared" si="26"/>
        <v>10</v>
      </c>
      <c r="FD75" s="350">
        <f t="shared" si="27"/>
        <v>10</v>
      </c>
      <c r="FE75" s="350">
        <f t="shared" si="28"/>
        <v>10</v>
      </c>
      <c r="FF75" s="350">
        <f t="shared" si="29"/>
        <v>10</v>
      </c>
      <c r="FG75" s="349">
        <f t="shared" si="33"/>
        <v>73</v>
      </c>
      <c r="FH75" s="319">
        <f t="shared" si="30"/>
        <v>128</v>
      </c>
      <c r="FI75" s="319">
        <f>SUM(I7:ER7)-SUM(ES75:FF75)</f>
        <v>0</v>
      </c>
      <c r="FJ75" s="319">
        <f t="shared" si="31"/>
        <v>128</v>
      </c>
      <c r="FK75" s="7"/>
    </row>
    <row r="76" spans="1:167" ht="15.75" customHeight="1">
      <c r="A76" s="2"/>
      <c r="B76" s="3">
        <f t="shared" si="19"/>
        <v>1</v>
      </c>
      <c r="C76" s="347">
        <f t="shared" si="32"/>
        <v>17</v>
      </c>
      <c r="D76" s="201" t="s">
        <v>240</v>
      </c>
      <c r="E76" s="347"/>
      <c r="F76" s="347"/>
      <c r="G76" s="493">
        <v>45915</v>
      </c>
      <c r="H76" s="494"/>
      <c r="I76" s="214">
        <v>1</v>
      </c>
      <c r="J76" s="207">
        <v>1</v>
      </c>
      <c r="K76" s="207">
        <v>1</v>
      </c>
      <c r="L76" s="207">
        <v>1</v>
      </c>
      <c r="M76" s="207">
        <v>1</v>
      </c>
      <c r="N76" s="207">
        <v>1</v>
      </c>
      <c r="O76" s="207">
        <v>1</v>
      </c>
      <c r="P76" s="207">
        <v>1</v>
      </c>
      <c r="Q76" s="207">
        <v>1</v>
      </c>
      <c r="R76" s="215">
        <v>1</v>
      </c>
      <c r="S76" s="226">
        <v>1</v>
      </c>
      <c r="T76" s="227">
        <v>1</v>
      </c>
      <c r="U76" s="227">
        <v>1</v>
      </c>
      <c r="V76" s="227">
        <v>1</v>
      </c>
      <c r="W76" s="227">
        <v>1</v>
      </c>
      <c r="X76" s="227">
        <v>1</v>
      </c>
      <c r="Y76" s="227">
        <v>1</v>
      </c>
      <c r="Z76" s="227">
        <v>1</v>
      </c>
      <c r="AA76" s="227">
        <v>1</v>
      </c>
      <c r="AB76" s="228">
        <v>1</v>
      </c>
      <c r="AC76" s="258">
        <v>1</v>
      </c>
      <c r="AD76" s="178">
        <v>1</v>
      </c>
      <c r="AE76" s="178">
        <v>1</v>
      </c>
      <c r="AF76" s="178">
        <v>1</v>
      </c>
      <c r="AG76" s="530"/>
      <c r="AH76" s="531"/>
      <c r="AI76" s="178">
        <v>1</v>
      </c>
      <c r="AJ76" s="178">
        <v>1</v>
      </c>
      <c r="AK76" s="178">
        <v>1</v>
      </c>
      <c r="AL76" s="202">
        <v>1</v>
      </c>
      <c r="AM76" s="237">
        <v>1</v>
      </c>
      <c r="AN76" s="238">
        <v>1</v>
      </c>
      <c r="AO76" s="238">
        <v>1</v>
      </c>
      <c r="AP76" s="238">
        <v>1</v>
      </c>
      <c r="AQ76" s="238">
        <v>1</v>
      </c>
      <c r="AR76" s="238">
        <v>1</v>
      </c>
      <c r="AS76" s="238">
        <v>1</v>
      </c>
      <c r="AT76" s="238">
        <v>1</v>
      </c>
      <c r="AU76" s="238">
        <v>1</v>
      </c>
      <c r="AV76" s="273">
        <v>1</v>
      </c>
      <c r="AW76" s="295">
        <v>1</v>
      </c>
      <c r="AX76" s="296">
        <v>1</v>
      </c>
      <c r="AY76" s="296">
        <v>1</v>
      </c>
      <c r="AZ76" s="296">
        <v>1</v>
      </c>
      <c r="BA76" s="296">
        <v>1</v>
      </c>
      <c r="BB76" s="296">
        <v>1</v>
      </c>
      <c r="BC76" s="296">
        <v>1</v>
      </c>
      <c r="BD76" s="296">
        <v>1</v>
      </c>
      <c r="BE76" s="296">
        <v>1</v>
      </c>
      <c r="BF76" s="297">
        <v>1</v>
      </c>
      <c r="BG76" s="214">
        <v>1</v>
      </c>
      <c r="BH76" s="207">
        <v>1</v>
      </c>
      <c r="BI76" s="207">
        <v>1</v>
      </c>
      <c r="BJ76" s="207">
        <v>1</v>
      </c>
      <c r="BK76" s="207">
        <v>1</v>
      </c>
      <c r="BL76" s="207">
        <v>1</v>
      </c>
      <c r="BM76" s="207">
        <v>1</v>
      </c>
      <c r="BN76" s="207">
        <v>1</v>
      </c>
      <c r="BO76" s="207">
        <v>1</v>
      </c>
      <c r="BP76" s="215">
        <v>1</v>
      </c>
      <c r="BQ76" s="249">
        <v>1</v>
      </c>
      <c r="BR76" s="227">
        <v>1</v>
      </c>
      <c r="BS76" s="227">
        <v>1</v>
      </c>
      <c r="BT76" s="227">
        <v>1</v>
      </c>
      <c r="BU76" s="227">
        <v>1</v>
      </c>
      <c r="BV76" s="227">
        <v>1</v>
      </c>
      <c r="BW76" s="227">
        <v>1</v>
      </c>
      <c r="BX76" s="227">
        <v>1</v>
      </c>
      <c r="BY76" s="227">
        <v>1</v>
      </c>
      <c r="BZ76" s="247">
        <v>1</v>
      </c>
      <c r="CA76" s="537"/>
      <c r="CB76" s="538"/>
      <c r="CC76" s="538"/>
      <c r="CD76" s="538"/>
      <c r="CE76" s="538"/>
      <c r="CF76" s="538"/>
      <c r="CG76" s="538"/>
      <c r="CH76" s="538"/>
      <c r="CI76" s="538"/>
      <c r="CJ76" s="539"/>
      <c r="CK76" s="240">
        <v>1</v>
      </c>
      <c r="CL76" s="238">
        <v>1</v>
      </c>
      <c r="CM76" s="238">
        <v>1</v>
      </c>
      <c r="CN76" s="238">
        <v>1</v>
      </c>
      <c r="CO76" s="238">
        <v>1</v>
      </c>
      <c r="CP76" s="238">
        <v>1</v>
      </c>
      <c r="CQ76" s="238">
        <v>1</v>
      </c>
      <c r="CR76" s="238">
        <v>1</v>
      </c>
      <c r="CS76" s="238">
        <v>1</v>
      </c>
      <c r="CT76" s="239">
        <v>1</v>
      </c>
      <c r="CU76" s="295">
        <v>1</v>
      </c>
      <c r="CV76" s="296">
        <v>1</v>
      </c>
      <c r="CW76" s="296">
        <v>1</v>
      </c>
      <c r="CX76" s="296">
        <v>1</v>
      </c>
      <c r="CY76" s="296">
        <v>1</v>
      </c>
      <c r="CZ76" s="296">
        <v>1</v>
      </c>
      <c r="DA76" s="296">
        <v>1</v>
      </c>
      <c r="DB76" s="296">
        <v>1</v>
      </c>
      <c r="DC76" s="296">
        <v>1</v>
      </c>
      <c r="DD76" s="297">
        <v>1</v>
      </c>
      <c r="DE76" s="214">
        <v>1</v>
      </c>
      <c r="DF76" s="207">
        <v>1</v>
      </c>
      <c r="DG76" s="207">
        <v>1</v>
      </c>
      <c r="DH76" s="207">
        <v>1</v>
      </c>
      <c r="DI76" s="207">
        <v>1</v>
      </c>
      <c r="DJ76" s="207">
        <v>1</v>
      </c>
      <c r="DK76" s="207">
        <v>1</v>
      </c>
      <c r="DL76" s="207">
        <v>1</v>
      </c>
      <c r="DM76" s="207">
        <v>1</v>
      </c>
      <c r="DN76" s="215">
        <v>1</v>
      </c>
      <c r="DO76" s="226">
        <v>1</v>
      </c>
      <c r="DP76" s="227">
        <v>1</v>
      </c>
      <c r="DQ76" s="227">
        <v>1</v>
      </c>
      <c r="DR76" s="227">
        <v>1</v>
      </c>
      <c r="DS76" s="227">
        <v>1</v>
      </c>
      <c r="DT76" s="227">
        <v>1</v>
      </c>
      <c r="DU76" s="227">
        <v>1</v>
      </c>
      <c r="DV76" s="227">
        <v>1</v>
      </c>
      <c r="DW76" s="227">
        <v>1</v>
      </c>
      <c r="DX76" s="228">
        <v>1</v>
      </c>
      <c r="DY76" s="307">
        <v>1</v>
      </c>
      <c r="DZ76" s="91">
        <v>1</v>
      </c>
      <c r="EA76" s="91">
        <v>1</v>
      </c>
      <c r="EB76" s="91">
        <v>1</v>
      </c>
      <c r="EC76" s="91">
        <v>1</v>
      </c>
      <c r="ED76" s="91">
        <v>1</v>
      </c>
      <c r="EE76" s="91">
        <v>1</v>
      </c>
      <c r="EF76" s="91">
        <v>1</v>
      </c>
      <c r="EG76" s="91">
        <v>1</v>
      </c>
      <c r="EH76" s="91">
        <v>1</v>
      </c>
      <c r="EI76" s="238">
        <v>1</v>
      </c>
      <c r="EJ76" s="238">
        <v>1</v>
      </c>
      <c r="EK76" s="238">
        <v>1</v>
      </c>
      <c r="EL76" s="238">
        <v>1</v>
      </c>
      <c r="EM76" s="238">
        <v>1</v>
      </c>
      <c r="EN76" s="238">
        <v>1</v>
      </c>
      <c r="EO76" s="238">
        <v>1</v>
      </c>
      <c r="EP76" s="238">
        <v>1</v>
      </c>
      <c r="EQ76" s="238">
        <v>1</v>
      </c>
      <c r="ER76" s="238">
        <v>1</v>
      </c>
      <c r="ES76" s="350">
        <f t="shared" si="36"/>
        <v>0</v>
      </c>
      <c r="ET76" s="350">
        <f t="shared" si="34"/>
        <v>10</v>
      </c>
      <c r="EU76" s="350">
        <f t="shared" si="20"/>
        <v>8</v>
      </c>
      <c r="EV76" s="350">
        <f t="shared" si="35"/>
        <v>10</v>
      </c>
      <c r="EW76" s="350">
        <f t="shared" si="37"/>
        <v>10</v>
      </c>
      <c r="EX76" s="350">
        <f t="shared" si="21"/>
        <v>10</v>
      </c>
      <c r="EY76" s="350">
        <f t="shared" si="22"/>
        <v>10</v>
      </c>
      <c r="EZ76" s="350">
        <f t="shared" si="23"/>
        <v>0</v>
      </c>
      <c r="FA76" s="350">
        <f t="shared" si="24"/>
        <v>10</v>
      </c>
      <c r="FB76" s="350">
        <f t="shared" si="25"/>
        <v>10</v>
      </c>
      <c r="FC76" s="350">
        <f t="shared" si="26"/>
        <v>10</v>
      </c>
      <c r="FD76" s="350">
        <f t="shared" si="27"/>
        <v>10</v>
      </c>
      <c r="FE76" s="350">
        <f t="shared" si="28"/>
        <v>10</v>
      </c>
      <c r="FF76" s="350">
        <f t="shared" si="29"/>
        <v>10</v>
      </c>
      <c r="FG76" s="349">
        <f t="shared" si="33"/>
        <v>74</v>
      </c>
      <c r="FH76" s="319">
        <f t="shared" si="30"/>
        <v>118</v>
      </c>
      <c r="FI76" s="319">
        <f>SUM(I7:ER7)-SUM(ES76:FF76)</f>
        <v>10</v>
      </c>
      <c r="FJ76" s="319">
        <f>SUM(FH76:FI76)</f>
        <v>128</v>
      </c>
      <c r="FK76" s="7"/>
    </row>
    <row r="77" spans="1:167" ht="15.75" customHeight="1">
      <c r="A77" s="2"/>
      <c r="B77" s="3">
        <f t="shared" si="19"/>
        <v>1</v>
      </c>
      <c r="C77" s="347">
        <v>18</v>
      </c>
      <c r="D77" s="201" t="s">
        <v>241</v>
      </c>
      <c r="E77" s="347"/>
      <c r="F77" s="347"/>
      <c r="G77" s="493">
        <v>45915</v>
      </c>
      <c r="H77" s="494"/>
      <c r="I77" s="214">
        <v>0</v>
      </c>
      <c r="J77" s="207">
        <v>0</v>
      </c>
      <c r="K77" s="207">
        <v>0</v>
      </c>
      <c r="L77" s="207">
        <v>0</v>
      </c>
      <c r="M77" s="207">
        <v>0</v>
      </c>
      <c r="N77" s="207">
        <v>0</v>
      </c>
      <c r="O77" s="207">
        <v>0</v>
      </c>
      <c r="P77" s="207">
        <v>0</v>
      </c>
      <c r="Q77" s="207">
        <v>0</v>
      </c>
      <c r="R77" s="215">
        <v>0</v>
      </c>
      <c r="S77" s="226">
        <v>1</v>
      </c>
      <c r="T77" s="227">
        <v>1</v>
      </c>
      <c r="U77" s="227">
        <v>1</v>
      </c>
      <c r="V77" s="227">
        <v>1</v>
      </c>
      <c r="W77" s="227">
        <v>1</v>
      </c>
      <c r="X77" s="227">
        <v>1</v>
      </c>
      <c r="Y77" s="227">
        <v>1</v>
      </c>
      <c r="Z77" s="227">
        <v>1</v>
      </c>
      <c r="AA77" s="227">
        <v>1</v>
      </c>
      <c r="AB77" s="228">
        <v>1</v>
      </c>
      <c r="AC77" s="258">
        <v>1</v>
      </c>
      <c r="AD77" s="178">
        <v>1</v>
      </c>
      <c r="AE77" s="178">
        <v>1</v>
      </c>
      <c r="AF77" s="178">
        <v>1</v>
      </c>
      <c r="AG77" s="530"/>
      <c r="AH77" s="531"/>
      <c r="AI77" s="178">
        <v>1</v>
      </c>
      <c r="AJ77" s="178">
        <v>1</v>
      </c>
      <c r="AK77" s="178">
        <v>1</v>
      </c>
      <c r="AL77" s="202">
        <v>1</v>
      </c>
      <c r="AM77" s="237">
        <v>1</v>
      </c>
      <c r="AN77" s="238">
        <v>1</v>
      </c>
      <c r="AO77" s="238">
        <v>1</v>
      </c>
      <c r="AP77" s="238">
        <v>1</v>
      </c>
      <c r="AQ77" s="238">
        <v>1</v>
      </c>
      <c r="AR77" s="238">
        <v>1</v>
      </c>
      <c r="AS77" s="238">
        <v>1</v>
      </c>
      <c r="AT77" s="238">
        <v>1</v>
      </c>
      <c r="AU77" s="238">
        <v>1</v>
      </c>
      <c r="AV77" s="273">
        <v>1</v>
      </c>
      <c r="AW77" s="295">
        <v>0</v>
      </c>
      <c r="AX77" s="296">
        <v>0</v>
      </c>
      <c r="AY77" s="296">
        <v>0</v>
      </c>
      <c r="AZ77" s="296">
        <v>0</v>
      </c>
      <c r="BA77" s="296">
        <v>0</v>
      </c>
      <c r="BB77" s="296">
        <v>0</v>
      </c>
      <c r="BC77" s="296">
        <v>0</v>
      </c>
      <c r="BD77" s="296">
        <v>0</v>
      </c>
      <c r="BE77" s="296">
        <v>0</v>
      </c>
      <c r="BF77" s="297">
        <v>0</v>
      </c>
      <c r="BG77" s="214">
        <v>1</v>
      </c>
      <c r="BH77" s="207">
        <v>1</v>
      </c>
      <c r="BI77" s="207">
        <v>0</v>
      </c>
      <c r="BJ77" s="207">
        <v>0</v>
      </c>
      <c r="BK77" s="207">
        <v>0</v>
      </c>
      <c r="BL77" s="207">
        <v>0</v>
      </c>
      <c r="BM77" s="207">
        <v>0</v>
      </c>
      <c r="BN77" s="207">
        <v>0</v>
      </c>
      <c r="BO77" s="207">
        <v>1</v>
      </c>
      <c r="BP77" s="215">
        <v>1</v>
      </c>
      <c r="BQ77" s="249">
        <v>1</v>
      </c>
      <c r="BR77" s="227">
        <v>1</v>
      </c>
      <c r="BS77" s="227">
        <v>1</v>
      </c>
      <c r="BT77" s="227">
        <v>1</v>
      </c>
      <c r="BU77" s="227">
        <v>1</v>
      </c>
      <c r="BV77" s="227">
        <v>1</v>
      </c>
      <c r="BW77" s="227">
        <v>1</v>
      </c>
      <c r="BX77" s="227">
        <v>1</v>
      </c>
      <c r="BY77" s="227">
        <v>1</v>
      </c>
      <c r="BZ77" s="247">
        <v>1</v>
      </c>
      <c r="CA77" s="537"/>
      <c r="CB77" s="538"/>
      <c r="CC77" s="538"/>
      <c r="CD77" s="538"/>
      <c r="CE77" s="538"/>
      <c r="CF77" s="538"/>
      <c r="CG77" s="538"/>
      <c r="CH77" s="538"/>
      <c r="CI77" s="538"/>
      <c r="CJ77" s="539"/>
      <c r="CK77" s="240">
        <v>1</v>
      </c>
      <c r="CL77" s="238">
        <v>1</v>
      </c>
      <c r="CM77" s="238">
        <v>1</v>
      </c>
      <c r="CN77" s="238">
        <v>1</v>
      </c>
      <c r="CO77" s="238">
        <v>1</v>
      </c>
      <c r="CP77" s="238">
        <v>1</v>
      </c>
      <c r="CQ77" s="238">
        <v>1</v>
      </c>
      <c r="CR77" s="238">
        <v>1</v>
      </c>
      <c r="CS77" s="238">
        <v>1</v>
      </c>
      <c r="CT77" s="239">
        <v>1</v>
      </c>
      <c r="CU77" s="295">
        <v>0</v>
      </c>
      <c r="CV77" s="296">
        <v>0</v>
      </c>
      <c r="CW77" s="296">
        <v>1</v>
      </c>
      <c r="CX77" s="296">
        <v>1</v>
      </c>
      <c r="CY77" s="296">
        <v>1</v>
      </c>
      <c r="CZ77" s="296">
        <v>1</v>
      </c>
      <c r="DA77" s="296">
        <v>0</v>
      </c>
      <c r="DB77" s="296">
        <v>0</v>
      </c>
      <c r="DC77" s="296">
        <v>1</v>
      </c>
      <c r="DD77" s="297">
        <v>1</v>
      </c>
      <c r="DE77" s="214">
        <v>1</v>
      </c>
      <c r="DF77" s="207">
        <v>1</v>
      </c>
      <c r="DG77" s="207">
        <v>1</v>
      </c>
      <c r="DH77" s="207">
        <v>1</v>
      </c>
      <c r="DI77" s="207">
        <v>1</v>
      </c>
      <c r="DJ77" s="207">
        <v>1</v>
      </c>
      <c r="DK77" s="207">
        <v>1</v>
      </c>
      <c r="DL77" s="207">
        <v>1</v>
      </c>
      <c r="DM77" s="207">
        <v>1</v>
      </c>
      <c r="DN77" s="215">
        <v>1</v>
      </c>
      <c r="DO77" s="226">
        <v>1</v>
      </c>
      <c r="DP77" s="227">
        <v>1</v>
      </c>
      <c r="DQ77" s="227">
        <v>1</v>
      </c>
      <c r="DR77" s="227">
        <v>1</v>
      </c>
      <c r="DS77" s="227">
        <v>1</v>
      </c>
      <c r="DT77" s="227">
        <v>1</v>
      </c>
      <c r="DU77" s="227">
        <v>1</v>
      </c>
      <c r="DV77" s="227">
        <v>1</v>
      </c>
      <c r="DW77" s="227">
        <v>1</v>
      </c>
      <c r="DX77" s="228">
        <v>1</v>
      </c>
      <c r="DY77" s="307">
        <v>1</v>
      </c>
      <c r="DZ77" s="91">
        <v>1</v>
      </c>
      <c r="EA77" s="91">
        <v>1</v>
      </c>
      <c r="EB77" s="91">
        <v>1</v>
      </c>
      <c r="EC77" s="91">
        <v>1</v>
      </c>
      <c r="ED77" s="91">
        <v>1</v>
      </c>
      <c r="EE77" s="91">
        <v>1</v>
      </c>
      <c r="EF77" s="91">
        <v>1</v>
      </c>
      <c r="EG77" s="91">
        <v>1</v>
      </c>
      <c r="EH77" s="91">
        <v>1</v>
      </c>
      <c r="EI77" s="238">
        <v>1</v>
      </c>
      <c r="EJ77" s="238">
        <v>1</v>
      </c>
      <c r="EK77" s="238">
        <v>1</v>
      </c>
      <c r="EL77" s="238">
        <v>1</v>
      </c>
      <c r="EM77" s="238">
        <v>1</v>
      </c>
      <c r="EN77" s="238">
        <v>1</v>
      </c>
      <c r="EO77" s="238">
        <v>1</v>
      </c>
      <c r="EP77" s="238">
        <v>1</v>
      </c>
      <c r="EQ77" s="238">
        <v>1</v>
      </c>
      <c r="ER77" s="238">
        <v>1</v>
      </c>
      <c r="ES77" s="350">
        <f t="shared" si="36"/>
        <v>10</v>
      </c>
      <c r="ET77" s="350">
        <f t="shared" si="34"/>
        <v>10</v>
      </c>
      <c r="EU77" s="350">
        <f t="shared" si="20"/>
        <v>8</v>
      </c>
      <c r="EV77" s="350">
        <f t="shared" si="35"/>
        <v>10</v>
      </c>
      <c r="EW77" s="350">
        <f t="shared" si="37"/>
        <v>4</v>
      </c>
      <c r="EX77" s="350">
        <f t="shared" si="21"/>
        <v>4</v>
      </c>
      <c r="EY77" s="350">
        <f t="shared" si="22"/>
        <v>10</v>
      </c>
      <c r="EZ77" s="350">
        <f t="shared" si="23"/>
        <v>0</v>
      </c>
      <c r="FA77" s="350">
        <f t="shared" si="24"/>
        <v>10</v>
      </c>
      <c r="FB77" s="350">
        <f t="shared" si="25"/>
        <v>6</v>
      </c>
      <c r="FC77" s="350">
        <f t="shared" si="26"/>
        <v>10</v>
      </c>
      <c r="FD77" s="350">
        <f t="shared" si="27"/>
        <v>10</v>
      </c>
      <c r="FE77" s="350">
        <f t="shared" si="28"/>
        <v>10</v>
      </c>
      <c r="FF77" s="350">
        <f t="shared" si="29"/>
        <v>10</v>
      </c>
      <c r="FG77" s="349">
        <f t="shared" si="33"/>
        <v>75</v>
      </c>
      <c r="FH77" s="319">
        <f t="shared" si="30"/>
        <v>112</v>
      </c>
      <c r="FI77" s="319">
        <f>SUM(I7:ER7)-SUM(ES77:FF77)</f>
        <v>16</v>
      </c>
      <c r="FJ77" s="319">
        <f t="shared" si="31"/>
        <v>128</v>
      </c>
      <c r="FK77" s="7"/>
    </row>
    <row r="78" spans="1:167" ht="15.75" customHeight="1">
      <c r="A78" s="2"/>
      <c r="B78" s="3">
        <f t="shared" si="19"/>
        <v>1</v>
      </c>
      <c r="C78" s="347">
        <v>19</v>
      </c>
      <c r="D78" s="201" t="s">
        <v>242</v>
      </c>
      <c r="E78" s="347"/>
      <c r="F78" s="347"/>
      <c r="G78" s="493">
        <v>45915</v>
      </c>
      <c r="H78" s="494"/>
      <c r="I78" s="214">
        <v>1</v>
      </c>
      <c r="J78" s="207">
        <v>1</v>
      </c>
      <c r="K78" s="207">
        <v>1</v>
      </c>
      <c r="L78" s="207">
        <v>1</v>
      </c>
      <c r="M78" s="207">
        <v>1</v>
      </c>
      <c r="N78" s="207">
        <v>1</v>
      </c>
      <c r="O78" s="207">
        <v>1</v>
      </c>
      <c r="P78" s="207">
        <v>1</v>
      </c>
      <c r="Q78" s="207">
        <v>1</v>
      </c>
      <c r="R78" s="215">
        <v>1</v>
      </c>
      <c r="S78" s="226">
        <v>1</v>
      </c>
      <c r="T78" s="227">
        <v>1</v>
      </c>
      <c r="U78" s="227">
        <v>1</v>
      </c>
      <c r="V78" s="227">
        <v>1</v>
      </c>
      <c r="W78" s="227">
        <v>1</v>
      </c>
      <c r="X78" s="227">
        <v>1</v>
      </c>
      <c r="Y78" s="227">
        <v>1</v>
      </c>
      <c r="Z78" s="227">
        <v>1</v>
      </c>
      <c r="AA78" s="227">
        <v>1</v>
      </c>
      <c r="AB78" s="228">
        <v>1</v>
      </c>
      <c r="AC78" s="258">
        <v>1</v>
      </c>
      <c r="AD78" s="178">
        <v>1</v>
      </c>
      <c r="AE78" s="178">
        <v>1</v>
      </c>
      <c r="AF78" s="178">
        <v>1</v>
      </c>
      <c r="AG78" s="530"/>
      <c r="AH78" s="531"/>
      <c r="AI78" s="178">
        <v>1</v>
      </c>
      <c r="AJ78" s="178">
        <v>1</v>
      </c>
      <c r="AK78" s="178">
        <v>1</v>
      </c>
      <c r="AL78" s="202">
        <v>1</v>
      </c>
      <c r="AM78" s="237">
        <v>1</v>
      </c>
      <c r="AN78" s="238">
        <v>1</v>
      </c>
      <c r="AO78" s="238">
        <v>1</v>
      </c>
      <c r="AP78" s="238">
        <v>1</v>
      </c>
      <c r="AQ78" s="238">
        <v>1</v>
      </c>
      <c r="AR78" s="238">
        <v>1</v>
      </c>
      <c r="AS78" s="238">
        <v>1</v>
      </c>
      <c r="AT78" s="238">
        <v>1</v>
      </c>
      <c r="AU78" s="238">
        <v>1</v>
      </c>
      <c r="AV78" s="273">
        <v>1</v>
      </c>
      <c r="AW78" s="295">
        <v>1</v>
      </c>
      <c r="AX78" s="296">
        <v>1</v>
      </c>
      <c r="AY78" s="296">
        <v>1</v>
      </c>
      <c r="AZ78" s="296">
        <v>1</v>
      </c>
      <c r="BA78" s="296">
        <v>1</v>
      </c>
      <c r="BB78" s="296">
        <v>1</v>
      </c>
      <c r="BC78" s="296">
        <v>1</v>
      </c>
      <c r="BD78" s="296">
        <v>1</v>
      </c>
      <c r="BE78" s="296">
        <v>1</v>
      </c>
      <c r="BF78" s="297">
        <v>1</v>
      </c>
      <c r="BG78" s="214">
        <v>1</v>
      </c>
      <c r="BH78" s="207">
        <v>1</v>
      </c>
      <c r="BI78" s="207">
        <v>1</v>
      </c>
      <c r="BJ78" s="207">
        <v>1</v>
      </c>
      <c r="BK78" s="207">
        <v>1</v>
      </c>
      <c r="BL78" s="207">
        <v>1</v>
      </c>
      <c r="BM78" s="207">
        <v>1</v>
      </c>
      <c r="BN78" s="207">
        <v>1</v>
      </c>
      <c r="BO78" s="207">
        <v>1</v>
      </c>
      <c r="BP78" s="215">
        <v>1</v>
      </c>
      <c r="BQ78" s="249">
        <v>1</v>
      </c>
      <c r="BR78" s="227">
        <v>1</v>
      </c>
      <c r="BS78" s="227">
        <v>1</v>
      </c>
      <c r="BT78" s="227">
        <v>1</v>
      </c>
      <c r="BU78" s="227">
        <v>1</v>
      </c>
      <c r="BV78" s="227">
        <v>1</v>
      </c>
      <c r="BW78" s="227">
        <v>1</v>
      </c>
      <c r="BX78" s="227">
        <v>1</v>
      </c>
      <c r="BY78" s="227">
        <v>1</v>
      </c>
      <c r="BZ78" s="247">
        <v>1</v>
      </c>
      <c r="CA78" s="537"/>
      <c r="CB78" s="538"/>
      <c r="CC78" s="538"/>
      <c r="CD78" s="538"/>
      <c r="CE78" s="538"/>
      <c r="CF78" s="538"/>
      <c r="CG78" s="538"/>
      <c r="CH78" s="538"/>
      <c r="CI78" s="538"/>
      <c r="CJ78" s="539"/>
      <c r="CK78" s="240">
        <v>1</v>
      </c>
      <c r="CL78" s="238">
        <v>1</v>
      </c>
      <c r="CM78" s="238">
        <v>1</v>
      </c>
      <c r="CN78" s="238">
        <v>1</v>
      </c>
      <c r="CO78" s="238">
        <v>1</v>
      </c>
      <c r="CP78" s="238">
        <v>1</v>
      </c>
      <c r="CQ78" s="238">
        <v>1</v>
      </c>
      <c r="CR78" s="238">
        <v>1</v>
      </c>
      <c r="CS78" s="238">
        <v>1</v>
      </c>
      <c r="CT78" s="239">
        <v>1</v>
      </c>
      <c r="CU78" s="295">
        <v>1</v>
      </c>
      <c r="CV78" s="296">
        <v>1</v>
      </c>
      <c r="CW78" s="296">
        <v>1</v>
      </c>
      <c r="CX78" s="296">
        <v>1</v>
      </c>
      <c r="CY78" s="296">
        <v>1</v>
      </c>
      <c r="CZ78" s="296">
        <v>1</v>
      </c>
      <c r="DA78" s="296">
        <v>1</v>
      </c>
      <c r="DB78" s="296">
        <v>1</v>
      </c>
      <c r="DC78" s="296">
        <v>1</v>
      </c>
      <c r="DD78" s="297">
        <v>1</v>
      </c>
      <c r="DE78" s="214">
        <v>1</v>
      </c>
      <c r="DF78" s="207">
        <v>1</v>
      </c>
      <c r="DG78" s="207">
        <v>1</v>
      </c>
      <c r="DH78" s="207">
        <v>1</v>
      </c>
      <c r="DI78" s="207">
        <v>1</v>
      </c>
      <c r="DJ78" s="207">
        <v>1</v>
      </c>
      <c r="DK78" s="207">
        <v>1</v>
      </c>
      <c r="DL78" s="207">
        <v>1</v>
      </c>
      <c r="DM78" s="207">
        <v>1</v>
      </c>
      <c r="DN78" s="215">
        <v>1</v>
      </c>
      <c r="DO78" s="226">
        <v>1</v>
      </c>
      <c r="DP78" s="227">
        <v>1</v>
      </c>
      <c r="DQ78" s="227">
        <v>1</v>
      </c>
      <c r="DR78" s="227">
        <v>1</v>
      </c>
      <c r="DS78" s="227">
        <v>1</v>
      </c>
      <c r="DT78" s="227">
        <v>1</v>
      </c>
      <c r="DU78" s="227">
        <v>1</v>
      </c>
      <c r="DV78" s="227">
        <v>1</v>
      </c>
      <c r="DW78" s="227">
        <v>1</v>
      </c>
      <c r="DX78" s="228">
        <v>1</v>
      </c>
      <c r="DY78" s="307">
        <v>1</v>
      </c>
      <c r="DZ78" s="91">
        <v>1</v>
      </c>
      <c r="EA78" s="91">
        <v>1</v>
      </c>
      <c r="EB78" s="91">
        <v>1</v>
      </c>
      <c r="EC78" s="91">
        <v>1</v>
      </c>
      <c r="ED78" s="91">
        <v>1</v>
      </c>
      <c r="EE78" s="91">
        <v>1</v>
      </c>
      <c r="EF78" s="91">
        <v>1</v>
      </c>
      <c r="EG78" s="91">
        <v>1</v>
      </c>
      <c r="EH78" s="91">
        <v>1</v>
      </c>
      <c r="EI78" s="238">
        <v>1</v>
      </c>
      <c r="EJ78" s="238">
        <v>1</v>
      </c>
      <c r="EK78" s="238">
        <v>1</v>
      </c>
      <c r="EL78" s="238">
        <v>1</v>
      </c>
      <c r="EM78" s="238">
        <v>1</v>
      </c>
      <c r="EN78" s="238">
        <v>1</v>
      </c>
      <c r="EO78" s="238">
        <v>1</v>
      </c>
      <c r="EP78" s="238">
        <v>1</v>
      </c>
      <c r="EQ78" s="238">
        <v>1</v>
      </c>
      <c r="ER78" s="238">
        <v>1</v>
      </c>
      <c r="ES78" s="350">
        <f t="shared" si="36"/>
        <v>0</v>
      </c>
      <c r="ET78" s="350">
        <f t="shared" si="34"/>
        <v>10</v>
      </c>
      <c r="EU78" s="350">
        <f t="shared" si="20"/>
        <v>8</v>
      </c>
      <c r="EV78" s="350">
        <f t="shared" si="35"/>
        <v>10</v>
      </c>
      <c r="EW78" s="350">
        <f t="shared" si="37"/>
        <v>10</v>
      </c>
      <c r="EX78" s="350">
        <f t="shared" si="21"/>
        <v>10</v>
      </c>
      <c r="EY78" s="350">
        <f t="shared" si="22"/>
        <v>10</v>
      </c>
      <c r="EZ78" s="350">
        <f t="shared" si="23"/>
        <v>0</v>
      </c>
      <c r="FA78" s="350">
        <f t="shared" si="24"/>
        <v>10</v>
      </c>
      <c r="FB78" s="350">
        <f t="shared" si="25"/>
        <v>10</v>
      </c>
      <c r="FC78" s="350">
        <f t="shared" si="26"/>
        <v>10</v>
      </c>
      <c r="FD78" s="350">
        <f t="shared" si="27"/>
        <v>10</v>
      </c>
      <c r="FE78" s="350">
        <f t="shared" si="28"/>
        <v>10</v>
      </c>
      <c r="FF78" s="350">
        <f t="shared" si="29"/>
        <v>10</v>
      </c>
      <c r="FG78" s="349">
        <f t="shared" si="33"/>
        <v>76</v>
      </c>
      <c r="FH78" s="319">
        <f t="shared" si="30"/>
        <v>118</v>
      </c>
      <c r="FI78" s="319">
        <f>SUM(I7:ER7)-SUM(ES78:FF78)</f>
        <v>10</v>
      </c>
      <c r="FJ78" s="319">
        <f t="shared" si="31"/>
        <v>128</v>
      </c>
      <c r="FK78" s="7"/>
    </row>
    <row r="79" spans="1:167" ht="15.75" customHeight="1">
      <c r="A79" s="2"/>
      <c r="B79" s="3">
        <f t="shared" si="19"/>
        <v>1</v>
      </c>
      <c r="C79" s="347">
        <v>20</v>
      </c>
      <c r="D79" s="201" t="s">
        <v>243</v>
      </c>
      <c r="E79" s="347"/>
      <c r="F79" s="347"/>
      <c r="G79" s="493">
        <v>45915</v>
      </c>
      <c r="H79" s="494"/>
      <c r="I79" s="214">
        <v>0</v>
      </c>
      <c r="J79" s="207">
        <v>0</v>
      </c>
      <c r="K79" s="207">
        <v>0</v>
      </c>
      <c r="L79" s="207">
        <v>0</v>
      </c>
      <c r="M79" s="207">
        <v>0</v>
      </c>
      <c r="N79" s="207">
        <v>0</v>
      </c>
      <c r="O79" s="207">
        <v>0</v>
      </c>
      <c r="P79" s="207">
        <v>0</v>
      </c>
      <c r="Q79" s="207">
        <v>0</v>
      </c>
      <c r="R79" s="215">
        <v>0</v>
      </c>
      <c r="S79" s="226">
        <v>0</v>
      </c>
      <c r="T79" s="227">
        <v>0</v>
      </c>
      <c r="U79" s="227">
        <v>1</v>
      </c>
      <c r="V79" s="227">
        <v>1</v>
      </c>
      <c r="W79" s="227">
        <v>1</v>
      </c>
      <c r="X79" s="227">
        <v>1</v>
      </c>
      <c r="Y79" s="227">
        <v>1</v>
      </c>
      <c r="Z79" s="227">
        <v>1</v>
      </c>
      <c r="AA79" s="227">
        <v>1</v>
      </c>
      <c r="AB79" s="228">
        <v>1</v>
      </c>
      <c r="AC79" s="258">
        <v>1</v>
      </c>
      <c r="AD79" s="178">
        <v>1</v>
      </c>
      <c r="AE79" s="178">
        <v>1</v>
      </c>
      <c r="AF79" s="178">
        <v>1</v>
      </c>
      <c r="AG79" s="530"/>
      <c r="AH79" s="531"/>
      <c r="AI79" s="178">
        <v>1</v>
      </c>
      <c r="AJ79" s="178">
        <v>1</v>
      </c>
      <c r="AK79" s="178">
        <v>1</v>
      </c>
      <c r="AL79" s="202">
        <v>1</v>
      </c>
      <c r="AM79" s="237">
        <v>1</v>
      </c>
      <c r="AN79" s="238">
        <v>1</v>
      </c>
      <c r="AO79" s="238">
        <v>1</v>
      </c>
      <c r="AP79" s="238">
        <v>1</v>
      </c>
      <c r="AQ79" s="238">
        <v>1</v>
      </c>
      <c r="AR79" s="238">
        <v>1</v>
      </c>
      <c r="AS79" s="238">
        <v>1</v>
      </c>
      <c r="AT79" s="238">
        <v>1</v>
      </c>
      <c r="AU79" s="238">
        <v>1</v>
      </c>
      <c r="AV79" s="273">
        <v>1</v>
      </c>
      <c r="AW79" s="295">
        <v>1</v>
      </c>
      <c r="AX79" s="296">
        <v>1</v>
      </c>
      <c r="AY79" s="296">
        <v>1</v>
      </c>
      <c r="AZ79" s="296">
        <v>1</v>
      </c>
      <c r="BA79" s="296">
        <v>1</v>
      </c>
      <c r="BB79" s="296">
        <v>1</v>
      </c>
      <c r="BC79" s="296">
        <v>1</v>
      </c>
      <c r="BD79" s="296">
        <v>1</v>
      </c>
      <c r="BE79" s="296">
        <v>1</v>
      </c>
      <c r="BF79" s="297">
        <v>1</v>
      </c>
      <c r="BG79" s="214">
        <v>1</v>
      </c>
      <c r="BH79" s="207">
        <v>1</v>
      </c>
      <c r="BI79" s="207">
        <v>1</v>
      </c>
      <c r="BJ79" s="207">
        <v>1</v>
      </c>
      <c r="BK79" s="207">
        <v>1</v>
      </c>
      <c r="BL79" s="207">
        <v>1</v>
      </c>
      <c r="BM79" s="207">
        <v>1</v>
      </c>
      <c r="BN79" s="207">
        <v>1</v>
      </c>
      <c r="BO79" s="207">
        <v>1</v>
      </c>
      <c r="BP79" s="215">
        <v>1</v>
      </c>
      <c r="BQ79" s="249">
        <v>1</v>
      </c>
      <c r="BR79" s="227">
        <v>1</v>
      </c>
      <c r="BS79" s="227">
        <v>1</v>
      </c>
      <c r="BT79" s="227">
        <v>1</v>
      </c>
      <c r="BU79" s="227">
        <v>1</v>
      </c>
      <c r="BV79" s="227">
        <v>1</v>
      </c>
      <c r="BW79" s="227">
        <v>1</v>
      </c>
      <c r="BX79" s="227">
        <v>1</v>
      </c>
      <c r="BY79" s="227">
        <v>1</v>
      </c>
      <c r="BZ79" s="247">
        <v>1</v>
      </c>
      <c r="CA79" s="537"/>
      <c r="CB79" s="538"/>
      <c r="CC79" s="538"/>
      <c r="CD79" s="538"/>
      <c r="CE79" s="538"/>
      <c r="CF79" s="538"/>
      <c r="CG79" s="538"/>
      <c r="CH79" s="538"/>
      <c r="CI79" s="538"/>
      <c r="CJ79" s="539"/>
      <c r="CK79" s="240">
        <v>1</v>
      </c>
      <c r="CL79" s="238">
        <v>1</v>
      </c>
      <c r="CM79" s="238">
        <v>1</v>
      </c>
      <c r="CN79" s="238">
        <v>1</v>
      </c>
      <c r="CO79" s="238">
        <v>1</v>
      </c>
      <c r="CP79" s="238">
        <v>1</v>
      </c>
      <c r="CQ79" s="238">
        <v>1</v>
      </c>
      <c r="CR79" s="238">
        <v>1</v>
      </c>
      <c r="CS79" s="238">
        <v>1</v>
      </c>
      <c r="CT79" s="239">
        <v>1</v>
      </c>
      <c r="CU79" s="295">
        <v>1</v>
      </c>
      <c r="CV79" s="296">
        <v>1</v>
      </c>
      <c r="CW79" s="296">
        <v>1</v>
      </c>
      <c r="CX79" s="296">
        <v>1</v>
      </c>
      <c r="CY79" s="296">
        <v>1</v>
      </c>
      <c r="CZ79" s="296">
        <v>1</v>
      </c>
      <c r="DA79" s="296">
        <v>1</v>
      </c>
      <c r="DB79" s="296">
        <v>1</v>
      </c>
      <c r="DC79" s="296">
        <v>1</v>
      </c>
      <c r="DD79" s="297">
        <v>1</v>
      </c>
      <c r="DE79" s="214">
        <v>1</v>
      </c>
      <c r="DF79" s="207">
        <v>1</v>
      </c>
      <c r="DG79" s="207">
        <v>1</v>
      </c>
      <c r="DH79" s="207">
        <v>1</v>
      </c>
      <c r="DI79" s="207">
        <v>1</v>
      </c>
      <c r="DJ79" s="207">
        <v>1</v>
      </c>
      <c r="DK79" s="207">
        <v>1</v>
      </c>
      <c r="DL79" s="207">
        <v>1</v>
      </c>
      <c r="DM79" s="207">
        <v>1</v>
      </c>
      <c r="DN79" s="215">
        <v>1</v>
      </c>
      <c r="DO79" s="226">
        <v>1</v>
      </c>
      <c r="DP79" s="227">
        <v>1</v>
      </c>
      <c r="DQ79" s="227">
        <v>1</v>
      </c>
      <c r="DR79" s="227">
        <v>1</v>
      </c>
      <c r="DS79" s="227">
        <v>1</v>
      </c>
      <c r="DT79" s="227">
        <v>1</v>
      </c>
      <c r="DU79" s="227">
        <v>1</v>
      </c>
      <c r="DV79" s="227">
        <v>1</v>
      </c>
      <c r="DW79" s="227">
        <v>1</v>
      </c>
      <c r="DX79" s="228">
        <v>1</v>
      </c>
      <c r="DY79" s="307">
        <v>1</v>
      </c>
      <c r="DZ79" s="91">
        <v>1</v>
      </c>
      <c r="EA79" s="91">
        <v>1</v>
      </c>
      <c r="EB79" s="91">
        <v>1</v>
      </c>
      <c r="EC79" s="91">
        <v>1</v>
      </c>
      <c r="ED79" s="91">
        <v>1</v>
      </c>
      <c r="EE79" s="91">
        <v>1</v>
      </c>
      <c r="EF79" s="91">
        <v>1</v>
      </c>
      <c r="EG79" s="91">
        <v>1</v>
      </c>
      <c r="EH79" s="91">
        <v>1</v>
      </c>
      <c r="EI79" s="238">
        <v>1</v>
      </c>
      <c r="EJ79" s="238">
        <v>1</v>
      </c>
      <c r="EK79" s="238">
        <v>1</v>
      </c>
      <c r="EL79" s="238">
        <v>1</v>
      </c>
      <c r="EM79" s="238">
        <v>1</v>
      </c>
      <c r="EN79" s="238">
        <v>1</v>
      </c>
      <c r="EO79" s="238">
        <v>1</v>
      </c>
      <c r="EP79" s="238">
        <v>1</v>
      </c>
      <c r="EQ79" s="238">
        <v>1</v>
      </c>
      <c r="ER79" s="238">
        <v>1</v>
      </c>
      <c r="ES79" s="350">
        <f t="shared" si="36"/>
        <v>10</v>
      </c>
      <c r="ET79" s="350">
        <f t="shared" si="34"/>
        <v>8</v>
      </c>
      <c r="EU79" s="350">
        <f t="shared" si="20"/>
        <v>8</v>
      </c>
      <c r="EV79" s="350">
        <f t="shared" si="35"/>
        <v>10</v>
      </c>
      <c r="EW79" s="350">
        <f t="shared" si="37"/>
        <v>10</v>
      </c>
      <c r="EX79" s="350">
        <f t="shared" si="21"/>
        <v>10</v>
      </c>
      <c r="EY79" s="350">
        <f t="shared" si="22"/>
        <v>10</v>
      </c>
      <c r="EZ79" s="350">
        <f t="shared" si="23"/>
        <v>0</v>
      </c>
      <c r="FA79" s="350">
        <f t="shared" si="24"/>
        <v>10</v>
      </c>
      <c r="FB79" s="350">
        <f t="shared" si="25"/>
        <v>10</v>
      </c>
      <c r="FC79" s="350">
        <f t="shared" si="26"/>
        <v>10</v>
      </c>
      <c r="FD79" s="350">
        <f t="shared" si="27"/>
        <v>10</v>
      </c>
      <c r="FE79" s="350">
        <f t="shared" si="28"/>
        <v>10</v>
      </c>
      <c r="FF79" s="350">
        <f t="shared" si="29"/>
        <v>10</v>
      </c>
      <c r="FG79" s="349">
        <f t="shared" si="33"/>
        <v>77</v>
      </c>
      <c r="FH79" s="319">
        <f t="shared" si="30"/>
        <v>126</v>
      </c>
      <c r="FI79" s="319">
        <f>SUM(I7:ER7)-SUM(ES79:FF79)</f>
        <v>2</v>
      </c>
      <c r="FJ79" s="319">
        <f t="shared" si="31"/>
        <v>128</v>
      </c>
      <c r="FK79" s="7"/>
    </row>
    <row r="80" spans="1:167" ht="15.75" customHeight="1">
      <c r="A80" s="2"/>
      <c r="B80" s="3">
        <f t="shared" si="19"/>
        <v>1</v>
      </c>
      <c r="C80" s="347">
        <v>21</v>
      </c>
      <c r="D80" s="201" t="s">
        <v>244</v>
      </c>
      <c r="E80" s="347"/>
      <c r="F80" s="347"/>
      <c r="G80" s="493">
        <v>45915</v>
      </c>
      <c r="H80" s="494"/>
      <c r="I80" s="214">
        <v>1</v>
      </c>
      <c r="J80" s="207">
        <v>1</v>
      </c>
      <c r="K80" s="207">
        <v>1</v>
      </c>
      <c r="L80" s="207">
        <v>1</v>
      </c>
      <c r="M80" s="207">
        <v>1</v>
      </c>
      <c r="N80" s="207">
        <v>1</v>
      </c>
      <c r="O80" s="207">
        <v>1</v>
      </c>
      <c r="P80" s="207">
        <v>1</v>
      </c>
      <c r="Q80" s="207">
        <v>1</v>
      </c>
      <c r="R80" s="215">
        <v>1</v>
      </c>
      <c r="S80" s="226">
        <v>1</v>
      </c>
      <c r="T80" s="227">
        <v>1</v>
      </c>
      <c r="U80" s="227">
        <v>1</v>
      </c>
      <c r="V80" s="227">
        <v>1</v>
      </c>
      <c r="W80" s="227">
        <v>1</v>
      </c>
      <c r="X80" s="227">
        <v>1</v>
      </c>
      <c r="Y80" s="227">
        <v>1</v>
      </c>
      <c r="Z80" s="227">
        <v>1</v>
      </c>
      <c r="AA80" s="227">
        <v>1</v>
      </c>
      <c r="AB80" s="228">
        <v>1</v>
      </c>
      <c r="AC80" s="258">
        <v>1</v>
      </c>
      <c r="AD80" s="178">
        <v>1</v>
      </c>
      <c r="AE80" s="178">
        <v>1</v>
      </c>
      <c r="AF80" s="178">
        <v>1</v>
      </c>
      <c r="AG80" s="530"/>
      <c r="AH80" s="531"/>
      <c r="AI80" s="178">
        <v>1</v>
      </c>
      <c r="AJ80" s="178">
        <v>1</v>
      </c>
      <c r="AK80" s="178">
        <v>1</v>
      </c>
      <c r="AL80" s="202">
        <v>1</v>
      </c>
      <c r="AM80" s="237">
        <v>1</v>
      </c>
      <c r="AN80" s="238">
        <v>1</v>
      </c>
      <c r="AO80" s="238">
        <v>1</v>
      </c>
      <c r="AP80" s="238">
        <v>1</v>
      </c>
      <c r="AQ80" s="238">
        <v>1</v>
      </c>
      <c r="AR80" s="238">
        <v>1</v>
      </c>
      <c r="AS80" s="238">
        <v>1</v>
      </c>
      <c r="AT80" s="238">
        <v>1</v>
      </c>
      <c r="AU80" s="238">
        <v>1</v>
      </c>
      <c r="AV80" s="273">
        <v>1</v>
      </c>
      <c r="AW80" s="295">
        <v>1</v>
      </c>
      <c r="AX80" s="296">
        <v>1</v>
      </c>
      <c r="AY80" s="296">
        <v>1</v>
      </c>
      <c r="AZ80" s="296">
        <v>1</v>
      </c>
      <c r="BA80" s="296">
        <v>1</v>
      </c>
      <c r="BB80" s="296">
        <v>1</v>
      </c>
      <c r="BC80" s="296">
        <v>1</v>
      </c>
      <c r="BD80" s="296">
        <v>1</v>
      </c>
      <c r="BE80" s="296">
        <v>1</v>
      </c>
      <c r="BF80" s="297">
        <v>1</v>
      </c>
      <c r="BG80" s="214">
        <v>1</v>
      </c>
      <c r="BH80" s="207">
        <v>1</v>
      </c>
      <c r="BI80" s="207">
        <v>1</v>
      </c>
      <c r="BJ80" s="207">
        <v>1</v>
      </c>
      <c r="BK80" s="207">
        <v>1</v>
      </c>
      <c r="BL80" s="207">
        <v>1</v>
      </c>
      <c r="BM80" s="207">
        <v>1</v>
      </c>
      <c r="BN80" s="207">
        <v>1</v>
      </c>
      <c r="BO80" s="207">
        <v>1</v>
      </c>
      <c r="BP80" s="215">
        <v>1</v>
      </c>
      <c r="BQ80" s="249">
        <v>1</v>
      </c>
      <c r="BR80" s="227">
        <v>1</v>
      </c>
      <c r="BS80" s="227">
        <v>1</v>
      </c>
      <c r="BT80" s="227">
        <v>1</v>
      </c>
      <c r="BU80" s="227">
        <v>1</v>
      </c>
      <c r="BV80" s="227">
        <v>1</v>
      </c>
      <c r="BW80" s="227">
        <v>1</v>
      </c>
      <c r="BX80" s="227">
        <v>1</v>
      </c>
      <c r="BY80" s="227">
        <v>1</v>
      </c>
      <c r="BZ80" s="247">
        <v>1</v>
      </c>
      <c r="CA80" s="537"/>
      <c r="CB80" s="538"/>
      <c r="CC80" s="538"/>
      <c r="CD80" s="538"/>
      <c r="CE80" s="538"/>
      <c r="CF80" s="538"/>
      <c r="CG80" s="538"/>
      <c r="CH80" s="538"/>
      <c r="CI80" s="538"/>
      <c r="CJ80" s="539"/>
      <c r="CK80" s="240">
        <v>1</v>
      </c>
      <c r="CL80" s="238">
        <v>1</v>
      </c>
      <c r="CM80" s="238">
        <v>1</v>
      </c>
      <c r="CN80" s="238">
        <v>1</v>
      </c>
      <c r="CO80" s="238">
        <v>1</v>
      </c>
      <c r="CP80" s="238">
        <v>1</v>
      </c>
      <c r="CQ80" s="238">
        <v>1</v>
      </c>
      <c r="CR80" s="238">
        <v>1</v>
      </c>
      <c r="CS80" s="238">
        <v>1</v>
      </c>
      <c r="CT80" s="239">
        <v>1</v>
      </c>
      <c r="CU80" s="295">
        <v>1</v>
      </c>
      <c r="CV80" s="296">
        <v>1</v>
      </c>
      <c r="CW80" s="296">
        <v>1</v>
      </c>
      <c r="CX80" s="296">
        <v>1</v>
      </c>
      <c r="CY80" s="296">
        <v>1</v>
      </c>
      <c r="CZ80" s="296">
        <v>1</v>
      </c>
      <c r="DA80" s="296">
        <v>1</v>
      </c>
      <c r="DB80" s="296">
        <v>1</v>
      </c>
      <c r="DC80" s="296">
        <v>1</v>
      </c>
      <c r="DD80" s="297">
        <v>1</v>
      </c>
      <c r="DE80" s="214">
        <v>1</v>
      </c>
      <c r="DF80" s="207">
        <v>1</v>
      </c>
      <c r="DG80" s="207">
        <v>1</v>
      </c>
      <c r="DH80" s="207">
        <v>1</v>
      </c>
      <c r="DI80" s="207">
        <v>1</v>
      </c>
      <c r="DJ80" s="207">
        <v>1</v>
      </c>
      <c r="DK80" s="207">
        <v>1</v>
      </c>
      <c r="DL80" s="207">
        <v>1</v>
      </c>
      <c r="DM80" s="207">
        <v>1</v>
      </c>
      <c r="DN80" s="215">
        <v>1</v>
      </c>
      <c r="DO80" s="226">
        <v>1</v>
      </c>
      <c r="DP80" s="227">
        <v>1</v>
      </c>
      <c r="DQ80" s="227">
        <v>1</v>
      </c>
      <c r="DR80" s="227">
        <v>1</v>
      </c>
      <c r="DS80" s="227">
        <v>1</v>
      </c>
      <c r="DT80" s="227">
        <v>1</v>
      </c>
      <c r="DU80" s="227">
        <v>1</v>
      </c>
      <c r="DV80" s="227">
        <v>1</v>
      </c>
      <c r="DW80" s="227">
        <v>1</v>
      </c>
      <c r="DX80" s="228">
        <v>1</v>
      </c>
      <c r="DY80" s="307">
        <v>1</v>
      </c>
      <c r="DZ80" s="91">
        <v>1</v>
      </c>
      <c r="EA80" s="91">
        <v>1</v>
      </c>
      <c r="EB80" s="91">
        <v>1</v>
      </c>
      <c r="EC80" s="91">
        <v>1</v>
      </c>
      <c r="ED80" s="91">
        <v>1</v>
      </c>
      <c r="EE80" s="91">
        <v>1</v>
      </c>
      <c r="EF80" s="91">
        <v>1</v>
      </c>
      <c r="EG80" s="91">
        <v>1</v>
      </c>
      <c r="EH80" s="91">
        <v>1</v>
      </c>
      <c r="EI80" s="238">
        <v>1</v>
      </c>
      <c r="EJ80" s="238">
        <v>1</v>
      </c>
      <c r="EK80" s="238">
        <v>1</v>
      </c>
      <c r="EL80" s="238">
        <v>1</v>
      </c>
      <c r="EM80" s="238">
        <v>1</v>
      </c>
      <c r="EN80" s="238">
        <v>1</v>
      </c>
      <c r="EO80" s="238">
        <v>1</v>
      </c>
      <c r="EP80" s="238">
        <v>1</v>
      </c>
      <c r="EQ80" s="238">
        <v>1</v>
      </c>
      <c r="ER80" s="238">
        <v>1</v>
      </c>
      <c r="ES80" s="350">
        <f t="shared" si="36"/>
        <v>0</v>
      </c>
      <c r="ET80" s="350">
        <f t="shared" si="34"/>
        <v>10</v>
      </c>
      <c r="EU80" s="350">
        <f t="shared" si="20"/>
        <v>8</v>
      </c>
      <c r="EV80" s="350">
        <f t="shared" si="35"/>
        <v>10</v>
      </c>
      <c r="EW80" s="350">
        <f t="shared" si="37"/>
        <v>10</v>
      </c>
      <c r="EX80" s="350">
        <f t="shared" si="21"/>
        <v>10</v>
      </c>
      <c r="EY80" s="350">
        <f t="shared" si="22"/>
        <v>10</v>
      </c>
      <c r="EZ80" s="350">
        <f t="shared" si="23"/>
        <v>0</v>
      </c>
      <c r="FA80" s="350">
        <f t="shared" si="24"/>
        <v>10</v>
      </c>
      <c r="FB80" s="350">
        <f t="shared" si="25"/>
        <v>10</v>
      </c>
      <c r="FC80" s="350">
        <f t="shared" si="26"/>
        <v>10</v>
      </c>
      <c r="FD80" s="350">
        <f t="shared" si="27"/>
        <v>10</v>
      </c>
      <c r="FE80" s="350">
        <f t="shared" si="28"/>
        <v>10</v>
      </c>
      <c r="FF80" s="350">
        <f t="shared" si="29"/>
        <v>10</v>
      </c>
      <c r="FG80" s="349">
        <f t="shared" si="33"/>
        <v>78</v>
      </c>
      <c r="FH80" s="319">
        <f t="shared" si="30"/>
        <v>118</v>
      </c>
      <c r="FI80" s="319">
        <f>SUM(I7:ER7)-SUM(ES80:FF80)</f>
        <v>10</v>
      </c>
      <c r="FJ80" s="319">
        <f t="shared" si="31"/>
        <v>128</v>
      </c>
      <c r="FK80" s="7"/>
    </row>
    <row r="81" spans="1:167" ht="15.75" customHeight="1">
      <c r="A81" s="2"/>
      <c r="B81" s="3">
        <f t="shared" si="19"/>
        <v>1</v>
      </c>
      <c r="C81" s="347">
        <v>22</v>
      </c>
      <c r="D81" s="201" t="s">
        <v>245</v>
      </c>
      <c r="E81" s="347"/>
      <c r="F81" s="347"/>
      <c r="G81" s="493">
        <v>45915</v>
      </c>
      <c r="H81" s="494"/>
      <c r="I81" s="214">
        <v>0</v>
      </c>
      <c r="J81" s="207">
        <v>0</v>
      </c>
      <c r="K81" s="207">
        <v>0</v>
      </c>
      <c r="L81" s="207">
        <v>0</v>
      </c>
      <c r="M81" s="207">
        <v>0</v>
      </c>
      <c r="N81" s="207">
        <v>0</v>
      </c>
      <c r="O81" s="207">
        <v>0</v>
      </c>
      <c r="P81" s="207">
        <v>0</v>
      </c>
      <c r="Q81" s="207">
        <v>0</v>
      </c>
      <c r="R81" s="215">
        <v>0</v>
      </c>
      <c r="S81" s="226">
        <v>1</v>
      </c>
      <c r="T81" s="227">
        <v>1</v>
      </c>
      <c r="U81" s="227">
        <v>1</v>
      </c>
      <c r="V81" s="227">
        <v>1</v>
      </c>
      <c r="W81" s="227">
        <v>1</v>
      </c>
      <c r="X81" s="227">
        <v>1</v>
      </c>
      <c r="Y81" s="227">
        <v>1</v>
      </c>
      <c r="Z81" s="227">
        <v>1</v>
      </c>
      <c r="AA81" s="227">
        <v>1</v>
      </c>
      <c r="AB81" s="228">
        <v>1</v>
      </c>
      <c r="AC81" s="258">
        <v>1</v>
      </c>
      <c r="AD81" s="178">
        <v>1</v>
      </c>
      <c r="AE81" s="178">
        <v>1</v>
      </c>
      <c r="AF81" s="178">
        <v>1</v>
      </c>
      <c r="AG81" s="530"/>
      <c r="AH81" s="531"/>
      <c r="AI81" s="178">
        <v>1</v>
      </c>
      <c r="AJ81" s="178">
        <v>1</v>
      </c>
      <c r="AK81" s="178">
        <v>1</v>
      </c>
      <c r="AL81" s="202">
        <v>1</v>
      </c>
      <c r="AM81" s="237">
        <v>0</v>
      </c>
      <c r="AN81" s="238">
        <v>0</v>
      </c>
      <c r="AO81" s="238">
        <v>1</v>
      </c>
      <c r="AP81" s="238">
        <v>1</v>
      </c>
      <c r="AQ81" s="238">
        <v>1</v>
      </c>
      <c r="AR81" s="238">
        <v>1</v>
      </c>
      <c r="AS81" s="238">
        <v>1</v>
      </c>
      <c r="AT81" s="238">
        <v>1</v>
      </c>
      <c r="AU81" s="238">
        <v>1</v>
      </c>
      <c r="AV81" s="273">
        <v>1</v>
      </c>
      <c r="AW81" s="295">
        <v>1</v>
      </c>
      <c r="AX81" s="296">
        <v>1</v>
      </c>
      <c r="AY81" s="296">
        <v>1</v>
      </c>
      <c r="AZ81" s="296">
        <v>1</v>
      </c>
      <c r="BA81" s="296">
        <v>1</v>
      </c>
      <c r="BB81" s="296">
        <v>1</v>
      </c>
      <c r="BC81" s="296">
        <v>1</v>
      </c>
      <c r="BD81" s="296">
        <v>1</v>
      </c>
      <c r="BE81" s="296">
        <v>1</v>
      </c>
      <c r="BF81" s="297">
        <v>1</v>
      </c>
      <c r="BG81" s="214">
        <v>1</v>
      </c>
      <c r="BH81" s="207">
        <v>1</v>
      </c>
      <c r="BI81" s="207">
        <v>1</v>
      </c>
      <c r="BJ81" s="207">
        <v>1</v>
      </c>
      <c r="BK81" s="207">
        <v>1</v>
      </c>
      <c r="BL81" s="207">
        <v>1</v>
      </c>
      <c r="BM81" s="207">
        <v>1</v>
      </c>
      <c r="BN81" s="207">
        <v>1</v>
      </c>
      <c r="BO81" s="207">
        <v>1</v>
      </c>
      <c r="BP81" s="215">
        <v>1</v>
      </c>
      <c r="BQ81" s="249">
        <v>1</v>
      </c>
      <c r="BR81" s="227">
        <v>1</v>
      </c>
      <c r="BS81" s="227">
        <v>1</v>
      </c>
      <c r="BT81" s="227">
        <v>1</v>
      </c>
      <c r="BU81" s="227">
        <v>1</v>
      </c>
      <c r="BV81" s="227">
        <v>1</v>
      </c>
      <c r="BW81" s="227">
        <v>1</v>
      </c>
      <c r="BX81" s="227">
        <v>1</v>
      </c>
      <c r="BY81" s="227">
        <v>1</v>
      </c>
      <c r="BZ81" s="247">
        <v>1</v>
      </c>
      <c r="CA81" s="537"/>
      <c r="CB81" s="538"/>
      <c r="CC81" s="538"/>
      <c r="CD81" s="538"/>
      <c r="CE81" s="538"/>
      <c r="CF81" s="538"/>
      <c r="CG81" s="538"/>
      <c r="CH81" s="538"/>
      <c r="CI81" s="538"/>
      <c r="CJ81" s="539"/>
      <c r="CK81" s="240">
        <v>1</v>
      </c>
      <c r="CL81" s="238">
        <v>1</v>
      </c>
      <c r="CM81" s="238">
        <v>1</v>
      </c>
      <c r="CN81" s="238">
        <v>1</v>
      </c>
      <c r="CO81" s="238">
        <v>1</v>
      </c>
      <c r="CP81" s="238">
        <v>1</v>
      </c>
      <c r="CQ81" s="238">
        <v>0</v>
      </c>
      <c r="CR81" s="238">
        <v>0</v>
      </c>
      <c r="CS81" s="238">
        <v>0</v>
      </c>
      <c r="CT81" s="239">
        <v>0</v>
      </c>
      <c r="CU81" s="295">
        <v>1</v>
      </c>
      <c r="CV81" s="296">
        <v>1</v>
      </c>
      <c r="CW81" s="296">
        <v>1</v>
      </c>
      <c r="CX81" s="296">
        <v>1</v>
      </c>
      <c r="CY81" s="296">
        <v>1</v>
      </c>
      <c r="CZ81" s="296">
        <v>1</v>
      </c>
      <c r="DA81" s="296">
        <v>1</v>
      </c>
      <c r="DB81" s="296">
        <v>1</v>
      </c>
      <c r="DC81" s="296">
        <v>1</v>
      </c>
      <c r="DD81" s="297">
        <v>1</v>
      </c>
      <c r="DE81" s="214">
        <v>1</v>
      </c>
      <c r="DF81" s="207">
        <v>1</v>
      </c>
      <c r="DG81" s="207">
        <v>1</v>
      </c>
      <c r="DH81" s="207">
        <v>1</v>
      </c>
      <c r="DI81" s="207">
        <v>1</v>
      </c>
      <c r="DJ81" s="207">
        <v>1</v>
      </c>
      <c r="DK81" s="207">
        <v>1</v>
      </c>
      <c r="DL81" s="207">
        <v>1</v>
      </c>
      <c r="DM81" s="207">
        <v>1</v>
      </c>
      <c r="DN81" s="215">
        <v>1</v>
      </c>
      <c r="DO81" s="226">
        <v>1</v>
      </c>
      <c r="DP81" s="227">
        <v>1</v>
      </c>
      <c r="DQ81" s="227">
        <v>1</v>
      </c>
      <c r="DR81" s="227">
        <v>1</v>
      </c>
      <c r="DS81" s="227">
        <v>1</v>
      </c>
      <c r="DT81" s="227">
        <v>1</v>
      </c>
      <c r="DU81" s="227">
        <v>1</v>
      </c>
      <c r="DV81" s="227">
        <v>1</v>
      </c>
      <c r="DW81" s="227">
        <v>1</v>
      </c>
      <c r="DX81" s="228">
        <v>1</v>
      </c>
      <c r="DY81" s="307">
        <v>1</v>
      </c>
      <c r="DZ81" s="91">
        <v>1</v>
      </c>
      <c r="EA81" s="91">
        <v>1</v>
      </c>
      <c r="EB81" s="91">
        <v>1</v>
      </c>
      <c r="EC81" s="91">
        <v>1</v>
      </c>
      <c r="ED81" s="91">
        <v>1</v>
      </c>
      <c r="EE81" s="91">
        <v>1</v>
      </c>
      <c r="EF81" s="91">
        <v>1</v>
      </c>
      <c r="EG81" s="91">
        <v>1</v>
      </c>
      <c r="EH81" s="91">
        <v>1</v>
      </c>
      <c r="EI81" s="238">
        <v>1</v>
      </c>
      <c r="EJ81" s="238">
        <v>1</v>
      </c>
      <c r="EK81" s="238">
        <v>1</v>
      </c>
      <c r="EL81" s="238">
        <v>1</v>
      </c>
      <c r="EM81" s="238">
        <v>1</v>
      </c>
      <c r="EN81" s="238">
        <v>1</v>
      </c>
      <c r="EO81" s="238">
        <v>1</v>
      </c>
      <c r="EP81" s="238">
        <v>1</v>
      </c>
      <c r="EQ81" s="238">
        <v>1</v>
      </c>
      <c r="ER81" s="238">
        <v>1</v>
      </c>
      <c r="ES81" s="350">
        <f t="shared" si="36"/>
        <v>10</v>
      </c>
      <c r="ET81" s="350">
        <f t="shared" si="34"/>
        <v>10</v>
      </c>
      <c r="EU81" s="350">
        <f t="shared" si="20"/>
        <v>8</v>
      </c>
      <c r="EV81" s="350">
        <f t="shared" si="35"/>
        <v>8</v>
      </c>
      <c r="EW81" s="350">
        <f t="shared" si="37"/>
        <v>10</v>
      </c>
      <c r="EX81" s="350">
        <f t="shared" si="21"/>
        <v>10</v>
      </c>
      <c r="EY81" s="350">
        <f t="shared" si="22"/>
        <v>10</v>
      </c>
      <c r="EZ81" s="350">
        <f t="shared" si="23"/>
        <v>0</v>
      </c>
      <c r="FA81" s="350">
        <f t="shared" si="24"/>
        <v>6</v>
      </c>
      <c r="FB81" s="350">
        <f t="shared" si="25"/>
        <v>10</v>
      </c>
      <c r="FC81" s="350">
        <f t="shared" si="26"/>
        <v>10</v>
      </c>
      <c r="FD81" s="350">
        <f t="shared" si="27"/>
        <v>10</v>
      </c>
      <c r="FE81" s="350">
        <f t="shared" si="28"/>
        <v>10</v>
      </c>
      <c r="FF81" s="350">
        <f t="shared" si="29"/>
        <v>10</v>
      </c>
      <c r="FG81" s="349">
        <f t="shared" si="33"/>
        <v>79</v>
      </c>
      <c r="FH81" s="319">
        <f t="shared" si="30"/>
        <v>122</v>
      </c>
      <c r="FI81" s="319">
        <f>SUM(I7:ER7)-SUM(ES81:FF81)</f>
        <v>6</v>
      </c>
      <c r="FJ81" s="319">
        <f t="shared" si="31"/>
        <v>128</v>
      </c>
      <c r="FK81" s="7"/>
    </row>
    <row r="82" spans="1:167" ht="15.75" customHeight="1">
      <c r="A82" s="2"/>
      <c r="B82" s="3">
        <f t="shared" si="19"/>
        <v>1</v>
      </c>
      <c r="C82" s="347">
        <v>23</v>
      </c>
      <c r="D82" s="201" t="s">
        <v>246</v>
      </c>
      <c r="E82" s="347"/>
      <c r="F82" s="347"/>
      <c r="G82" s="493">
        <v>45915</v>
      </c>
      <c r="H82" s="494"/>
      <c r="I82" s="214">
        <v>1</v>
      </c>
      <c r="J82" s="207">
        <v>1</v>
      </c>
      <c r="K82" s="207">
        <v>1</v>
      </c>
      <c r="L82" s="207">
        <v>1</v>
      </c>
      <c r="M82" s="207">
        <v>1</v>
      </c>
      <c r="N82" s="207">
        <v>1</v>
      </c>
      <c r="O82" s="207">
        <v>1</v>
      </c>
      <c r="P82" s="207">
        <v>1</v>
      </c>
      <c r="Q82" s="207">
        <v>1</v>
      </c>
      <c r="R82" s="215">
        <v>1</v>
      </c>
      <c r="S82" s="226">
        <v>1</v>
      </c>
      <c r="T82" s="227">
        <v>1</v>
      </c>
      <c r="U82" s="227">
        <v>1</v>
      </c>
      <c r="V82" s="227">
        <v>1</v>
      </c>
      <c r="W82" s="227">
        <v>0</v>
      </c>
      <c r="X82" s="227">
        <v>0</v>
      </c>
      <c r="Y82" s="227">
        <v>1</v>
      </c>
      <c r="Z82" s="227">
        <v>1</v>
      </c>
      <c r="AA82" s="227">
        <v>1</v>
      </c>
      <c r="AB82" s="228">
        <v>1</v>
      </c>
      <c r="AC82" s="258">
        <v>1</v>
      </c>
      <c r="AD82" s="178">
        <v>1</v>
      </c>
      <c r="AE82" s="178">
        <v>1</v>
      </c>
      <c r="AF82" s="178">
        <v>1</v>
      </c>
      <c r="AG82" s="530"/>
      <c r="AH82" s="531"/>
      <c r="AI82" s="178">
        <v>1</v>
      </c>
      <c r="AJ82" s="178">
        <v>1</v>
      </c>
      <c r="AK82" s="178">
        <v>1</v>
      </c>
      <c r="AL82" s="202">
        <v>1</v>
      </c>
      <c r="AM82" s="237">
        <v>1</v>
      </c>
      <c r="AN82" s="238">
        <v>1</v>
      </c>
      <c r="AO82" s="238">
        <v>1</v>
      </c>
      <c r="AP82" s="238">
        <v>1</v>
      </c>
      <c r="AQ82" s="238">
        <v>1</v>
      </c>
      <c r="AR82" s="238">
        <v>1</v>
      </c>
      <c r="AS82" s="238">
        <v>1</v>
      </c>
      <c r="AT82" s="238">
        <v>1</v>
      </c>
      <c r="AU82" s="238">
        <v>1</v>
      </c>
      <c r="AV82" s="273">
        <v>1</v>
      </c>
      <c r="AW82" s="295">
        <v>1</v>
      </c>
      <c r="AX82" s="296">
        <v>1</v>
      </c>
      <c r="AY82" s="296">
        <v>1</v>
      </c>
      <c r="AZ82" s="296">
        <v>1</v>
      </c>
      <c r="BA82" s="296">
        <v>1</v>
      </c>
      <c r="BB82" s="296">
        <v>1</v>
      </c>
      <c r="BC82" s="296">
        <v>1</v>
      </c>
      <c r="BD82" s="296">
        <v>1</v>
      </c>
      <c r="BE82" s="296">
        <v>1</v>
      </c>
      <c r="BF82" s="297">
        <v>1</v>
      </c>
      <c r="BG82" s="214">
        <v>1</v>
      </c>
      <c r="BH82" s="207">
        <v>1</v>
      </c>
      <c r="BI82" s="207">
        <v>1</v>
      </c>
      <c r="BJ82" s="207">
        <v>1</v>
      </c>
      <c r="BK82" s="207">
        <v>1</v>
      </c>
      <c r="BL82" s="207">
        <v>1</v>
      </c>
      <c r="BM82" s="207">
        <v>1</v>
      </c>
      <c r="BN82" s="207">
        <v>1</v>
      </c>
      <c r="BO82" s="207">
        <v>1</v>
      </c>
      <c r="BP82" s="215">
        <v>1</v>
      </c>
      <c r="BQ82" s="249">
        <v>1</v>
      </c>
      <c r="BR82" s="227">
        <v>1</v>
      </c>
      <c r="BS82" s="227">
        <v>1</v>
      </c>
      <c r="BT82" s="227">
        <v>1</v>
      </c>
      <c r="BU82" s="227">
        <v>1</v>
      </c>
      <c r="BV82" s="227">
        <v>1</v>
      </c>
      <c r="BW82" s="227">
        <v>1</v>
      </c>
      <c r="BX82" s="227">
        <v>1</v>
      </c>
      <c r="BY82" s="227">
        <v>1</v>
      </c>
      <c r="BZ82" s="247">
        <v>1</v>
      </c>
      <c r="CA82" s="537"/>
      <c r="CB82" s="538"/>
      <c r="CC82" s="538"/>
      <c r="CD82" s="538"/>
      <c r="CE82" s="538"/>
      <c r="CF82" s="538"/>
      <c r="CG82" s="538"/>
      <c r="CH82" s="538"/>
      <c r="CI82" s="538"/>
      <c r="CJ82" s="539"/>
      <c r="CK82" s="240">
        <v>1</v>
      </c>
      <c r="CL82" s="238">
        <v>1</v>
      </c>
      <c r="CM82" s="238">
        <v>1</v>
      </c>
      <c r="CN82" s="238">
        <v>1</v>
      </c>
      <c r="CO82" s="238">
        <v>1</v>
      </c>
      <c r="CP82" s="238">
        <v>1</v>
      </c>
      <c r="CQ82" s="238">
        <v>1</v>
      </c>
      <c r="CR82" s="238">
        <v>1</v>
      </c>
      <c r="CS82" s="238">
        <v>1</v>
      </c>
      <c r="CT82" s="239">
        <v>1</v>
      </c>
      <c r="CU82" s="295">
        <v>1</v>
      </c>
      <c r="CV82" s="296">
        <v>1</v>
      </c>
      <c r="CW82" s="296">
        <v>1</v>
      </c>
      <c r="CX82" s="296">
        <v>1</v>
      </c>
      <c r="CY82" s="296">
        <v>1</v>
      </c>
      <c r="CZ82" s="296">
        <v>1</v>
      </c>
      <c r="DA82" s="296">
        <v>1</v>
      </c>
      <c r="DB82" s="296">
        <v>1</v>
      </c>
      <c r="DC82" s="296">
        <v>1</v>
      </c>
      <c r="DD82" s="297">
        <v>1</v>
      </c>
      <c r="DE82" s="214">
        <v>1</v>
      </c>
      <c r="DF82" s="207">
        <v>1</v>
      </c>
      <c r="DG82" s="207">
        <v>1</v>
      </c>
      <c r="DH82" s="207">
        <v>1</v>
      </c>
      <c r="DI82" s="207">
        <v>1</v>
      </c>
      <c r="DJ82" s="207">
        <v>1</v>
      </c>
      <c r="DK82" s="207">
        <v>1</v>
      </c>
      <c r="DL82" s="207">
        <v>1</v>
      </c>
      <c r="DM82" s="207">
        <v>1</v>
      </c>
      <c r="DN82" s="215">
        <v>1</v>
      </c>
      <c r="DO82" s="226">
        <v>1</v>
      </c>
      <c r="DP82" s="227">
        <v>1</v>
      </c>
      <c r="DQ82" s="227">
        <v>1</v>
      </c>
      <c r="DR82" s="227">
        <v>1</v>
      </c>
      <c r="DS82" s="227">
        <v>1</v>
      </c>
      <c r="DT82" s="227">
        <v>1</v>
      </c>
      <c r="DU82" s="227">
        <v>1</v>
      </c>
      <c r="DV82" s="227">
        <v>1</v>
      </c>
      <c r="DW82" s="227">
        <v>1</v>
      </c>
      <c r="DX82" s="228">
        <v>1</v>
      </c>
      <c r="DY82" s="307">
        <v>1</v>
      </c>
      <c r="DZ82" s="91">
        <v>1</v>
      </c>
      <c r="EA82" s="91">
        <v>1</v>
      </c>
      <c r="EB82" s="91">
        <v>1</v>
      </c>
      <c r="EC82" s="91">
        <v>1</v>
      </c>
      <c r="ED82" s="91">
        <v>1</v>
      </c>
      <c r="EE82" s="91">
        <v>1</v>
      </c>
      <c r="EF82" s="91">
        <v>1</v>
      </c>
      <c r="EG82" s="91">
        <v>1</v>
      </c>
      <c r="EH82" s="91">
        <v>1</v>
      </c>
      <c r="EI82" s="238">
        <v>1</v>
      </c>
      <c r="EJ82" s="238">
        <v>1</v>
      </c>
      <c r="EK82" s="238">
        <v>1</v>
      </c>
      <c r="EL82" s="238">
        <v>1</v>
      </c>
      <c r="EM82" s="238">
        <v>1</v>
      </c>
      <c r="EN82" s="238">
        <v>1</v>
      </c>
      <c r="EO82" s="238">
        <v>1</v>
      </c>
      <c r="EP82" s="238">
        <v>1</v>
      </c>
      <c r="EQ82" s="238">
        <v>1</v>
      </c>
      <c r="ER82" s="238">
        <v>1</v>
      </c>
      <c r="ES82" s="350">
        <f t="shared" si="36"/>
        <v>10</v>
      </c>
      <c r="ET82" s="350">
        <f t="shared" si="34"/>
        <v>8</v>
      </c>
      <c r="EU82" s="350">
        <f t="shared" si="20"/>
        <v>8</v>
      </c>
      <c r="EV82" s="350">
        <f t="shared" si="35"/>
        <v>10</v>
      </c>
      <c r="EW82" s="350">
        <f t="shared" si="37"/>
        <v>10</v>
      </c>
      <c r="EX82" s="350">
        <f t="shared" si="21"/>
        <v>10</v>
      </c>
      <c r="EY82" s="350">
        <f t="shared" si="22"/>
        <v>10</v>
      </c>
      <c r="EZ82" s="350">
        <f t="shared" si="23"/>
        <v>0</v>
      </c>
      <c r="FA82" s="350">
        <f t="shared" si="24"/>
        <v>10</v>
      </c>
      <c r="FB82" s="350">
        <f t="shared" si="25"/>
        <v>10</v>
      </c>
      <c r="FC82" s="350">
        <f t="shared" si="26"/>
        <v>10</v>
      </c>
      <c r="FD82" s="350">
        <f t="shared" si="27"/>
        <v>10</v>
      </c>
      <c r="FE82" s="350">
        <f t="shared" si="28"/>
        <v>10</v>
      </c>
      <c r="FF82" s="350">
        <f t="shared" si="29"/>
        <v>10</v>
      </c>
      <c r="FG82" s="349">
        <f t="shared" si="33"/>
        <v>80</v>
      </c>
      <c r="FH82" s="319">
        <f t="shared" si="30"/>
        <v>126</v>
      </c>
      <c r="FI82" s="319">
        <f>SUM(I7:ER7)-SUM(ES82:FF82)</f>
        <v>2</v>
      </c>
      <c r="FJ82" s="319">
        <f t="shared" si="31"/>
        <v>128</v>
      </c>
      <c r="FK82" s="7"/>
    </row>
    <row r="83" spans="1:167" ht="15.75" customHeight="1">
      <c r="A83" s="2"/>
      <c r="B83" s="3">
        <f t="shared" si="19"/>
        <v>1</v>
      </c>
      <c r="C83" s="347">
        <v>24</v>
      </c>
      <c r="D83" s="201" t="s">
        <v>247</v>
      </c>
      <c r="E83" s="347"/>
      <c r="F83" s="347"/>
      <c r="G83" s="493">
        <v>45915</v>
      </c>
      <c r="H83" s="494"/>
      <c r="I83" s="214">
        <v>1</v>
      </c>
      <c r="J83" s="207">
        <v>1</v>
      </c>
      <c r="K83" s="207">
        <v>1</v>
      </c>
      <c r="L83" s="207">
        <v>1</v>
      </c>
      <c r="M83" s="207">
        <v>1</v>
      </c>
      <c r="N83" s="207">
        <v>1</v>
      </c>
      <c r="O83" s="207">
        <v>1</v>
      </c>
      <c r="P83" s="207">
        <v>1</v>
      </c>
      <c r="Q83" s="207">
        <v>1</v>
      </c>
      <c r="R83" s="215">
        <v>1</v>
      </c>
      <c r="S83" s="226">
        <v>1</v>
      </c>
      <c r="T83" s="227">
        <v>1</v>
      </c>
      <c r="U83" s="227">
        <v>1</v>
      </c>
      <c r="V83" s="227">
        <v>1</v>
      </c>
      <c r="W83" s="227">
        <v>1</v>
      </c>
      <c r="X83" s="227">
        <v>1</v>
      </c>
      <c r="Y83" s="227">
        <v>1</v>
      </c>
      <c r="Z83" s="227">
        <v>1</v>
      </c>
      <c r="AA83" s="227">
        <v>1</v>
      </c>
      <c r="AB83" s="228">
        <v>1</v>
      </c>
      <c r="AC83" s="258">
        <v>1</v>
      </c>
      <c r="AD83" s="178">
        <v>1</v>
      </c>
      <c r="AE83" s="178">
        <v>1</v>
      </c>
      <c r="AF83" s="178">
        <v>1</v>
      </c>
      <c r="AG83" s="530"/>
      <c r="AH83" s="531"/>
      <c r="AI83" s="178">
        <v>1</v>
      </c>
      <c r="AJ83" s="178">
        <v>1</v>
      </c>
      <c r="AK83" s="178">
        <v>1</v>
      </c>
      <c r="AL83" s="202">
        <v>1</v>
      </c>
      <c r="AM83" s="237">
        <v>0</v>
      </c>
      <c r="AN83" s="238">
        <v>0</v>
      </c>
      <c r="AO83" s="238">
        <v>1</v>
      </c>
      <c r="AP83" s="238">
        <v>1</v>
      </c>
      <c r="AQ83" s="238">
        <v>1</v>
      </c>
      <c r="AR83" s="238">
        <v>1</v>
      </c>
      <c r="AS83" s="238">
        <v>1</v>
      </c>
      <c r="AT83" s="238">
        <v>1</v>
      </c>
      <c r="AU83" s="238">
        <v>1</v>
      </c>
      <c r="AV83" s="273">
        <v>1</v>
      </c>
      <c r="AW83" s="295">
        <v>1</v>
      </c>
      <c r="AX83" s="296">
        <v>1</v>
      </c>
      <c r="AY83" s="296">
        <v>1</v>
      </c>
      <c r="AZ83" s="296">
        <v>1</v>
      </c>
      <c r="BA83" s="296">
        <v>1</v>
      </c>
      <c r="BB83" s="296">
        <v>1</v>
      </c>
      <c r="BC83" s="296">
        <v>1</v>
      </c>
      <c r="BD83" s="296">
        <v>1</v>
      </c>
      <c r="BE83" s="296">
        <v>1</v>
      </c>
      <c r="BF83" s="297">
        <v>1</v>
      </c>
      <c r="BG83" s="214">
        <v>1</v>
      </c>
      <c r="BH83" s="207">
        <v>1</v>
      </c>
      <c r="BI83" s="207">
        <v>1</v>
      </c>
      <c r="BJ83" s="207">
        <v>1</v>
      </c>
      <c r="BK83" s="207">
        <v>1</v>
      </c>
      <c r="BL83" s="207">
        <v>1</v>
      </c>
      <c r="BM83" s="207">
        <v>1</v>
      </c>
      <c r="BN83" s="207">
        <v>1</v>
      </c>
      <c r="BO83" s="207">
        <v>1</v>
      </c>
      <c r="BP83" s="215">
        <v>1</v>
      </c>
      <c r="BQ83" s="249">
        <v>1</v>
      </c>
      <c r="BR83" s="227">
        <v>1</v>
      </c>
      <c r="BS83" s="227">
        <v>1</v>
      </c>
      <c r="BT83" s="227">
        <v>1</v>
      </c>
      <c r="BU83" s="227">
        <v>1</v>
      </c>
      <c r="BV83" s="227">
        <v>1</v>
      </c>
      <c r="BW83" s="227">
        <v>1</v>
      </c>
      <c r="BX83" s="227">
        <v>1</v>
      </c>
      <c r="BY83" s="227">
        <v>1</v>
      </c>
      <c r="BZ83" s="247">
        <v>1</v>
      </c>
      <c r="CA83" s="537"/>
      <c r="CB83" s="538"/>
      <c r="CC83" s="538"/>
      <c r="CD83" s="538"/>
      <c r="CE83" s="538"/>
      <c r="CF83" s="538"/>
      <c r="CG83" s="538"/>
      <c r="CH83" s="538"/>
      <c r="CI83" s="538"/>
      <c r="CJ83" s="539"/>
      <c r="CK83" s="240">
        <v>1</v>
      </c>
      <c r="CL83" s="238">
        <v>1</v>
      </c>
      <c r="CM83" s="238">
        <v>1</v>
      </c>
      <c r="CN83" s="238">
        <v>1</v>
      </c>
      <c r="CO83" s="238">
        <v>1</v>
      </c>
      <c r="CP83" s="238">
        <v>1</v>
      </c>
      <c r="CQ83" s="238">
        <v>1</v>
      </c>
      <c r="CR83" s="238">
        <v>1</v>
      </c>
      <c r="CS83" s="238">
        <v>1</v>
      </c>
      <c r="CT83" s="239">
        <v>1</v>
      </c>
      <c r="CU83" s="295">
        <v>1</v>
      </c>
      <c r="CV83" s="296">
        <v>1</v>
      </c>
      <c r="CW83" s="296">
        <v>1</v>
      </c>
      <c r="CX83" s="296">
        <v>1</v>
      </c>
      <c r="CY83" s="296">
        <v>1</v>
      </c>
      <c r="CZ83" s="296">
        <v>1</v>
      </c>
      <c r="DA83" s="296">
        <v>1</v>
      </c>
      <c r="DB83" s="296">
        <v>1</v>
      </c>
      <c r="DC83" s="296">
        <v>1</v>
      </c>
      <c r="DD83" s="297">
        <v>1</v>
      </c>
      <c r="DE83" s="214">
        <v>1</v>
      </c>
      <c r="DF83" s="207">
        <v>1</v>
      </c>
      <c r="DG83" s="207">
        <v>1</v>
      </c>
      <c r="DH83" s="207">
        <v>1</v>
      </c>
      <c r="DI83" s="207">
        <v>1</v>
      </c>
      <c r="DJ83" s="207">
        <v>1</v>
      </c>
      <c r="DK83" s="207">
        <v>1</v>
      </c>
      <c r="DL83" s="207">
        <v>1</v>
      </c>
      <c r="DM83" s="207">
        <v>1</v>
      </c>
      <c r="DN83" s="215">
        <v>1</v>
      </c>
      <c r="DO83" s="226">
        <v>1</v>
      </c>
      <c r="DP83" s="227">
        <v>1</v>
      </c>
      <c r="DQ83" s="227">
        <v>1</v>
      </c>
      <c r="DR83" s="227">
        <v>1</v>
      </c>
      <c r="DS83" s="227">
        <v>1</v>
      </c>
      <c r="DT83" s="227">
        <v>1</v>
      </c>
      <c r="DU83" s="227">
        <v>1</v>
      </c>
      <c r="DV83" s="227">
        <v>1</v>
      </c>
      <c r="DW83" s="227">
        <v>1</v>
      </c>
      <c r="DX83" s="228">
        <v>1</v>
      </c>
      <c r="DY83" s="307">
        <v>1</v>
      </c>
      <c r="DZ83" s="91">
        <v>1</v>
      </c>
      <c r="EA83" s="91">
        <v>1</v>
      </c>
      <c r="EB83" s="91">
        <v>1</v>
      </c>
      <c r="EC83" s="91">
        <v>1</v>
      </c>
      <c r="ED83" s="91">
        <v>1</v>
      </c>
      <c r="EE83" s="91">
        <v>1</v>
      </c>
      <c r="EF83" s="91">
        <v>1</v>
      </c>
      <c r="EG83" s="91">
        <v>1</v>
      </c>
      <c r="EH83" s="91">
        <v>1</v>
      </c>
      <c r="EI83" s="238">
        <v>1</v>
      </c>
      <c r="EJ83" s="238">
        <v>1</v>
      </c>
      <c r="EK83" s="238">
        <v>1</v>
      </c>
      <c r="EL83" s="238">
        <v>1</v>
      </c>
      <c r="EM83" s="238">
        <v>1</v>
      </c>
      <c r="EN83" s="238">
        <v>1</v>
      </c>
      <c r="EO83" s="238">
        <v>1</v>
      </c>
      <c r="EP83" s="238">
        <v>1</v>
      </c>
      <c r="EQ83" s="238">
        <v>1</v>
      </c>
      <c r="ER83" s="238">
        <v>1</v>
      </c>
      <c r="ES83" s="350">
        <f t="shared" si="36"/>
        <v>0</v>
      </c>
      <c r="ET83" s="350">
        <f t="shared" si="34"/>
        <v>10</v>
      </c>
      <c r="EU83" s="350">
        <f t="shared" si="20"/>
        <v>8</v>
      </c>
      <c r="EV83" s="350">
        <f t="shared" si="35"/>
        <v>8</v>
      </c>
      <c r="EW83" s="350">
        <f t="shared" si="37"/>
        <v>10</v>
      </c>
      <c r="EX83" s="350">
        <f t="shared" si="21"/>
        <v>10</v>
      </c>
      <c r="EY83" s="350">
        <f t="shared" si="22"/>
        <v>10</v>
      </c>
      <c r="EZ83" s="350">
        <f t="shared" si="23"/>
        <v>0</v>
      </c>
      <c r="FA83" s="350">
        <f t="shared" si="24"/>
        <v>10</v>
      </c>
      <c r="FB83" s="350">
        <f t="shared" si="25"/>
        <v>10</v>
      </c>
      <c r="FC83" s="350">
        <f t="shared" si="26"/>
        <v>10</v>
      </c>
      <c r="FD83" s="350">
        <f t="shared" si="27"/>
        <v>10</v>
      </c>
      <c r="FE83" s="350">
        <f t="shared" si="28"/>
        <v>10</v>
      </c>
      <c r="FF83" s="350">
        <f t="shared" si="29"/>
        <v>10</v>
      </c>
      <c r="FG83" s="349">
        <f t="shared" si="33"/>
        <v>81</v>
      </c>
      <c r="FH83" s="319">
        <f t="shared" si="30"/>
        <v>116</v>
      </c>
      <c r="FI83" s="319">
        <f>SUM(I7:ER7)-SUM(ES83:FF83)</f>
        <v>12</v>
      </c>
      <c r="FJ83" s="319">
        <f t="shared" si="31"/>
        <v>128</v>
      </c>
      <c r="FK83" s="7"/>
    </row>
    <row r="84" spans="1:167" ht="15.75" customHeight="1">
      <c r="A84" s="2"/>
      <c r="B84" s="3">
        <f t="shared" si="19"/>
        <v>1</v>
      </c>
      <c r="C84" s="347">
        <v>25</v>
      </c>
      <c r="D84" s="201" t="s">
        <v>248</v>
      </c>
      <c r="E84" s="347"/>
      <c r="F84" s="347"/>
      <c r="G84" s="493">
        <v>45915</v>
      </c>
      <c r="H84" s="494"/>
      <c r="I84" s="214">
        <v>0</v>
      </c>
      <c r="J84" s="207">
        <v>0</v>
      </c>
      <c r="K84" s="207">
        <v>0</v>
      </c>
      <c r="L84" s="207">
        <v>0</v>
      </c>
      <c r="M84" s="207">
        <v>0</v>
      </c>
      <c r="N84" s="207">
        <v>0</v>
      </c>
      <c r="O84" s="207">
        <v>0</v>
      </c>
      <c r="P84" s="207">
        <v>0</v>
      </c>
      <c r="Q84" s="207">
        <v>0</v>
      </c>
      <c r="R84" s="215">
        <v>0</v>
      </c>
      <c r="S84" s="226">
        <v>1</v>
      </c>
      <c r="T84" s="227">
        <v>1</v>
      </c>
      <c r="U84" s="227">
        <v>1</v>
      </c>
      <c r="V84" s="227">
        <v>1</v>
      </c>
      <c r="W84" s="227">
        <v>1</v>
      </c>
      <c r="X84" s="227">
        <v>1</v>
      </c>
      <c r="Y84" s="227">
        <v>1</v>
      </c>
      <c r="Z84" s="227">
        <v>1</v>
      </c>
      <c r="AA84" s="227">
        <v>1</v>
      </c>
      <c r="AB84" s="228">
        <v>1</v>
      </c>
      <c r="AC84" s="258">
        <v>1</v>
      </c>
      <c r="AD84" s="178">
        <v>1</v>
      </c>
      <c r="AE84" s="178">
        <v>1</v>
      </c>
      <c r="AF84" s="178">
        <v>1</v>
      </c>
      <c r="AG84" s="530"/>
      <c r="AH84" s="531"/>
      <c r="AI84" s="178">
        <v>1</v>
      </c>
      <c r="AJ84" s="178">
        <v>1</v>
      </c>
      <c r="AK84" s="178">
        <v>1</v>
      </c>
      <c r="AL84" s="202">
        <v>1</v>
      </c>
      <c r="AM84" s="237">
        <v>1</v>
      </c>
      <c r="AN84" s="238">
        <v>1</v>
      </c>
      <c r="AO84" s="238">
        <v>1</v>
      </c>
      <c r="AP84" s="238">
        <v>1</v>
      </c>
      <c r="AQ84" s="238">
        <v>1</v>
      </c>
      <c r="AR84" s="238">
        <v>1</v>
      </c>
      <c r="AS84" s="238">
        <v>1</v>
      </c>
      <c r="AT84" s="238">
        <v>1</v>
      </c>
      <c r="AU84" s="238">
        <v>1</v>
      </c>
      <c r="AV84" s="273">
        <v>1</v>
      </c>
      <c r="AW84" s="295">
        <v>1</v>
      </c>
      <c r="AX84" s="296">
        <v>1</v>
      </c>
      <c r="AY84" s="296">
        <v>1</v>
      </c>
      <c r="AZ84" s="296">
        <v>1</v>
      </c>
      <c r="BA84" s="296">
        <v>1</v>
      </c>
      <c r="BB84" s="296">
        <v>1</v>
      </c>
      <c r="BC84" s="296">
        <v>1</v>
      </c>
      <c r="BD84" s="296">
        <v>1</v>
      </c>
      <c r="BE84" s="296">
        <v>1</v>
      </c>
      <c r="BF84" s="297">
        <v>1</v>
      </c>
      <c r="BG84" s="214">
        <v>1</v>
      </c>
      <c r="BH84" s="207">
        <v>1</v>
      </c>
      <c r="BI84" s="207">
        <v>1</v>
      </c>
      <c r="BJ84" s="207">
        <v>1</v>
      </c>
      <c r="BK84" s="207">
        <v>1</v>
      </c>
      <c r="BL84" s="207">
        <v>1</v>
      </c>
      <c r="BM84" s="207">
        <v>1</v>
      </c>
      <c r="BN84" s="207">
        <v>1</v>
      </c>
      <c r="BO84" s="207">
        <v>1</v>
      </c>
      <c r="BP84" s="215">
        <v>1</v>
      </c>
      <c r="BQ84" s="249">
        <v>1</v>
      </c>
      <c r="BR84" s="227">
        <v>1</v>
      </c>
      <c r="BS84" s="227">
        <v>1</v>
      </c>
      <c r="BT84" s="227">
        <v>1</v>
      </c>
      <c r="BU84" s="227">
        <v>1</v>
      </c>
      <c r="BV84" s="227">
        <v>1</v>
      </c>
      <c r="BW84" s="227">
        <v>1</v>
      </c>
      <c r="BX84" s="227">
        <v>1</v>
      </c>
      <c r="BY84" s="227">
        <v>1</v>
      </c>
      <c r="BZ84" s="247">
        <v>1</v>
      </c>
      <c r="CA84" s="537"/>
      <c r="CB84" s="538"/>
      <c r="CC84" s="538"/>
      <c r="CD84" s="538"/>
      <c r="CE84" s="538"/>
      <c r="CF84" s="538"/>
      <c r="CG84" s="538"/>
      <c r="CH84" s="538"/>
      <c r="CI84" s="538"/>
      <c r="CJ84" s="539"/>
      <c r="CK84" s="240">
        <v>1</v>
      </c>
      <c r="CL84" s="238">
        <v>1</v>
      </c>
      <c r="CM84" s="238">
        <v>1</v>
      </c>
      <c r="CN84" s="238">
        <v>1</v>
      </c>
      <c r="CO84" s="238">
        <v>1</v>
      </c>
      <c r="CP84" s="238">
        <v>1</v>
      </c>
      <c r="CQ84" s="238">
        <v>1</v>
      </c>
      <c r="CR84" s="238">
        <v>1</v>
      </c>
      <c r="CS84" s="238">
        <v>1</v>
      </c>
      <c r="CT84" s="239">
        <v>1</v>
      </c>
      <c r="CU84" s="295">
        <v>1</v>
      </c>
      <c r="CV84" s="296">
        <v>1</v>
      </c>
      <c r="CW84" s="296">
        <v>1</v>
      </c>
      <c r="CX84" s="296">
        <v>1</v>
      </c>
      <c r="CY84" s="296">
        <v>1</v>
      </c>
      <c r="CZ84" s="296">
        <v>1</v>
      </c>
      <c r="DA84" s="296">
        <v>1</v>
      </c>
      <c r="DB84" s="296">
        <v>1</v>
      </c>
      <c r="DC84" s="296">
        <v>1</v>
      </c>
      <c r="DD84" s="297">
        <v>1</v>
      </c>
      <c r="DE84" s="214">
        <v>1</v>
      </c>
      <c r="DF84" s="207">
        <v>1</v>
      </c>
      <c r="DG84" s="207">
        <v>1</v>
      </c>
      <c r="DH84" s="207">
        <v>1</v>
      </c>
      <c r="DI84" s="207">
        <v>1</v>
      </c>
      <c r="DJ84" s="207">
        <v>1</v>
      </c>
      <c r="DK84" s="207">
        <v>1</v>
      </c>
      <c r="DL84" s="207">
        <v>1</v>
      </c>
      <c r="DM84" s="207">
        <v>1</v>
      </c>
      <c r="DN84" s="215">
        <v>1</v>
      </c>
      <c r="DO84" s="226">
        <v>1</v>
      </c>
      <c r="DP84" s="227">
        <v>1</v>
      </c>
      <c r="DQ84" s="227">
        <v>1</v>
      </c>
      <c r="DR84" s="227">
        <v>1</v>
      </c>
      <c r="DS84" s="227">
        <v>1</v>
      </c>
      <c r="DT84" s="227">
        <v>1</v>
      </c>
      <c r="DU84" s="227">
        <v>1</v>
      </c>
      <c r="DV84" s="227">
        <v>1</v>
      </c>
      <c r="DW84" s="227">
        <v>1</v>
      </c>
      <c r="DX84" s="228">
        <v>1</v>
      </c>
      <c r="DY84" s="307">
        <v>1</v>
      </c>
      <c r="DZ84" s="91">
        <v>1</v>
      </c>
      <c r="EA84" s="91">
        <v>1</v>
      </c>
      <c r="EB84" s="91">
        <v>1</v>
      </c>
      <c r="EC84" s="91">
        <v>1</v>
      </c>
      <c r="ED84" s="91">
        <v>1</v>
      </c>
      <c r="EE84" s="91">
        <v>1</v>
      </c>
      <c r="EF84" s="91">
        <v>1</v>
      </c>
      <c r="EG84" s="91">
        <v>1</v>
      </c>
      <c r="EH84" s="91">
        <v>1</v>
      </c>
      <c r="EI84" s="238">
        <v>1</v>
      </c>
      <c r="EJ84" s="238">
        <v>1</v>
      </c>
      <c r="EK84" s="238">
        <v>1</v>
      </c>
      <c r="EL84" s="238">
        <v>1</v>
      </c>
      <c r="EM84" s="238">
        <v>1</v>
      </c>
      <c r="EN84" s="238">
        <v>1</v>
      </c>
      <c r="EO84" s="238">
        <v>1</v>
      </c>
      <c r="EP84" s="238">
        <v>1</v>
      </c>
      <c r="EQ84" s="238">
        <v>1</v>
      </c>
      <c r="ER84" s="238">
        <v>1</v>
      </c>
      <c r="ES84" s="350">
        <f t="shared" si="36"/>
        <v>0</v>
      </c>
      <c r="ET84" s="350">
        <f t="shared" si="34"/>
        <v>10</v>
      </c>
      <c r="EU84" s="350">
        <f t="shared" si="20"/>
        <v>8</v>
      </c>
      <c r="EV84" s="350">
        <f t="shared" si="35"/>
        <v>10</v>
      </c>
      <c r="EW84" s="350">
        <f t="shared" si="37"/>
        <v>10</v>
      </c>
      <c r="EX84" s="350">
        <f t="shared" si="21"/>
        <v>10</v>
      </c>
      <c r="EY84" s="350">
        <f t="shared" si="22"/>
        <v>10</v>
      </c>
      <c r="EZ84" s="350">
        <f t="shared" si="23"/>
        <v>0</v>
      </c>
      <c r="FA84" s="350">
        <f t="shared" si="24"/>
        <v>10</v>
      </c>
      <c r="FB84" s="350">
        <f t="shared" si="25"/>
        <v>10</v>
      </c>
      <c r="FC84" s="350">
        <f t="shared" si="26"/>
        <v>10</v>
      </c>
      <c r="FD84" s="350">
        <f t="shared" si="27"/>
        <v>10</v>
      </c>
      <c r="FE84" s="350">
        <f t="shared" si="28"/>
        <v>10</v>
      </c>
      <c r="FF84" s="350">
        <f t="shared" si="29"/>
        <v>10</v>
      </c>
      <c r="FG84" s="349">
        <f t="shared" si="33"/>
        <v>82</v>
      </c>
      <c r="FH84" s="319">
        <f t="shared" si="30"/>
        <v>118</v>
      </c>
      <c r="FI84" s="319">
        <f>SUM(I7:ER7)-SUM(ES84:FF84)</f>
        <v>10</v>
      </c>
      <c r="FJ84" s="319">
        <f t="shared" si="31"/>
        <v>128</v>
      </c>
      <c r="FK84" s="7"/>
    </row>
    <row r="85" spans="1:167" ht="15.75" customHeight="1">
      <c r="A85" s="2"/>
      <c r="B85" s="3">
        <f t="shared" si="19"/>
        <v>1</v>
      </c>
      <c r="C85" s="347">
        <v>26</v>
      </c>
      <c r="D85" s="201" t="s">
        <v>249</v>
      </c>
      <c r="E85" s="347"/>
      <c r="F85" s="347"/>
      <c r="G85" s="493">
        <v>45915</v>
      </c>
      <c r="H85" s="494"/>
      <c r="I85" s="214">
        <v>0</v>
      </c>
      <c r="J85" s="207">
        <v>0</v>
      </c>
      <c r="K85" s="207">
        <v>0</v>
      </c>
      <c r="L85" s="207">
        <v>0</v>
      </c>
      <c r="M85" s="207">
        <v>0</v>
      </c>
      <c r="N85" s="207">
        <v>0</v>
      </c>
      <c r="O85" s="207">
        <v>0</v>
      </c>
      <c r="P85" s="207">
        <v>0</v>
      </c>
      <c r="Q85" s="207">
        <v>0</v>
      </c>
      <c r="R85" s="215">
        <v>0</v>
      </c>
      <c r="S85" s="226">
        <v>0</v>
      </c>
      <c r="T85" s="227">
        <v>0</v>
      </c>
      <c r="U85" s="227">
        <v>0</v>
      </c>
      <c r="V85" s="227">
        <v>0</v>
      </c>
      <c r="W85" s="227">
        <v>0</v>
      </c>
      <c r="X85" s="227">
        <v>0</v>
      </c>
      <c r="Y85" s="227">
        <v>0</v>
      </c>
      <c r="Z85" s="227">
        <v>0</v>
      </c>
      <c r="AA85" s="227">
        <v>0</v>
      </c>
      <c r="AB85" s="228">
        <v>0</v>
      </c>
      <c r="AC85" s="258">
        <v>0</v>
      </c>
      <c r="AD85" s="178">
        <v>0</v>
      </c>
      <c r="AE85" s="178">
        <v>0</v>
      </c>
      <c r="AF85" s="178">
        <v>0</v>
      </c>
      <c r="AG85" s="530"/>
      <c r="AH85" s="531"/>
      <c r="AI85" s="178">
        <v>0</v>
      </c>
      <c r="AJ85" s="178">
        <v>0</v>
      </c>
      <c r="AK85" s="178">
        <v>0</v>
      </c>
      <c r="AL85" s="202">
        <v>0</v>
      </c>
      <c r="AM85" s="237">
        <v>0</v>
      </c>
      <c r="AN85" s="238">
        <v>0</v>
      </c>
      <c r="AO85" s="238">
        <v>1</v>
      </c>
      <c r="AP85" s="238">
        <v>1</v>
      </c>
      <c r="AQ85" s="238">
        <v>1</v>
      </c>
      <c r="AR85" s="238">
        <v>1</v>
      </c>
      <c r="AS85" s="238">
        <v>1</v>
      </c>
      <c r="AT85" s="238">
        <v>1</v>
      </c>
      <c r="AU85" s="238">
        <v>1</v>
      </c>
      <c r="AV85" s="273">
        <v>1</v>
      </c>
      <c r="AW85" s="295">
        <v>1</v>
      </c>
      <c r="AX85" s="296">
        <v>1</v>
      </c>
      <c r="AY85" s="296">
        <v>1</v>
      </c>
      <c r="AZ85" s="296">
        <v>1</v>
      </c>
      <c r="BA85" s="296">
        <v>0</v>
      </c>
      <c r="BB85" s="296">
        <v>0</v>
      </c>
      <c r="BC85" s="296">
        <v>0</v>
      </c>
      <c r="BD85" s="296">
        <v>0</v>
      </c>
      <c r="BE85" s="296">
        <v>0</v>
      </c>
      <c r="BF85" s="297">
        <v>0</v>
      </c>
      <c r="BG85" s="214">
        <v>0</v>
      </c>
      <c r="BH85" s="207">
        <v>0</v>
      </c>
      <c r="BI85" s="207">
        <v>0</v>
      </c>
      <c r="BJ85" s="207">
        <v>0</v>
      </c>
      <c r="BK85" s="207">
        <v>0</v>
      </c>
      <c r="BL85" s="207">
        <v>0</v>
      </c>
      <c r="BM85" s="207">
        <v>0</v>
      </c>
      <c r="BN85" s="207">
        <v>0</v>
      </c>
      <c r="BO85" s="207">
        <v>0</v>
      </c>
      <c r="BP85" s="215">
        <v>0</v>
      </c>
      <c r="BQ85" s="249">
        <v>0</v>
      </c>
      <c r="BR85" s="227">
        <v>0</v>
      </c>
      <c r="BS85" s="227">
        <v>0</v>
      </c>
      <c r="BT85" s="227">
        <v>0</v>
      </c>
      <c r="BU85" s="227">
        <v>0</v>
      </c>
      <c r="BV85" s="227">
        <v>0</v>
      </c>
      <c r="BW85" s="227">
        <v>0</v>
      </c>
      <c r="BX85" s="227">
        <v>0</v>
      </c>
      <c r="BY85" s="227">
        <v>0</v>
      </c>
      <c r="BZ85" s="247">
        <v>0</v>
      </c>
      <c r="CA85" s="537"/>
      <c r="CB85" s="538"/>
      <c r="CC85" s="538"/>
      <c r="CD85" s="538"/>
      <c r="CE85" s="538"/>
      <c r="CF85" s="538"/>
      <c r="CG85" s="538"/>
      <c r="CH85" s="538"/>
      <c r="CI85" s="538"/>
      <c r="CJ85" s="539"/>
      <c r="CK85" s="240">
        <v>0</v>
      </c>
      <c r="CL85" s="238">
        <v>0</v>
      </c>
      <c r="CM85" s="238">
        <v>0</v>
      </c>
      <c r="CN85" s="238">
        <v>0</v>
      </c>
      <c r="CO85" s="238">
        <v>0</v>
      </c>
      <c r="CP85" s="238">
        <v>0</v>
      </c>
      <c r="CQ85" s="238">
        <v>0</v>
      </c>
      <c r="CR85" s="238">
        <v>0</v>
      </c>
      <c r="CS85" s="238">
        <v>0</v>
      </c>
      <c r="CT85" s="239">
        <v>0</v>
      </c>
      <c r="CU85" s="295">
        <v>0</v>
      </c>
      <c r="CV85" s="296">
        <v>0</v>
      </c>
      <c r="CW85" s="296">
        <v>0</v>
      </c>
      <c r="CX85" s="296">
        <v>0</v>
      </c>
      <c r="CY85" s="296">
        <v>0</v>
      </c>
      <c r="CZ85" s="296">
        <v>0</v>
      </c>
      <c r="DA85" s="296">
        <v>0</v>
      </c>
      <c r="DB85" s="296">
        <v>0</v>
      </c>
      <c r="DC85" s="296">
        <v>0</v>
      </c>
      <c r="DD85" s="297">
        <v>0</v>
      </c>
      <c r="DE85" s="214">
        <v>0</v>
      </c>
      <c r="DF85" s="207">
        <v>0</v>
      </c>
      <c r="DG85" s="207">
        <v>0</v>
      </c>
      <c r="DH85" s="207">
        <v>0</v>
      </c>
      <c r="DI85" s="207">
        <v>0</v>
      </c>
      <c r="DJ85" s="207">
        <v>0</v>
      </c>
      <c r="DK85" s="207">
        <v>0</v>
      </c>
      <c r="DL85" s="207">
        <v>0</v>
      </c>
      <c r="DM85" s="207">
        <v>0</v>
      </c>
      <c r="DN85" s="215">
        <v>0</v>
      </c>
      <c r="DO85" s="226">
        <v>0</v>
      </c>
      <c r="DP85" s="227">
        <v>0</v>
      </c>
      <c r="DQ85" s="227">
        <v>0</v>
      </c>
      <c r="DR85" s="227">
        <v>0</v>
      </c>
      <c r="DS85" s="227">
        <v>0</v>
      </c>
      <c r="DT85" s="227">
        <v>0</v>
      </c>
      <c r="DU85" s="227">
        <v>0</v>
      </c>
      <c r="DV85" s="227">
        <v>0</v>
      </c>
      <c r="DW85" s="227">
        <v>0</v>
      </c>
      <c r="DX85" s="228">
        <v>0</v>
      </c>
      <c r="DY85" s="307">
        <v>0</v>
      </c>
      <c r="DZ85" s="91">
        <v>0</v>
      </c>
      <c r="EA85" s="91">
        <v>0</v>
      </c>
      <c r="EB85" s="91">
        <v>0</v>
      </c>
      <c r="EC85" s="91">
        <v>0</v>
      </c>
      <c r="ED85" s="91">
        <v>0</v>
      </c>
      <c r="EE85" s="91">
        <v>0</v>
      </c>
      <c r="EF85" s="91">
        <v>0</v>
      </c>
      <c r="EG85" s="91">
        <v>0</v>
      </c>
      <c r="EH85" s="91">
        <v>0</v>
      </c>
      <c r="EI85" s="238">
        <v>0</v>
      </c>
      <c r="EJ85" s="238">
        <v>0</v>
      </c>
      <c r="EK85" s="238">
        <v>0</v>
      </c>
      <c r="EL85" s="238">
        <v>0</v>
      </c>
      <c r="EM85" s="238">
        <v>0</v>
      </c>
      <c r="EN85" s="238">
        <v>0</v>
      </c>
      <c r="EO85" s="238">
        <v>0</v>
      </c>
      <c r="EP85" s="238">
        <v>0</v>
      </c>
      <c r="EQ85" s="238">
        <v>0</v>
      </c>
      <c r="ER85" s="238">
        <v>0</v>
      </c>
      <c r="ES85" s="350">
        <f t="shared" si="36"/>
        <v>0</v>
      </c>
      <c r="ET85" s="350">
        <f t="shared" si="34"/>
        <v>0</v>
      </c>
      <c r="EU85" s="350">
        <f t="shared" si="20"/>
        <v>0</v>
      </c>
      <c r="EV85" s="350">
        <f t="shared" si="35"/>
        <v>8</v>
      </c>
      <c r="EW85" s="350">
        <f t="shared" si="37"/>
        <v>0</v>
      </c>
      <c r="EX85" s="350">
        <f t="shared" si="21"/>
        <v>0</v>
      </c>
      <c r="EY85" s="350">
        <f t="shared" si="22"/>
        <v>0</v>
      </c>
      <c r="EZ85" s="350">
        <f t="shared" si="23"/>
        <v>0</v>
      </c>
      <c r="FA85" s="350">
        <f t="shared" si="24"/>
        <v>0</v>
      </c>
      <c r="FB85" s="350">
        <f t="shared" si="25"/>
        <v>0</v>
      </c>
      <c r="FC85" s="350">
        <f t="shared" si="26"/>
        <v>0</v>
      </c>
      <c r="FD85" s="350">
        <f t="shared" si="27"/>
        <v>0</v>
      </c>
      <c r="FE85" s="350">
        <f t="shared" si="28"/>
        <v>0</v>
      </c>
      <c r="FF85" s="350">
        <f t="shared" si="29"/>
        <v>0</v>
      </c>
      <c r="FG85" s="349">
        <f t="shared" si="33"/>
        <v>83</v>
      </c>
      <c r="FH85" s="319">
        <f t="shared" si="30"/>
        <v>8</v>
      </c>
      <c r="FI85" s="319">
        <f>SUM(I7:ER7)-SUM(ES85:FF85)</f>
        <v>120</v>
      </c>
      <c r="FJ85" s="319">
        <f t="shared" si="31"/>
        <v>128</v>
      </c>
      <c r="FK85" s="7"/>
    </row>
    <row r="86" spans="1:167" ht="15.75" customHeight="1">
      <c r="A86" s="2"/>
      <c r="B86" s="3">
        <f t="shared" si="19"/>
        <v>1</v>
      </c>
      <c r="C86" s="347">
        <v>27</v>
      </c>
      <c r="D86" s="201" t="s">
        <v>91</v>
      </c>
      <c r="E86" s="347"/>
      <c r="F86" s="347"/>
      <c r="G86" s="493">
        <v>45915</v>
      </c>
      <c r="H86" s="494"/>
      <c r="I86" s="214">
        <v>0</v>
      </c>
      <c r="J86" s="207">
        <v>0</v>
      </c>
      <c r="K86" s="207">
        <v>0</v>
      </c>
      <c r="L86" s="207">
        <v>0</v>
      </c>
      <c r="M86" s="207">
        <v>0</v>
      </c>
      <c r="N86" s="207">
        <v>0</v>
      </c>
      <c r="O86" s="207">
        <v>0</v>
      </c>
      <c r="P86" s="207">
        <v>0</v>
      </c>
      <c r="Q86" s="207">
        <v>0</v>
      </c>
      <c r="R86" s="215">
        <v>0</v>
      </c>
      <c r="S86" s="226">
        <v>1</v>
      </c>
      <c r="T86" s="227">
        <v>1</v>
      </c>
      <c r="U86" s="227">
        <v>1</v>
      </c>
      <c r="V86" s="227">
        <v>1</v>
      </c>
      <c r="W86" s="227">
        <v>1</v>
      </c>
      <c r="X86" s="227">
        <v>1</v>
      </c>
      <c r="Y86" s="227">
        <v>1</v>
      </c>
      <c r="Z86" s="227">
        <v>1</v>
      </c>
      <c r="AA86" s="227">
        <v>1</v>
      </c>
      <c r="AB86" s="228">
        <v>1</v>
      </c>
      <c r="AC86" s="258">
        <v>1</v>
      </c>
      <c r="AD86" s="178">
        <v>1</v>
      </c>
      <c r="AE86" s="178">
        <v>1</v>
      </c>
      <c r="AF86" s="178">
        <v>1</v>
      </c>
      <c r="AG86" s="530"/>
      <c r="AH86" s="531"/>
      <c r="AI86" s="178">
        <v>1</v>
      </c>
      <c r="AJ86" s="178">
        <v>1</v>
      </c>
      <c r="AK86" s="178">
        <v>1</v>
      </c>
      <c r="AL86" s="202">
        <v>1</v>
      </c>
      <c r="AM86" s="237">
        <v>1</v>
      </c>
      <c r="AN86" s="238">
        <v>1</v>
      </c>
      <c r="AO86" s="238">
        <v>1</v>
      </c>
      <c r="AP86" s="238">
        <v>1</v>
      </c>
      <c r="AQ86" s="238">
        <v>1</v>
      </c>
      <c r="AR86" s="238">
        <v>1</v>
      </c>
      <c r="AS86" s="238">
        <v>1</v>
      </c>
      <c r="AT86" s="238">
        <v>1</v>
      </c>
      <c r="AU86" s="238">
        <v>1</v>
      </c>
      <c r="AV86" s="273">
        <v>1</v>
      </c>
      <c r="AW86" s="295">
        <v>1</v>
      </c>
      <c r="AX86" s="296">
        <v>1</v>
      </c>
      <c r="AY86" s="296">
        <v>1</v>
      </c>
      <c r="AZ86" s="296">
        <v>1</v>
      </c>
      <c r="BA86" s="296">
        <v>1</v>
      </c>
      <c r="BB86" s="296">
        <v>1</v>
      </c>
      <c r="BC86" s="296">
        <v>1</v>
      </c>
      <c r="BD86" s="296">
        <v>1</v>
      </c>
      <c r="BE86" s="296">
        <v>1</v>
      </c>
      <c r="BF86" s="297">
        <v>1</v>
      </c>
      <c r="BG86" s="214">
        <v>1</v>
      </c>
      <c r="BH86" s="207">
        <v>1</v>
      </c>
      <c r="BI86" s="207">
        <v>1</v>
      </c>
      <c r="BJ86" s="207">
        <v>1</v>
      </c>
      <c r="BK86" s="207">
        <v>1</v>
      </c>
      <c r="BL86" s="207">
        <v>1</v>
      </c>
      <c r="BM86" s="207">
        <v>1</v>
      </c>
      <c r="BN86" s="207">
        <v>1</v>
      </c>
      <c r="BO86" s="207">
        <v>1</v>
      </c>
      <c r="BP86" s="215">
        <v>1</v>
      </c>
      <c r="BQ86" s="249">
        <v>1</v>
      </c>
      <c r="BR86" s="227">
        <v>1</v>
      </c>
      <c r="BS86" s="227">
        <v>1</v>
      </c>
      <c r="BT86" s="227">
        <v>1</v>
      </c>
      <c r="BU86" s="227">
        <v>1</v>
      </c>
      <c r="BV86" s="227">
        <v>1</v>
      </c>
      <c r="BW86" s="227">
        <v>1</v>
      </c>
      <c r="BX86" s="227">
        <v>1</v>
      </c>
      <c r="BY86" s="227">
        <v>1</v>
      </c>
      <c r="BZ86" s="247">
        <v>1</v>
      </c>
      <c r="CA86" s="537"/>
      <c r="CB86" s="538"/>
      <c r="CC86" s="538"/>
      <c r="CD86" s="538"/>
      <c r="CE86" s="538"/>
      <c r="CF86" s="538"/>
      <c r="CG86" s="538"/>
      <c r="CH86" s="538"/>
      <c r="CI86" s="538"/>
      <c r="CJ86" s="539"/>
      <c r="CK86" s="240">
        <v>1</v>
      </c>
      <c r="CL86" s="238">
        <v>1</v>
      </c>
      <c r="CM86" s="238">
        <v>1</v>
      </c>
      <c r="CN86" s="238">
        <v>1</v>
      </c>
      <c r="CO86" s="238">
        <v>1</v>
      </c>
      <c r="CP86" s="238">
        <v>1</v>
      </c>
      <c r="CQ86" s="238">
        <v>1</v>
      </c>
      <c r="CR86" s="238">
        <v>1</v>
      </c>
      <c r="CS86" s="238">
        <v>1</v>
      </c>
      <c r="CT86" s="239">
        <v>1</v>
      </c>
      <c r="CU86" s="295">
        <v>1</v>
      </c>
      <c r="CV86" s="296">
        <v>1</v>
      </c>
      <c r="CW86" s="296">
        <v>1</v>
      </c>
      <c r="CX86" s="296">
        <v>1</v>
      </c>
      <c r="CY86" s="296">
        <v>1</v>
      </c>
      <c r="CZ86" s="296">
        <v>1</v>
      </c>
      <c r="DA86" s="296">
        <v>1</v>
      </c>
      <c r="DB86" s="296">
        <v>1</v>
      </c>
      <c r="DC86" s="296">
        <v>1</v>
      </c>
      <c r="DD86" s="297">
        <v>1</v>
      </c>
      <c r="DE86" s="214">
        <v>1</v>
      </c>
      <c r="DF86" s="207">
        <v>1</v>
      </c>
      <c r="DG86" s="207">
        <v>1</v>
      </c>
      <c r="DH86" s="207">
        <v>1</v>
      </c>
      <c r="DI86" s="207">
        <v>1</v>
      </c>
      <c r="DJ86" s="207">
        <v>1</v>
      </c>
      <c r="DK86" s="207">
        <v>1</v>
      </c>
      <c r="DL86" s="207">
        <v>1</v>
      </c>
      <c r="DM86" s="207">
        <v>1</v>
      </c>
      <c r="DN86" s="215">
        <v>1</v>
      </c>
      <c r="DO86" s="226">
        <v>1</v>
      </c>
      <c r="DP86" s="227">
        <v>1</v>
      </c>
      <c r="DQ86" s="227">
        <v>1</v>
      </c>
      <c r="DR86" s="227">
        <v>1</v>
      </c>
      <c r="DS86" s="227">
        <v>1</v>
      </c>
      <c r="DT86" s="227">
        <v>1</v>
      </c>
      <c r="DU86" s="227">
        <v>1</v>
      </c>
      <c r="DV86" s="227">
        <v>1</v>
      </c>
      <c r="DW86" s="227">
        <v>1</v>
      </c>
      <c r="DX86" s="228">
        <v>1</v>
      </c>
      <c r="DY86" s="307">
        <v>1</v>
      </c>
      <c r="DZ86" s="91">
        <v>1</v>
      </c>
      <c r="EA86" s="91">
        <v>1</v>
      </c>
      <c r="EB86" s="91">
        <v>1</v>
      </c>
      <c r="EC86" s="91">
        <v>1</v>
      </c>
      <c r="ED86" s="91">
        <v>1</v>
      </c>
      <c r="EE86" s="91">
        <v>1</v>
      </c>
      <c r="EF86" s="91">
        <v>1</v>
      </c>
      <c r="EG86" s="91">
        <v>1</v>
      </c>
      <c r="EH86" s="91">
        <v>1</v>
      </c>
      <c r="EI86" s="238">
        <v>1</v>
      </c>
      <c r="EJ86" s="238">
        <v>1</v>
      </c>
      <c r="EK86" s="238">
        <v>1</v>
      </c>
      <c r="EL86" s="238">
        <v>1</v>
      </c>
      <c r="EM86" s="238">
        <v>1</v>
      </c>
      <c r="EN86" s="238">
        <v>1</v>
      </c>
      <c r="EO86" s="238">
        <v>1</v>
      </c>
      <c r="EP86" s="238">
        <v>1</v>
      </c>
      <c r="EQ86" s="238">
        <v>1</v>
      </c>
      <c r="ER86" s="238">
        <v>1</v>
      </c>
      <c r="ES86" s="350">
        <f t="shared" si="36"/>
        <v>10</v>
      </c>
      <c r="ET86" s="350">
        <f t="shared" si="34"/>
        <v>10</v>
      </c>
      <c r="EU86" s="350">
        <f t="shared" si="20"/>
        <v>8</v>
      </c>
      <c r="EV86" s="350">
        <f t="shared" si="35"/>
        <v>10</v>
      </c>
      <c r="EW86" s="350">
        <f t="shared" si="37"/>
        <v>10</v>
      </c>
      <c r="EX86" s="350">
        <f t="shared" si="21"/>
        <v>10</v>
      </c>
      <c r="EY86" s="350">
        <f t="shared" si="22"/>
        <v>10</v>
      </c>
      <c r="EZ86" s="350">
        <f t="shared" si="23"/>
        <v>0</v>
      </c>
      <c r="FA86" s="350">
        <f t="shared" si="24"/>
        <v>10</v>
      </c>
      <c r="FB86" s="350">
        <f t="shared" si="25"/>
        <v>10</v>
      </c>
      <c r="FC86" s="350">
        <f t="shared" si="26"/>
        <v>10</v>
      </c>
      <c r="FD86" s="350">
        <f t="shared" si="27"/>
        <v>10</v>
      </c>
      <c r="FE86" s="350">
        <f t="shared" si="28"/>
        <v>10</v>
      </c>
      <c r="FF86" s="350">
        <f t="shared" si="29"/>
        <v>10</v>
      </c>
      <c r="FG86" s="349">
        <f t="shared" si="33"/>
        <v>84</v>
      </c>
      <c r="FH86" s="319">
        <f t="shared" si="30"/>
        <v>128</v>
      </c>
      <c r="FI86" s="319">
        <f>SUM(I7:ER7)-SUM(ES86:FF86)</f>
        <v>0</v>
      </c>
      <c r="FJ86" s="319">
        <f t="shared" si="31"/>
        <v>128</v>
      </c>
      <c r="FK86" s="7"/>
    </row>
    <row r="87" spans="1:167" ht="15.75" customHeight="1">
      <c r="A87" s="2"/>
      <c r="B87" s="3">
        <f t="shared" si="19"/>
        <v>1</v>
      </c>
      <c r="C87" s="347">
        <v>28</v>
      </c>
      <c r="D87" s="201" t="s">
        <v>250</v>
      </c>
      <c r="E87" s="347"/>
      <c r="F87" s="347"/>
      <c r="G87" s="493">
        <v>45915</v>
      </c>
      <c r="H87" s="494"/>
      <c r="I87" s="214">
        <v>1</v>
      </c>
      <c r="J87" s="207">
        <v>1</v>
      </c>
      <c r="K87" s="207">
        <v>1</v>
      </c>
      <c r="L87" s="207">
        <v>1</v>
      </c>
      <c r="M87" s="207">
        <v>1</v>
      </c>
      <c r="N87" s="207">
        <v>1</v>
      </c>
      <c r="O87" s="207">
        <v>1</v>
      </c>
      <c r="P87" s="207">
        <v>1</v>
      </c>
      <c r="Q87" s="207">
        <v>1</v>
      </c>
      <c r="R87" s="215">
        <v>1</v>
      </c>
      <c r="S87" s="226">
        <v>1</v>
      </c>
      <c r="T87" s="227">
        <v>1</v>
      </c>
      <c r="U87" s="227">
        <v>1</v>
      </c>
      <c r="V87" s="227">
        <v>1</v>
      </c>
      <c r="W87" s="227">
        <v>1</v>
      </c>
      <c r="X87" s="227">
        <v>1</v>
      </c>
      <c r="Y87" s="227">
        <v>1</v>
      </c>
      <c r="Z87" s="227">
        <v>1</v>
      </c>
      <c r="AA87" s="227">
        <v>1</v>
      </c>
      <c r="AB87" s="228">
        <v>1</v>
      </c>
      <c r="AC87" s="258">
        <v>1</v>
      </c>
      <c r="AD87" s="178">
        <v>1</v>
      </c>
      <c r="AE87" s="178">
        <v>1</v>
      </c>
      <c r="AF87" s="178">
        <v>1</v>
      </c>
      <c r="AG87" s="530"/>
      <c r="AH87" s="531"/>
      <c r="AI87" s="178">
        <v>1</v>
      </c>
      <c r="AJ87" s="178">
        <v>1</v>
      </c>
      <c r="AK87" s="178">
        <v>0</v>
      </c>
      <c r="AL87" s="202">
        <v>0</v>
      </c>
      <c r="AM87" s="237">
        <v>1</v>
      </c>
      <c r="AN87" s="238">
        <v>1</v>
      </c>
      <c r="AO87" s="238">
        <v>1</v>
      </c>
      <c r="AP87" s="238">
        <v>1</v>
      </c>
      <c r="AQ87" s="238">
        <v>1</v>
      </c>
      <c r="AR87" s="238">
        <v>1</v>
      </c>
      <c r="AS87" s="238">
        <v>1</v>
      </c>
      <c r="AT87" s="238">
        <v>1</v>
      </c>
      <c r="AU87" s="238">
        <v>1</v>
      </c>
      <c r="AV87" s="273">
        <v>1</v>
      </c>
      <c r="AW87" s="295">
        <v>1</v>
      </c>
      <c r="AX87" s="296">
        <v>1</v>
      </c>
      <c r="AY87" s="296">
        <v>1</v>
      </c>
      <c r="AZ87" s="296">
        <v>1</v>
      </c>
      <c r="BA87" s="296">
        <v>1</v>
      </c>
      <c r="BB87" s="296">
        <v>1</v>
      </c>
      <c r="BC87" s="296">
        <v>1</v>
      </c>
      <c r="BD87" s="296">
        <v>1</v>
      </c>
      <c r="BE87" s="296">
        <v>1</v>
      </c>
      <c r="BF87" s="297">
        <v>1</v>
      </c>
      <c r="BG87" s="214">
        <v>1</v>
      </c>
      <c r="BH87" s="207">
        <v>1</v>
      </c>
      <c r="BI87" s="207">
        <v>1</v>
      </c>
      <c r="BJ87" s="207">
        <v>1</v>
      </c>
      <c r="BK87" s="207">
        <v>1</v>
      </c>
      <c r="BL87" s="207">
        <v>1</v>
      </c>
      <c r="BM87" s="207">
        <v>1</v>
      </c>
      <c r="BN87" s="207">
        <v>1</v>
      </c>
      <c r="BO87" s="207">
        <v>1</v>
      </c>
      <c r="BP87" s="215">
        <v>1</v>
      </c>
      <c r="BQ87" s="249">
        <v>1</v>
      </c>
      <c r="BR87" s="227">
        <v>1</v>
      </c>
      <c r="BS87" s="227">
        <v>1</v>
      </c>
      <c r="BT87" s="227">
        <v>1</v>
      </c>
      <c r="BU87" s="227">
        <v>1</v>
      </c>
      <c r="BV87" s="227">
        <v>1</v>
      </c>
      <c r="BW87" s="227">
        <v>1</v>
      </c>
      <c r="BX87" s="227">
        <v>1</v>
      </c>
      <c r="BY87" s="227">
        <v>1</v>
      </c>
      <c r="BZ87" s="247">
        <v>1</v>
      </c>
      <c r="CA87" s="537"/>
      <c r="CB87" s="538"/>
      <c r="CC87" s="538"/>
      <c r="CD87" s="538"/>
      <c r="CE87" s="538"/>
      <c r="CF87" s="538"/>
      <c r="CG87" s="538"/>
      <c r="CH87" s="538"/>
      <c r="CI87" s="538"/>
      <c r="CJ87" s="539"/>
      <c r="CK87" s="240">
        <v>1</v>
      </c>
      <c r="CL87" s="238">
        <v>1</v>
      </c>
      <c r="CM87" s="238">
        <v>1</v>
      </c>
      <c r="CN87" s="238">
        <v>1</v>
      </c>
      <c r="CO87" s="238">
        <v>1</v>
      </c>
      <c r="CP87" s="238">
        <v>1</v>
      </c>
      <c r="CQ87" s="238">
        <v>1</v>
      </c>
      <c r="CR87" s="238">
        <v>1</v>
      </c>
      <c r="CS87" s="238">
        <v>1</v>
      </c>
      <c r="CT87" s="239">
        <v>1</v>
      </c>
      <c r="CU87" s="295">
        <v>1</v>
      </c>
      <c r="CV87" s="296">
        <v>1</v>
      </c>
      <c r="CW87" s="296">
        <v>1</v>
      </c>
      <c r="CX87" s="296">
        <v>1</v>
      </c>
      <c r="CY87" s="296">
        <v>1</v>
      </c>
      <c r="CZ87" s="296">
        <v>1</v>
      </c>
      <c r="DA87" s="296">
        <v>1</v>
      </c>
      <c r="DB87" s="296">
        <v>1</v>
      </c>
      <c r="DC87" s="296">
        <v>1</v>
      </c>
      <c r="DD87" s="297">
        <v>1</v>
      </c>
      <c r="DE87" s="214">
        <v>1</v>
      </c>
      <c r="DF87" s="207">
        <v>1</v>
      </c>
      <c r="DG87" s="207">
        <v>1</v>
      </c>
      <c r="DH87" s="207">
        <v>1</v>
      </c>
      <c r="DI87" s="207">
        <v>1</v>
      </c>
      <c r="DJ87" s="207">
        <v>1</v>
      </c>
      <c r="DK87" s="207">
        <v>1</v>
      </c>
      <c r="DL87" s="207">
        <v>1</v>
      </c>
      <c r="DM87" s="207">
        <v>1</v>
      </c>
      <c r="DN87" s="215">
        <v>1</v>
      </c>
      <c r="DO87" s="226">
        <v>1</v>
      </c>
      <c r="DP87" s="227">
        <v>1</v>
      </c>
      <c r="DQ87" s="227">
        <v>1</v>
      </c>
      <c r="DR87" s="227">
        <v>1</v>
      </c>
      <c r="DS87" s="227">
        <v>1</v>
      </c>
      <c r="DT87" s="227">
        <v>1</v>
      </c>
      <c r="DU87" s="227">
        <v>1</v>
      </c>
      <c r="DV87" s="227">
        <v>1</v>
      </c>
      <c r="DW87" s="227">
        <v>1</v>
      </c>
      <c r="DX87" s="228">
        <v>1</v>
      </c>
      <c r="DY87" s="307">
        <v>1</v>
      </c>
      <c r="DZ87" s="91">
        <v>1</v>
      </c>
      <c r="EA87" s="91">
        <v>1</v>
      </c>
      <c r="EB87" s="91">
        <v>1</v>
      </c>
      <c r="EC87" s="91">
        <v>1</v>
      </c>
      <c r="ED87" s="91">
        <v>1</v>
      </c>
      <c r="EE87" s="91">
        <v>1</v>
      </c>
      <c r="EF87" s="91">
        <v>1</v>
      </c>
      <c r="EG87" s="91">
        <v>1</v>
      </c>
      <c r="EH87" s="91">
        <v>1</v>
      </c>
      <c r="EI87" s="238">
        <v>1</v>
      </c>
      <c r="EJ87" s="238">
        <v>1</v>
      </c>
      <c r="EK87" s="238">
        <v>1</v>
      </c>
      <c r="EL87" s="238">
        <v>1</v>
      </c>
      <c r="EM87" s="238">
        <v>1</v>
      </c>
      <c r="EN87" s="238">
        <v>1</v>
      </c>
      <c r="EO87" s="238">
        <v>1</v>
      </c>
      <c r="EP87" s="238">
        <v>1</v>
      </c>
      <c r="EQ87" s="238">
        <v>1</v>
      </c>
      <c r="ER87" s="238">
        <v>1</v>
      </c>
      <c r="ES87" s="350">
        <f t="shared" si="36"/>
        <v>4</v>
      </c>
      <c r="ET87" s="350">
        <f t="shared" si="34"/>
        <v>10</v>
      </c>
      <c r="EU87" s="350">
        <f t="shared" si="20"/>
        <v>6</v>
      </c>
      <c r="EV87" s="350">
        <f t="shared" si="35"/>
        <v>10</v>
      </c>
      <c r="EW87" s="350">
        <f t="shared" si="37"/>
        <v>10</v>
      </c>
      <c r="EX87" s="350">
        <f t="shared" si="21"/>
        <v>10</v>
      </c>
      <c r="EY87" s="350">
        <f t="shared" si="22"/>
        <v>10</v>
      </c>
      <c r="EZ87" s="350">
        <f t="shared" si="23"/>
        <v>0</v>
      </c>
      <c r="FA87" s="350">
        <f t="shared" si="24"/>
        <v>10</v>
      </c>
      <c r="FB87" s="350">
        <f t="shared" si="25"/>
        <v>10</v>
      </c>
      <c r="FC87" s="350">
        <f t="shared" si="26"/>
        <v>10</v>
      </c>
      <c r="FD87" s="350">
        <f t="shared" si="27"/>
        <v>10</v>
      </c>
      <c r="FE87" s="350">
        <f t="shared" si="28"/>
        <v>10</v>
      </c>
      <c r="FF87" s="350">
        <f t="shared" si="29"/>
        <v>10</v>
      </c>
      <c r="FG87" s="349">
        <f t="shared" si="33"/>
        <v>85</v>
      </c>
      <c r="FH87" s="319">
        <f t="shared" si="30"/>
        <v>120</v>
      </c>
      <c r="FI87" s="319">
        <f>SUM(I7:ER7)-SUM(ES87:FF87)</f>
        <v>8</v>
      </c>
      <c r="FJ87" s="319">
        <f t="shared" si="31"/>
        <v>128</v>
      </c>
      <c r="FK87" s="7"/>
    </row>
    <row r="88" spans="1:167" ht="15.75" customHeight="1">
      <c r="A88" s="2"/>
      <c r="B88" s="3">
        <f t="shared" si="19"/>
        <v>1</v>
      </c>
      <c r="C88" s="347">
        <v>29</v>
      </c>
      <c r="D88" s="201" t="s">
        <v>251</v>
      </c>
      <c r="E88" s="347"/>
      <c r="F88" s="347"/>
      <c r="G88" s="493">
        <v>45915</v>
      </c>
      <c r="H88" s="494"/>
      <c r="I88" s="214">
        <v>0</v>
      </c>
      <c r="J88" s="207">
        <v>0</v>
      </c>
      <c r="K88" s="207">
        <v>1</v>
      </c>
      <c r="L88" s="207">
        <v>1</v>
      </c>
      <c r="M88" s="207">
        <v>0</v>
      </c>
      <c r="N88" s="207">
        <v>0</v>
      </c>
      <c r="O88" s="207">
        <v>1</v>
      </c>
      <c r="P88" s="207">
        <v>1</v>
      </c>
      <c r="Q88" s="207">
        <v>0</v>
      </c>
      <c r="R88" s="215">
        <v>0</v>
      </c>
      <c r="S88" s="226">
        <v>1</v>
      </c>
      <c r="T88" s="227">
        <v>1</v>
      </c>
      <c r="U88" s="227">
        <v>1</v>
      </c>
      <c r="V88" s="227">
        <v>1</v>
      </c>
      <c r="W88" s="227">
        <v>1</v>
      </c>
      <c r="X88" s="227">
        <v>1</v>
      </c>
      <c r="Y88" s="227">
        <v>1</v>
      </c>
      <c r="Z88" s="227">
        <v>1</v>
      </c>
      <c r="AA88" s="227">
        <v>1</v>
      </c>
      <c r="AB88" s="228">
        <v>1</v>
      </c>
      <c r="AC88" s="258">
        <v>1</v>
      </c>
      <c r="AD88" s="178">
        <v>1</v>
      </c>
      <c r="AE88" s="178">
        <v>1</v>
      </c>
      <c r="AF88" s="178">
        <v>1</v>
      </c>
      <c r="AG88" s="530"/>
      <c r="AH88" s="531"/>
      <c r="AI88" s="178">
        <v>1</v>
      </c>
      <c r="AJ88" s="178">
        <v>1</v>
      </c>
      <c r="AK88" s="178">
        <v>1</v>
      </c>
      <c r="AL88" s="202">
        <v>1</v>
      </c>
      <c r="AM88" s="237">
        <v>1</v>
      </c>
      <c r="AN88" s="238">
        <v>1</v>
      </c>
      <c r="AO88" s="238">
        <v>1</v>
      </c>
      <c r="AP88" s="238">
        <v>1</v>
      </c>
      <c r="AQ88" s="238">
        <v>1</v>
      </c>
      <c r="AR88" s="238">
        <v>1</v>
      </c>
      <c r="AS88" s="238">
        <v>1</v>
      </c>
      <c r="AT88" s="238">
        <v>1</v>
      </c>
      <c r="AU88" s="238">
        <v>1</v>
      </c>
      <c r="AV88" s="273">
        <v>1</v>
      </c>
      <c r="AW88" s="295">
        <v>1</v>
      </c>
      <c r="AX88" s="296">
        <v>1</v>
      </c>
      <c r="AY88" s="296">
        <v>1</v>
      </c>
      <c r="AZ88" s="296">
        <v>1</v>
      </c>
      <c r="BA88" s="296">
        <v>1</v>
      </c>
      <c r="BB88" s="296">
        <v>1</v>
      </c>
      <c r="BC88" s="296">
        <v>1</v>
      </c>
      <c r="BD88" s="296">
        <v>1</v>
      </c>
      <c r="BE88" s="296">
        <v>1</v>
      </c>
      <c r="BF88" s="297">
        <v>1</v>
      </c>
      <c r="BG88" s="214">
        <v>1</v>
      </c>
      <c r="BH88" s="207">
        <v>1</v>
      </c>
      <c r="BI88" s="207">
        <v>1</v>
      </c>
      <c r="BJ88" s="207">
        <v>1</v>
      </c>
      <c r="BK88" s="207">
        <v>1</v>
      </c>
      <c r="BL88" s="207">
        <v>1</v>
      </c>
      <c r="BM88" s="207">
        <v>1</v>
      </c>
      <c r="BN88" s="207">
        <v>1</v>
      </c>
      <c r="BO88" s="207">
        <v>1</v>
      </c>
      <c r="BP88" s="215">
        <v>1</v>
      </c>
      <c r="BQ88" s="249">
        <v>1</v>
      </c>
      <c r="BR88" s="227">
        <v>1</v>
      </c>
      <c r="BS88" s="227">
        <v>1</v>
      </c>
      <c r="BT88" s="227">
        <v>1</v>
      </c>
      <c r="BU88" s="227">
        <v>1</v>
      </c>
      <c r="BV88" s="227">
        <v>1</v>
      </c>
      <c r="BW88" s="227">
        <v>0</v>
      </c>
      <c r="BX88" s="227">
        <v>0</v>
      </c>
      <c r="BY88" s="227">
        <v>1</v>
      </c>
      <c r="BZ88" s="247">
        <v>1</v>
      </c>
      <c r="CA88" s="537"/>
      <c r="CB88" s="538"/>
      <c r="CC88" s="538"/>
      <c r="CD88" s="538"/>
      <c r="CE88" s="538"/>
      <c r="CF88" s="538"/>
      <c r="CG88" s="538"/>
      <c r="CH88" s="538"/>
      <c r="CI88" s="538"/>
      <c r="CJ88" s="539"/>
      <c r="CK88" s="240">
        <v>1</v>
      </c>
      <c r="CL88" s="238">
        <v>1</v>
      </c>
      <c r="CM88" s="238">
        <v>1</v>
      </c>
      <c r="CN88" s="238">
        <v>1</v>
      </c>
      <c r="CO88" s="238">
        <v>1</v>
      </c>
      <c r="CP88" s="238">
        <v>1</v>
      </c>
      <c r="CQ88" s="238">
        <v>1</v>
      </c>
      <c r="CR88" s="238">
        <v>1</v>
      </c>
      <c r="CS88" s="238">
        <v>1</v>
      </c>
      <c r="CT88" s="239">
        <v>1</v>
      </c>
      <c r="CU88" s="295">
        <v>0</v>
      </c>
      <c r="CV88" s="296">
        <v>0</v>
      </c>
      <c r="CW88" s="296">
        <v>1</v>
      </c>
      <c r="CX88" s="296">
        <v>1</v>
      </c>
      <c r="CY88" s="296">
        <v>1</v>
      </c>
      <c r="CZ88" s="296">
        <v>1</v>
      </c>
      <c r="DA88" s="296">
        <v>1</v>
      </c>
      <c r="DB88" s="296">
        <v>1</v>
      </c>
      <c r="DC88" s="296">
        <v>1</v>
      </c>
      <c r="DD88" s="297">
        <v>1</v>
      </c>
      <c r="DE88" s="214">
        <v>1</v>
      </c>
      <c r="DF88" s="207">
        <v>1</v>
      </c>
      <c r="DG88" s="207">
        <v>1</v>
      </c>
      <c r="DH88" s="207">
        <v>1</v>
      </c>
      <c r="DI88" s="207">
        <v>1</v>
      </c>
      <c r="DJ88" s="207">
        <v>1</v>
      </c>
      <c r="DK88" s="207">
        <v>1</v>
      </c>
      <c r="DL88" s="207">
        <v>1</v>
      </c>
      <c r="DM88" s="207">
        <v>1</v>
      </c>
      <c r="DN88" s="215">
        <v>1</v>
      </c>
      <c r="DO88" s="226">
        <v>1</v>
      </c>
      <c r="DP88" s="227">
        <v>1</v>
      </c>
      <c r="DQ88" s="227">
        <v>1</v>
      </c>
      <c r="DR88" s="227">
        <v>1</v>
      </c>
      <c r="DS88" s="227">
        <v>1</v>
      </c>
      <c r="DT88" s="227">
        <v>1</v>
      </c>
      <c r="DU88" s="227">
        <v>1</v>
      </c>
      <c r="DV88" s="227">
        <v>1</v>
      </c>
      <c r="DW88" s="227">
        <v>1</v>
      </c>
      <c r="DX88" s="228">
        <v>1</v>
      </c>
      <c r="DY88" s="307">
        <v>1</v>
      </c>
      <c r="DZ88" s="91">
        <v>1</v>
      </c>
      <c r="EA88" s="91">
        <v>1</v>
      </c>
      <c r="EB88" s="91">
        <v>1</v>
      </c>
      <c r="EC88" s="91">
        <v>1</v>
      </c>
      <c r="ED88" s="91">
        <v>1</v>
      </c>
      <c r="EE88" s="91">
        <v>1</v>
      </c>
      <c r="EF88" s="91">
        <v>1</v>
      </c>
      <c r="EG88" s="91">
        <v>1</v>
      </c>
      <c r="EH88" s="91">
        <v>1</v>
      </c>
      <c r="EI88" s="238">
        <v>1</v>
      </c>
      <c r="EJ88" s="238">
        <v>1</v>
      </c>
      <c r="EK88" s="238">
        <v>1</v>
      </c>
      <c r="EL88" s="238">
        <v>1</v>
      </c>
      <c r="EM88" s="238">
        <v>1</v>
      </c>
      <c r="EN88" s="238">
        <v>1</v>
      </c>
      <c r="EO88" s="238">
        <v>1</v>
      </c>
      <c r="EP88" s="238">
        <v>1</v>
      </c>
      <c r="EQ88" s="238">
        <v>1</v>
      </c>
      <c r="ER88" s="238">
        <v>1</v>
      </c>
      <c r="ES88" s="350">
        <f t="shared" si="36"/>
        <v>0</v>
      </c>
      <c r="ET88" s="350">
        <f t="shared" si="34"/>
        <v>10</v>
      </c>
      <c r="EU88" s="350">
        <f t="shared" si="20"/>
        <v>8</v>
      </c>
      <c r="EV88" s="350">
        <f t="shared" si="35"/>
        <v>10</v>
      </c>
      <c r="EW88" s="350">
        <f t="shared" si="37"/>
        <v>10</v>
      </c>
      <c r="EX88" s="350">
        <f t="shared" si="21"/>
        <v>10</v>
      </c>
      <c r="EY88" s="350">
        <f t="shared" si="22"/>
        <v>8</v>
      </c>
      <c r="EZ88" s="350">
        <f t="shared" si="23"/>
        <v>0</v>
      </c>
      <c r="FA88" s="350">
        <f t="shared" si="24"/>
        <v>10</v>
      </c>
      <c r="FB88" s="350">
        <f t="shared" si="25"/>
        <v>8</v>
      </c>
      <c r="FC88" s="350">
        <f t="shared" si="26"/>
        <v>10</v>
      </c>
      <c r="FD88" s="350">
        <f t="shared" si="27"/>
        <v>10</v>
      </c>
      <c r="FE88" s="350">
        <f t="shared" si="28"/>
        <v>10</v>
      </c>
      <c r="FF88" s="350">
        <f t="shared" si="29"/>
        <v>10</v>
      </c>
      <c r="FG88" s="349">
        <f t="shared" si="33"/>
        <v>86</v>
      </c>
      <c r="FH88" s="319">
        <f t="shared" si="30"/>
        <v>114</v>
      </c>
      <c r="FI88" s="319">
        <f>SUM(I7:ER7)-SUM(ES88:FF88)</f>
        <v>14</v>
      </c>
      <c r="FJ88" s="319">
        <f t="shared" si="31"/>
        <v>128</v>
      </c>
      <c r="FK88" s="7"/>
    </row>
    <row r="89" spans="1:167" ht="15.75" customHeight="1">
      <c r="A89" s="2"/>
      <c r="B89" s="3">
        <f t="shared" si="19"/>
        <v>1</v>
      </c>
      <c r="C89" s="347">
        <v>30</v>
      </c>
      <c r="D89" s="201" t="s">
        <v>252</v>
      </c>
      <c r="E89" s="347"/>
      <c r="F89" s="347"/>
      <c r="G89" s="493">
        <v>45915</v>
      </c>
      <c r="H89" s="494"/>
      <c r="I89" s="214">
        <v>0</v>
      </c>
      <c r="J89" s="207">
        <v>0</v>
      </c>
      <c r="K89" s="207">
        <v>0</v>
      </c>
      <c r="L89" s="207">
        <v>0</v>
      </c>
      <c r="M89" s="207">
        <v>0</v>
      </c>
      <c r="N89" s="207">
        <v>0</v>
      </c>
      <c r="O89" s="207">
        <v>0</v>
      </c>
      <c r="P89" s="207">
        <v>0</v>
      </c>
      <c r="Q89" s="207">
        <v>0</v>
      </c>
      <c r="R89" s="215">
        <v>0</v>
      </c>
      <c r="S89" s="226">
        <v>0</v>
      </c>
      <c r="T89" s="227">
        <v>0</v>
      </c>
      <c r="U89" s="227">
        <v>1</v>
      </c>
      <c r="V89" s="227">
        <v>1</v>
      </c>
      <c r="W89" s="227">
        <v>1</v>
      </c>
      <c r="X89" s="227">
        <v>1</v>
      </c>
      <c r="Y89" s="227">
        <v>1</v>
      </c>
      <c r="Z89" s="227">
        <v>1</v>
      </c>
      <c r="AA89" s="227">
        <v>1</v>
      </c>
      <c r="AB89" s="228">
        <v>1</v>
      </c>
      <c r="AC89" s="258">
        <v>1</v>
      </c>
      <c r="AD89" s="178">
        <v>1</v>
      </c>
      <c r="AE89" s="178">
        <v>1</v>
      </c>
      <c r="AF89" s="178">
        <v>1</v>
      </c>
      <c r="AG89" s="530"/>
      <c r="AH89" s="531"/>
      <c r="AI89" s="178">
        <v>1</v>
      </c>
      <c r="AJ89" s="178">
        <v>1</v>
      </c>
      <c r="AK89" s="178">
        <v>1</v>
      </c>
      <c r="AL89" s="202">
        <v>1</v>
      </c>
      <c r="AM89" s="237">
        <v>1</v>
      </c>
      <c r="AN89" s="238">
        <v>1</v>
      </c>
      <c r="AO89" s="238">
        <v>1</v>
      </c>
      <c r="AP89" s="238">
        <v>1</v>
      </c>
      <c r="AQ89" s="238">
        <v>1</v>
      </c>
      <c r="AR89" s="238">
        <v>1</v>
      </c>
      <c r="AS89" s="238">
        <v>1</v>
      </c>
      <c r="AT89" s="238">
        <v>1</v>
      </c>
      <c r="AU89" s="238">
        <v>1</v>
      </c>
      <c r="AV89" s="273">
        <v>1</v>
      </c>
      <c r="AW89" s="295">
        <v>1</v>
      </c>
      <c r="AX89" s="296">
        <v>1</v>
      </c>
      <c r="AY89" s="296">
        <v>1</v>
      </c>
      <c r="AZ89" s="296">
        <v>1</v>
      </c>
      <c r="BA89" s="296">
        <v>1</v>
      </c>
      <c r="BB89" s="296">
        <v>1</v>
      </c>
      <c r="BC89" s="296">
        <v>1</v>
      </c>
      <c r="BD89" s="296">
        <v>1</v>
      </c>
      <c r="BE89" s="296">
        <v>1</v>
      </c>
      <c r="BF89" s="297">
        <v>1</v>
      </c>
      <c r="BG89" s="214">
        <v>1</v>
      </c>
      <c r="BH89" s="207">
        <v>1</v>
      </c>
      <c r="BI89" s="207">
        <v>1</v>
      </c>
      <c r="BJ89" s="207">
        <v>1</v>
      </c>
      <c r="BK89" s="207">
        <v>1</v>
      </c>
      <c r="BL89" s="207">
        <v>1</v>
      </c>
      <c r="BM89" s="207">
        <v>1</v>
      </c>
      <c r="BN89" s="207">
        <v>1</v>
      </c>
      <c r="BO89" s="207">
        <v>1</v>
      </c>
      <c r="BP89" s="215">
        <v>1</v>
      </c>
      <c r="BQ89" s="249">
        <v>1</v>
      </c>
      <c r="BR89" s="227">
        <v>1</v>
      </c>
      <c r="BS89" s="227">
        <v>1</v>
      </c>
      <c r="BT89" s="227">
        <v>1</v>
      </c>
      <c r="BU89" s="227">
        <v>1</v>
      </c>
      <c r="BV89" s="227">
        <v>1</v>
      </c>
      <c r="BW89" s="227">
        <v>1</v>
      </c>
      <c r="BX89" s="227">
        <v>1</v>
      </c>
      <c r="BY89" s="227">
        <v>1</v>
      </c>
      <c r="BZ89" s="247">
        <v>1</v>
      </c>
      <c r="CA89" s="537"/>
      <c r="CB89" s="538"/>
      <c r="CC89" s="538"/>
      <c r="CD89" s="538"/>
      <c r="CE89" s="538"/>
      <c r="CF89" s="538"/>
      <c r="CG89" s="538"/>
      <c r="CH89" s="538"/>
      <c r="CI89" s="538"/>
      <c r="CJ89" s="539"/>
      <c r="CK89" s="240">
        <v>1</v>
      </c>
      <c r="CL89" s="238">
        <v>1</v>
      </c>
      <c r="CM89" s="238">
        <v>1</v>
      </c>
      <c r="CN89" s="238">
        <v>1</v>
      </c>
      <c r="CO89" s="238">
        <v>1</v>
      </c>
      <c r="CP89" s="238">
        <v>1</v>
      </c>
      <c r="CQ89" s="238">
        <v>1</v>
      </c>
      <c r="CR89" s="238">
        <v>1</v>
      </c>
      <c r="CS89" s="238">
        <v>1</v>
      </c>
      <c r="CT89" s="239">
        <v>1</v>
      </c>
      <c r="CU89" s="295">
        <v>1</v>
      </c>
      <c r="CV89" s="296">
        <v>1</v>
      </c>
      <c r="CW89" s="296">
        <v>1</v>
      </c>
      <c r="CX89" s="296">
        <v>1</v>
      </c>
      <c r="CY89" s="296">
        <v>1</v>
      </c>
      <c r="CZ89" s="296">
        <v>1</v>
      </c>
      <c r="DA89" s="296">
        <v>0</v>
      </c>
      <c r="DB89" s="296">
        <v>0</v>
      </c>
      <c r="DC89" s="296">
        <v>1</v>
      </c>
      <c r="DD89" s="297">
        <v>1</v>
      </c>
      <c r="DE89" s="214">
        <v>1</v>
      </c>
      <c r="DF89" s="207">
        <v>1</v>
      </c>
      <c r="DG89" s="207">
        <v>1</v>
      </c>
      <c r="DH89" s="207">
        <v>1</v>
      </c>
      <c r="DI89" s="207">
        <v>1</v>
      </c>
      <c r="DJ89" s="207">
        <v>1</v>
      </c>
      <c r="DK89" s="207">
        <v>1</v>
      </c>
      <c r="DL89" s="207">
        <v>1</v>
      </c>
      <c r="DM89" s="207">
        <v>1</v>
      </c>
      <c r="DN89" s="215">
        <v>1</v>
      </c>
      <c r="DO89" s="226">
        <v>1</v>
      </c>
      <c r="DP89" s="227">
        <v>1</v>
      </c>
      <c r="DQ89" s="227">
        <v>1</v>
      </c>
      <c r="DR89" s="227">
        <v>1</v>
      </c>
      <c r="DS89" s="227">
        <v>1</v>
      </c>
      <c r="DT89" s="227">
        <v>1</v>
      </c>
      <c r="DU89" s="227">
        <v>1</v>
      </c>
      <c r="DV89" s="227">
        <v>1</v>
      </c>
      <c r="DW89" s="227">
        <v>1</v>
      </c>
      <c r="DX89" s="228">
        <v>1</v>
      </c>
      <c r="DY89" s="307">
        <v>1</v>
      </c>
      <c r="DZ89" s="91">
        <v>1</v>
      </c>
      <c r="EA89" s="91">
        <v>1</v>
      </c>
      <c r="EB89" s="91">
        <v>1</v>
      </c>
      <c r="EC89" s="91">
        <v>1</v>
      </c>
      <c r="ED89" s="91">
        <v>1</v>
      </c>
      <c r="EE89" s="91">
        <v>1</v>
      </c>
      <c r="EF89" s="91">
        <v>1</v>
      </c>
      <c r="EG89" s="91">
        <v>1</v>
      </c>
      <c r="EH89" s="91">
        <v>1</v>
      </c>
      <c r="EI89" s="238">
        <v>1</v>
      </c>
      <c r="EJ89" s="238">
        <v>1</v>
      </c>
      <c r="EK89" s="238">
        <v>1</v>
      </c>
      <c r="EL89" s="238">
        <v>1</v>
      </c>
      <c r="EM89" s="238">
        <v>1</v>
      </c>
      <c r="EN89" s="238">
        <v>1</v>
      </c>
      <c r="EO89" s="238">
        <v>1</v>
      </c>
      <c r="EP89" s="238">
        <v>1</v>
      </c>
      <c r="EQ89" s="238">
        <v>1</v>
      </c>
      <c r="ER89" s="238">
        <v>1</v>
      </c>
      <c r="ES89" s="350">
        <f t="shared" si="36"/>
        <v>6</v>
      </c>
      <c r="ET89" s="350">
        <f t="shared" si="34"/>
        <v>8</v>
      </c>
      <c r="EU89" s="350">
        <f t="shared" si="20"/>
        <v>8</v>
      </c>
      <c r="EV89" s="350">
        <f t="shared" si="35"/>
        <v>10</v>
      </c>
      <c r="EW89" s="350">
        <f t="shared" si="37"/>
        <v>10</v>
      </c>
      <c r="EX89" s="350">
        <f t="shared" si="21"/>
        <v>10</v>
      </c>
      <c r="EY89" s="350">
        <f t="shared" si="22"/>
        <v>10</v>
      </c>
      <c r="EZ89" s="350">
        <f t="shared" si="23"/>
        <v>0</v>
      </c>
      <c r="FA89" s="350">
        <f t="shared" si="24"/>
        <v>10</v>
      </c>
      <c r="FB89" s="350">
        <f t="shared" si="25"/>
        <v>8</v>
      </c>
      <c r="FC89" s="350">
        <f t="shared" si="26"/>
        <v>10</v>
      </c>
      <c r="FD89" s="350">
        <f t="shared" si="27"/>
        <v>10</v>
      </c>
      <c r="FE89" s="350">
        <f t="shared" si="28"/>
        <v>10</v>
      </c>
      <c r="FF89" s="350">
        <f t="shared" si="29"/>
        <v>10</v>
      </c>
      <c r="FG89" s="349">
        <f t="shared" si="33"/>
        <v>87</v>
      </c>
      <c r="FH89" s="319">
        <f t="shared" si="30"/>
        <v>120</v>
      </c>
      <c r="FI89" s="319">
        <f>SUM(I7:ER7)-SUM(ES89:FF89)</f>
        <v>8</v>
      </c>
      <c r="FJ89" s="319">
        <f t="shared" si="31"/>
        <v>128</v>
      </c>
      <c r="FK89" s="7"/>
    </row>
    <row r="90" spans="1:167" ht="15.75" customHeight="1">
      <c r="A90" s="2"/>
      <c r="B90" s="3">
        <f t="shared" si="19"/>
        <v>1</v>
      </c>
      <c r="C90" s="347">
        <v>31</v>
      </c>
      <c r="D90" s="201" t="s">
        <v>92</v>
      </c>
      <c r="E90" s="347"/>
      <c r="F90" s="347"/>
      <c r="G90" s="493">
        <v>45915</v>
      </c>
      <c r="H90" s="494"/>
      <c r="I90" s="214">
        <v>0</v>
      </c>
      <c r="J90" s="207">
        <v>0</v>
      </c>
      <c r="K90" s="207">
        <v>0</v>
      </c>
      <c r="L90" s="207">
        <v>0</v>
      </c>
      <c r="M90" s="207">
        <v>1</v>
      </c>
      <c r="N90" s="207">
        <v>1</v>
      </c>
      <c r="O90" s="207">
        <v>1</v>
      </c>
      <c r="P90" s="207">
        <v>1</v>
      </c>
      <c r="Q90" s="207">
        <v>1</v>
      </c>
      <c r="R90" s="215">
        <v>1</v>
      </c>
      <c r="S90" s="226">
        <v>1</v>
      </c>
      <c r="T90" s="227">
        <v>1</v>
      </c>
      <c r="U90" s="227">
        <v>1</v>
      </c>
      <c r="V90" s="227">
        <v>1</v>
      </c>
      <c r="W90" s="227">
        <v>1</v>
      </c>
      <c r="X90" s="227">
        <v>1</v>
      </c>
      <c r="Y90" s="227">
        <v>1</v>
      </c>
      <c r="Z90" s="227">
        <v>1</v>
      </c>
      <c r="AA90" s="227">
        <v>1</v>
      </c>
      <c r="AB90" s="228">
        <v>1</v>
      </c>
      <c r="AC90" s="258">
        <v>1</v>
      </c>
      <c r="AD90" s="178">
        <v>1</v>
      </c>
      <c r="AE90" s="178">
        <v>1</v>
      </c>
      <c r="AF90" s="178">
        <v>1</v>
      </c>
      <c r="AG90" s="530"/>
      <c r="AH90" s="531"/>
      <c r="AI90" s="178">
        <v>1</v>
      </c>
      <c r="AJ90" s="178">
        <v>1</v>
      </c>
      <c r="AK90" s="178">
        <v>1</v>
      </c>
      <c r="AL90" s="202">
        <v>1</v>
      </c>
      <c r="AM90" s="237">
        <v>1</v>
      </c>
      <c r="AN90" s="238">
        <v>1</v>
      </c>
      <c r="AO90" s="238">
        <v>1</v>
      </c>
      <c r="AP90" s="238">
        <v>1</v>
      </c>
      <c r="AQ90" s="238">
        <v>1</v>
      </c>
      <c r="AR90" s="238">
        <v>1</v>
      </c>
      <c r="AS90" s="238">
        <v>1</v>
      </c>
      <c r="AT90" s="238">
        <v>1</v>
      </c>
      <c r="AU90" s="238">
        <v>1</v>
      </c>
      <c r="AV90" s="273">
        <v>1</v>
      </c>
      <c r="AW90" s="295">
        <v>1</v>
      </c>
      <c r="AX90" s="296">
        <v>1</v>
      </c>
      <c r="AY90" s="296">
        <v>1</v>
      </c>
      <c r="AZ90" s="296">
        <v>1</v>
      </c>
      <c r="BA90" s="296">
        <v>1</v>
      </c>
      <c r="BB90" s="296">
        <v>1</v>
      </c>
      <c r="BC90" s="296">
        <v>1</v>
      </c>
      <c r="BD90" s="296">
        <v>1</v>
      </c>
      <c r="BE90" s="296">
        <v>1</v>
      </c>
      <c r="BF90" s="297">
        <v>1</v>
      </c>
      <c r="BG90" s="214">
        <v>1</v>
      </c>
      <c r="BH90" s="207">
        <v>1</v>
      </c>
      <c r="BI90" s="207">
        <v>1</v>
      </c>
      <c r="BJ90" s="207">
        <v>1</v>
      </c>
      <c r="BK90" s="207">
        <v>1</v>
      </c>
      <c r="BL90" s="207">
        <v>1</v>
      </c>
      <c r="BM90" s="207">
        <v>1</v>
      </c>
      <c r="BN90" s="207">
        <v>1</v>
      </c>
      <c r="BO90" s="207">
        <v>1</v>
      </c>
      <c r="BP90" s="215">
        <v>1</v>
      </c>
      <c r="BQ90" s="249">
        <v>1</v>
      </c>
      <c r="BR90" s="227">
        <v>1</v>
      </c>
      <c r="BS90" s="227">
        <v>1</v>
      </c>
      <c r="BT90" s="227">
        <v>1</v>
      </c>
      <c r="BU90" s="227">
        <v>1</v>
      </c>
      <c r="BV90" s="227">
        <v>1</v>
      </c>
      <c r="BW90" s="227">
        <v>1</v>
      </c>
      <c r="BX90" s="227">
        <v>1</v>
      </c>
      <c r="BY90" s="227">
        <v>1</v>
      </c>
      <c r="BZ90" s="247">
        <v>1</v>
      </c>
      <c r="CA90" s="537"/>
      <c r="CB90" s="538"/>
      <c r="CC90" s="538"/>
      <c r="CD90" s="538"/>
      <c r="CE90" s="538"/>
      <c r="CF90" s="538"/>
      <c r="CG90" s="538"/>
      <c r="CH90" s="538"/>
      <c r="CI90" s="538"/>
      <c r="CJ90" s="539"/>
      <c r="CK90" s="240">
        <v>1</v>
      </c>
      <c r="CL90" s="238">
        <v>1</v>
      </c>
      <c r="CM90" s="238">
        <v>1</v>
      </c>
      <c r="CN90" s="238">
        <v>1</v>
      </c>
      <c r="CO90" s="238">
        <v>1</v>
      </c>
      <c r="CP90" s="238">
        <v>1</v>
      </c>
      <c r="CQ90" s="238">
        <v>1</v>
      </c>
      <c r="CR90" s="238">
        <v>1</v>
      </c>
      <c r="CS90" s="238">
        <v>1</v>
      </c>
      <c r="CT90" s="239">
        <v>1</v>
      </c>
      <c r="CU90" s="295">
        <v>1</v>
      </c>
      <c r="CV90" s="296">
        <v>1</v>
      </c>
      <c r="CW90" s="296">
        <v>1</v>
      </c>
      <c r="CX90" s="296">
        <v>1</v>
      </c>
      <c r="CY90" s="296">
        <v>1</v>
      </c>
      <c r="CZ90" s="296">
        <v>1</v>
      </c>
      <c r="DA90" s="296">
        <v>1</v>
      </c>
      <c r="DB90" s="296">
        <v>1</v>
      </c>
      <c r="DC90" s="296">
        <v>1</v>
      </c>
      <c r="DD90" s="297">
        <v>1</v>
      </c>
      <c r="DE90" s="214">
        <v>1</v>
      </c>
      <c r="DF90" s="207">
        <v>1</v>
      </c>
      <c r="DG90" s="207">
        <v>1</v>
      </c>
      <c r="DH90" s="207">
        <v>1</v>
      </c>
      <c r="DI90" s="207">
        <v>1</v>
      </c>
      <c r="DJ90" s="207">
        <v>1</v>
      </c>
      <c r="DK90" s="207">
        <v>1</v>
      </c>
      <c r="DL90" s="207">
        <v>1</v>
      </c>
      <c r="DM90" s="207">
        <v>1</v>
      </c>
      <c r="DN90" s="215">
        <v>1</v>
      </c>
      <c r="DO90" s="226">
        <v>1</v>
      </c>
      <c r="DP90" s="227">
        <v>1</v>
      </c>
      <c r="DQ90" s="227">
        <v>1</v>
      </c>
      <c r="DR90" s="227">
        <v>1</v>
      </c>
      <c r="DS90" s="227">
        <v>1</v>
      </c>
      <c r="DT90" s="227">
        <v>1</v>
      </c>
      <c r="DU90" s="227">
        <v>1</v>
      </c>
      <c r="DV90" s="227">
        <v>1</v>
      </c>
      <c r="DW90" s="227">
        <v>1</v>
      </c>
      <c r="DX90" s="228">
        <v>1</v>
      </c>
      <c r="DY90" s="307">
        <v>1</v>
      </c>
      <c r="DZ90" s="91">
        <v>1</v>
      </c>
      <c r="EA90" s="91">
        <v>1</v>
      </c>
      <c r="EB90" s="91">
        <v>1</v>
      </c>
      <c r="EC90" s="91">
        <v>1</v>
      </c>
      <c r="ED90" s="91">
        <v>1</v>
      </c>
      <c r="EE90" s="91">
        <v>1</v>
      </c>
      <c r="EF90" s="91">
        <v>1</v>
      </c>
      <c r="EG90" s="91">
        <v>1</v>
      </c>
      <c r="EH90" s="91">
        <v>1</v>
      </c>
      <c r="EI90" s="238">
        <v>1</v>
      </c>
      <c r="EJ90" s="238">
        <v>1</v>
      </c>
      <c r="EK90" s="238">
        <v>1</v>
      </c>
      <c r="EL90" s="238">
        <v>1</v>
      </c>
      <c r="EM90" s="238">
        <v>1</v>
      </c>
      <c r="EN90" s="238">
        <v>1</v>
      </c>
      <c r="EO90" s="238">
        <v>1</v>
      </c>
      <c r="EP90" s="238">
        <v>1</v>
      </c>
      <c r="EQ90" s="238">
        <v>1</v>
      </c>
      <c r="ER90" s="238">
        <v>1</v>
      </c>
      <c r="ES90" s="350">
        <f t="shared" si="36"/>
        <v>0</v>
      </c>
      <c r="ET90" s="350">
        <f t="shared" si="34"/>
        <v>10</v>
      </c>
      <c r="EU90" s="350">
        <f t="shared" si="20"/>
        <v>8</v>
      </c>
      <c r="EV90" s="350">
        <f t="shared" si="35"/>
        <v>10</v>
      </c>
      <c r="EW90" s="350">
        <f t="shared" si="37"/>
        <v>10</v>
      </c>
      <c r="EX90" s="350">
        <f t="shared" si="21"/>
        <v>10</v>
      </c>
      <c r="EY90" s="350">
        <f t="shared" si="22"/>
        <v>10</v>
      </c>
      <c r="EZ90" s="350">
        <f t="shared" si="23"/>
        <v>0</v>
      </c>
      <c r="FA90" s="350">
        <f t="shared" si="24"/>
        <v>10</v>
      </c>
      <c r="FB90" s="350">
        <f t="shared" si="25"/>
        <v>10</v>
      </c>
      <c r="FC90" s="350">
        <f t="shared" si="26"/>
        <v>10</v>
      </c>
      <c r="FD90" s="350">
        <f t="shared" si="27"/>
        <v>10</v>
      </c>
      <c r="FE90" s="350">
        <f t="shared" si="28"/>
        <v>10</v>
      </c>
      <c r="FF90" s="350">
        <f t="shared" si="29"/>
        <v>10</v>
      </c>
      <c r="FG90" s="349">
        <f t="shared" si="33"/>
        <v>88</v>
      </c>
      <c r="FH90" s="319">
        <f t="shared" si="30"/>
        <v>118</v>
      </c>
      <c r="FI90" s="319">
        <f>SUM(I7:ER7)-SUM(ES90:FF90)</f>
        <v>10</v>
      </c>
      <c r="FJ90" s="319">
        <f t="shared" si="31"/>
        <v>128</v>
      </c>
      <c r="FK90" s="7"/>
    </row>
    <row r="91" spans="1:167" ht="15.75" customHeight="1">
      <c r="A91" s="2"/>
      <c r="B91" s="3">
        <f t="shared" si="19"/>
        <v>1</v>
      </c>
      <c r="C91" s="347">
        <v>32</v>
      </c>
      <c r="D91" s="201" t="s">
        <v>253</v>
      </c>
      <c r="E91" s="347"/>
      <c r="F91" s="347"/>
      <c r="G91" s="493">
        <v>45915</v>
      </c>
      <c r="H91" s="494"/>
      <c r="I91" s="214">
        <v>0</v>
      </c>
      <c r="J91" s="207">
        <v>0</v>
      </c>
      <c r="K91" s="207">
        <v>0</v>
      </c>
      <c r="L91" s="207">
        <v>0</v>
      </c>
      <c r="M91" s="207">
        <v>0</v>
      </c>
      <c r="N91" s="207">
        <v>0</v>
      </c>
      <c r="O91" s="207">
        <v>0</v>
      </c>
      <c r="P91" s="207">
        <v>0</v>
      </c>
      <c r="Q91" s="207">
        <v>0</v>
      </c>
      <c r="R91" s="215">
        <v>0</v>
      </c>
      <c r="S91" s="226">
        <v>0</v>
      </c>
      <c r="T91" s="227">
        <v>0</v>
      </c>
      <c r="U91" s="227">
        <v>0</v>
      </c>
      <c r="V91" s="227">
        <v>0</v>
      </c>
      <c r="W91" s="227">
        <v>0</v>
      </c>
      <c r="X91" s="227">
        <v>0</v>
      </c>
      <c r="Y91" s="227">
        <v>0</v>
      </c>
      <c r="Z91" s="227">
        <v>0</v>
      </c>
      <c r="AA91" s="227">
        <v>0</v>
      </c>
      <c r="AB91" s="228">
        <v>0</v>
      </c>
      <c r="AC91" s="258">
        <v>0</v>
      </c>
      <c r="AD91" s="178">
        <v>0</v>
      </c>
      <c r="AE91" s="178">
        <v>0</v>
      </c>
      <c r="AF91" s="178">
        <v>0</v>
      </c>
      <c r="AG91" s="530"/>
      <c r="AH91" s="531"/>
      <c r="AI91" s="178">
        <v>0</v>
      </c>
      <c r="AJ91" s="178">
        <v>0</v>
      </c>
      <c r="AK91" s="178">
        <v>0</v>
      </c>
      <c r="AL91" s="202">
        <v>0</v>
      </c>
      <c r="AM91" s="237">
        <v>0</v>
      </c>
      <c r="AN91" s="238">
        <v>0</v>
      </c>
      <c r="AO91" s="238">
        <v>0</v>
      </c>
      <c r="AP91" s="238">
        <v>0</v>
      </c>
      <c r="AQ91" s="238">
        <v>0</v>
      </c>
      <c r="AR91" s="238">
        <v>0</v>
      </c>
      <c r="AS91" s="238">
        <v>0</v>
      </c>
      <c r="AT91" s="238">
        <v>0</v>
      </c>
      <c r="AU91" s="238">
        <v>0</v>
      </c>
      <c r="AV91" s="273">
        <v>0</v>
      </c>
      <c r="AW91" s="295">
        <v>0</v>
      </c>
      <c r="AX91" s="296">
        <v>0</v>
      </c>
      <c r="AY91" s="296">
        <v>0</v>
      </c>
      <c r="AZ91" s="296">
        <v>0</v>
      </c>
      <c r="BA91" s="296">
        <v>0</v>
      </c>
      <c r="BB91" s="296">
        <v>0</v>
      </c>
      <c r="BC91" s="296">
        <v>0</v>
      </c>
      <c r="BD91" s="296">
        <v>0</v>
      </c>
      <c r="BE91" s="296">
        <v>0</v>
      </c>
      <c r="BF91" s="297">
        <v>0</v>
      </c>
      <c r="BG91" s="214">
        <v>0</v>
      </c>
      <c r="BH91" s="207">
        <v>0</v>
      </c>
      <c r="BI91" s="207">
        <v>0</v>
      </c>
      <c r="BJ91" s="207">
        <v>0</v>
      </c>
      <c r="BK91" s="207">
        <v>0</v>
      </c>
      <c r="BL91" s="207">
        <v>0</v>
      </c>
      <c r="BM91" s="207">
        <v>0</v>
      </c>
      <c r="BN91" s="207">
        <v>0</v>
      </c>
      <c r="BO91" s="207">
        <v>0</v>
      </c>
      <c r="BP91" s="215">
        <v>0</v>
      </c>
      <c r="BQ91" s="249">
        <v>0</v>
      </c>
      <c r="BR91" s="227">
        <v>0</v>
      </c>
      <c r="BS91" s="227">
        <v>0</v>
      </c>
      <c r="BT91" s="227">
        <v>0</v>
      </c>
      <c r="BU91" s="227">
        <v>0</v>
      </c>
      <c r="BV91" s="227">
        <v>0</v>
      </c>
      <c r="BW91" s="227">
        <v>0</v>
      </c>
      <c r="BX91" s="227">
        <v>0</v>
      </c>
      <c r="BY91" s="227">
        <v>0</v>
      </c>
      <c r="BZ91" s="247">
        <v>0</v>
      </c>
      <c r="CA91" s="537"/>
      <c r="CB91" s="538"/>
      <c r="CC91" s="538"/>
      <c r="CD91" s="538"/>
      <c r="CE91" s="538"/>
      <c r="CF91" s="538"/>
      <c r="CG91" s="538"/>
      <c r="CH91" s="538"/>
      <c r="CI91" s="538"/>
      <c r="CJ91" s="539"/>
      <c r="CK91" s="240">
        <v>0</v>
      </c>
      <c r="CL91" s="238">
        <v>0</v>
      </c>
      <c r="CM91" s="238">
        <v>0</v>
      </c>
      <c r="CN91" s="238">
        <v>0</v>
      </c>
      <c r="CO91" s="238">
        <v>0</v>
      </c>
      <c r="CP91" s="238">
        <v>0</v>
      </c>
      <c r="CQ91" s="238">
        <v>0</v>
      </c>
      <c r="CR91" s="238">
        <v>0</v>
      </c>
      <c r="CS91" s="238">
        <v>0</v>
      </c>
      <c r="CT91" s="239">
        <v>0</v>
      </c>
      <c r="CU91" s="295">
        <v>0</v>
      </c>
      <c r="CV91" s="296">
        <v>0</v>
      </c>
      <c r="CW91" s="296">
        <v>0</v>
      </c>
      <c r="CX91" s="296">
        <v>0</v>
      </c>
      <c r="CY91" s="296">
        <v>0</v>
      </c>
      <c r="CZ91" s="296">
        <v>0</v>
      </c>
      <c r="DA91" s="296">
        <v>0</v>
      </c>
      <c r="DB91" s="296">
        <v>0</v>
      </c>
      <c r="DC91" s="296">
        <v>0</v>
      </c>
      <c r="DD91" s="297">
        <v>0</v>
      </c>
      <c r="DE91" s="214">
        <v>0</v>
      </c>
      <c r="DF91" s="207">
        <v>0</v>
      </c>
      <c r="DG91" s="207">
        <v>0</v>
      </c>
      <c r="DH91" s="207">
        <v>0</v>
      </c>
      <c r="DI91" s="207">
        <v>0</v>
      </c>
      <c r="DJ91" s="207">
        <v>0</v>
      </c>
      <c r="DK91" s="207">
        <v>0</v>
      </c>
      <c r="DL91" s="207">
        <v>0</v>
      </c>
      <c r="DM91" s="207">
        <v>0</v>
      </c>
      <c r="DN91" s="215">
        <v>0</v>
      </c>
      <c r="DO91" s="226">
        <v>0</v>
      </c>
      <c r="DP91" s="227">
        <v>0</v>
      </c>
      <c r="DQ91" s="227">
        <v>0</v>
      </c>
      <c r="DR91" s="227">
        <v>0</v>
      </c>
      <c r="DS91" s="227">
        <v>0</v>
      </c>
      <c r="DT91" s="227">
        <v>0</v>
      </c>
      <c r="DU91" s="227">
        <v>0</v>
      </c>
      <c r="DV91" s="227">
        <v>0</v>
      </c>
      <c r="DW91" s="227">
        <v>0</v>
      </c>
      <c r="DX91" s="228">
        <v>0</v>
      </c>
      <c r="DY91" s="307">
        <v>0</v>
      </c>
      <c r="DZ91" s="91">
        <v>0</v>
      </c>
      <c r="EA91" s="91">
        <v>0</v>
      </c>
      <c r="EB91" s="91">
        <v>0</v>
      </c>
      <c r="EC91" s="91">
        <v>0</v>
      </c>
      <c r="ED91" s="91">
        <v>0</v>
      </c>
      <c r="EE91" s="91">
        <v>0</v>
      </c>
      <c r="EF91" s="91">
        <v>0</v>
      </c>
      <c r="EG91" s="91">
        <v>0</v>
      </c>
      <c r="EH91" s="91">
        <v>0</v>
      </c>
      <c r="EI91" s="238">
        <v>0</v>
      </c>
      <c r="EJ91" s="238">
        <v>0</v>
      </c>
      <c r="EK91" s="238">
        <v>0</v>
      </c>
      <c r="EL91" s="238">
        <v>0</v>
      </c>
      <c r="EM91" s="238">
        <v>0</v>
      </c>
      <c r="EN91" s="238">
        <v>0</v>
      </c>
      <c r="EO91" s="238">
        <v>0</v>
      </c>
      <c r="EP91" s="238">
        <v>0</v>
      </c>
      <c r="EQ91" s="238">
        <v>0</v>
      </c>
      <c r="ER91" s="238">
        <v>0</v>
      </c>
      <c r="ES91" s="350">
        <f t="shared" si="36"/>
        <v>0</v>
      </c>
      <c r="ET91" s="350">
        <f t="shared" si="34"/>
        <v>0</v>
      </c>
      <c r="EU91" s="350">
        <f t="shared" si="20"/>
        <v>0</v>
      </c>
      <c r="EV91" s="350">
        <f t="shared" si="35"/>
        <v>0</v>
      </c>
      <c r="EW91" s="350">
        <f t="shared" si="37"/>
        <v>0</v>
      </c>
      <c r="EX91" s="350">
        <f t="shared" si="21"/>
        <v>0</v>
      </c>
      <c r="EY91" s="350">
        <f t="shared" si="22"/>
        <v>0</v>
      </c>
      <c r="EZ91" s="350">
        <f t="shared" si="23"/>
        <v>0</v>
      </c>
      <c r="FA91" s="350">
        <f t="shared" si="24"/>
        <v>0</v>
      </c>
      <c r="FB91" s="350">
        <f t="shared" si="25"/>
        <v>0</v>
      </c>
      <c r="FC91" s="350">
        <f t="shared" si="26"/>
        <v>0</v>
      </c>
      <c r="FD91" s="350">
        <f t="shared" si="27"/>
        <v>0</v>
      </c>
      <c r="FE91" s="350">
        <f t="shared" si="28"/>
        <v>0</v>
      </c>
      <c r="FF91" s="350">
        <f t="shared" si="29"/>
        <v>0</v>
      </c>
      <c r="FG91" s="349">
        <f t="shared" si="33"/>
        <v>89</v>
      </c>
      <c r="FH91" s="319">
        <f t="shared" si="30"/>
        <v>0</v>
      </c>
      <c r="FI91" s="319">
        <f>SUM(I7:ER7)-SUM(ES91:FF91)</f>
        <v>128</v>
      </c>
      <c r="FJ91" s="319">
        <f t="shared" si="31"/>
        <v>128</v>
      </c>
      <c r="FK91" s="7"/>
    </row>
    <row r="92" spans="1:167" ht="15.75" customHeight="1">
      <c r="A92" s="2"/>
      <c r="B92" s="3">
        <f t="shared" si="19"/>
        <v>1</v>
      </c>
      <c r="C92" s="347">
        <v>33</v>
      </c>
      <c r="D92" s="201" t="s">
        <v>254</v>
      </c>
      <c r="E92" s="347"/>
      <c r="F92" s="347"/>
      <c r="G92" s="493">
        <v>45915</v>
      </c>
      <c r="H92" s="494"/>
      <c r="I92" s="214">
        <v>0</v>
      </c>
      <c r="J92" s="207">
        <v>0</v>
      </c>
      <c r="K92" s="207">
        <v>0</v>
      </c>
      <c r="L92" s="207">
        <v>0</v>
      </c>
      <c r="M92" s="207">
        <v>0</v>
      </c>
      <c r="N92" s="207">
        <v>0</v>
      </c>
      <c r="O92" s="207">
        <v>0</v>
      </c>
      <c r="P92" s="207">
        <v>0</v>
      </c>
      <c r="Q92" s="207">
        <v>0</v>
      </c>
      <c r="R92" s="215">
        <v>0</v>
      </c>
      <c r="S92" s="226">
        <v>0</v>
      </c>
      <c r="T92" s="227">
        <v>0</v>
      </c>
      <c r="U92" s="227">
        <v>0</v>
      </c>
      <c r="V92" s="227">
        <v>0</v>
      </c>
      <c r="W92" s="227">
        <v>0</v>
      </c>
      <c r="X92" s="227">
        <v>0</v>
      </c>
      <c r="Y92" s="227">
        <v>0</v>
      </c>
      <c r="Z92" s="227">
        <v>0</v>
      </c>
      <c r="AA92" s="227">
        <v>0</v>
      </c>
      <c r="AB92" s="228">
        <v>0</v>
      </c>
      <c r="AC92" s="258">
        <v>0</v>
      </c>
      <c r="AD92" s="178">
        <v>0</v>
      </c>
      <c r="AE92" s="178">
        <v>0</v>
      </c>
      <c r="AF92" s="178">
        <v>0</v>
      </c>
      <c r="AG92" s="530"/>
      <c r="AH92" s="531"/>
      <c r="AI92" s="178">
        <v>1</v>
      </c>
      <c r="AJ92" s="178">
        <v>1</v>
      </c>
      <c r="AK92" s="178">
        <v>1</v>
      </c>
      <c r="AL92" s="202">
        <v>1</v>
      </c>
      <c r="AM92" s="237">
        <v>1</v>
      </c>
      <c r="AN92" s="238">
        <v>1</v>
      </c>
      <c r="AO92" s="238">
        <v>1</v>
      </c>
      <c r="AP92" s="238">
        <v>1</v>
      </c>
      <c r="AQ92" s="238">
        <v>1</v>
      </c>
      <c r="AR92" s="238">
        <v>1</v>
      </c>
      <c r="AS92" s="238">
        <v>1</v>
      </c>
      <c r="AT92" s="238">
        <v>1</v>
      </c>
      <c r="AU92" s="238">
        <v>1</v>
      </c>
      <c r="AV92" s="273">
        <v>1</v>
      </c>
      <c r="AW92" s="295">
        <v>1</v>
      </c>
      <c r="AX92" s="296">
        <v>1</v>
      </c>
      <c r="AY92" s="296">
        <v>1</v>
      </c>
      <c r="AZ92" s="296">
        <v>1</v>
      </c>
      <c r="BA92" s="296">
        <v>1</v>
      </c>
      <c r="BB92" s="296">
        <v>1</v>
      </c>
      <c r="BC92" s="296">
        <v>1</v>
      </c>
      <c r="BD92" s="296">
        <v>1</v>
      </c>
      <c r="BE92" s="296">
        <v>1</v>
      </c>
      <c r="BF92" s="297">
        <v>1</v>
      </c>
      <c r="BG92" s="214">
        <v>1</v>
      </c>
      <c r="BH92" s="207">
        <v>1</v>
      </c>
      <c r="BI92" s="207">
        <v>1</v>
      </c>
      <c r="BJ92" s="207">
        <v>1</v>
      </c>
      <c r="BK92" s="207">
        <v>1</v>
      </c>
      <c r="BL92" s="207">
        <v>1</v>
      </c>
      <c r="BM92" s="207">
        <v>1</v>
      </c>
      <c r="BN92" s="207">
        <v>1</v>
      </c>
      <c r="BO92" s="207">
        <v>1</v>
      </c>
      <c r="BP92" s="215">
        <v>1</v>
      </c>
      <c r="BQ92" s="249">
        <v>1</v>
      </c>
      <c r="BR92" s="227">
        <v>1</v>
      </c>
      <c r="BS92" s="227">
        <v>1</v>
      </c>
      <c r="BT92" s="227">
        <v>1</v>
      </c>
      <c r="BU92" s="227">
        <v>1</v>
      </c>
      <c r="BV92" s="227">
        <v>1</v>
      </c>
      <c r="BW92" s="227">
        <v>1</v>
      </c>
      <c r="BX92" s="227">
        <v>1</v>
      </c>
      <c r="BY92" s="227">
        <v>1</v>
      </c>
      <c r="BZ92" s="247">
        <v>1</v>
      </c>
      <c r="CA92" s="537"/>
      <c r="CB92" s="538"/>
      <c r="CC92" s="538"/>
      <c r="CD92" s="538"/>
      <c r="CE92" s="538"/>
      <c r="CF92" s="538"/>
      <c r="CG92" s="538"/>
      <c r="CH92" s="538"/>
      <c r="CI92" s="538"/>
      <c r="CJ92" s="539"/>
      <c r="CK92" s="240">
        <v>1</v>
      </c>
      <c r="CL92" s="238">
        <v>1</v>
      </c>
      <c r="CM92" s="238">
        <v>1</v>
      </c>
      <c r="CN92" s="238">
        <v>1</v>
      </c>
      <c r="CO92" s="238">
        <v>1</v>
      </c>
      <c r="CP92" s="238">
        <v>1</v>
      </c>
      <c r="CQ92" s="238">
        <v>1</v>
      </c>
      <c r="CR92" s="238">
        <v>1</v>
      </c>
      <c r="CS92" s="238">
        <v>1</v>
      </c>
      <c r="CT92" s="239">
        <v>1</v>
      </c>
      <c r="CU92" s="295">
        <v>1</v>
      </c>
      <c r="CV92" s="296">
        <v>1</v>
      </c>
      <c r="CW92" s="296">
        <v>1</v>
      </c>
      <c r="CX92" s="296">
        <v>1</v>
      </c>
      <c r="CY92" s="296">
        <v>1</v>
      </c>
      <c r="CZ92" s="296">
        <v>1</v>
      </c>
      <c r="DA92" s="296">
        <v>1</v>
      </c>
      <c r="DB92" s="296">
        <v>1</v>
      </c>
      <c r="DC92" s="296">
        <v>1</v>
      </c>
      <c r="DD92" s="297">
        <v>1</v>
      </c>
      <c r="DE92" s="214">
        <v>1</v>
      </c>
      <c r="DF92" s="207">
        <v>1</v>
      </c>
      <c r="DG92" s="207">
        <v>1</v>
      </c>
      <c r="DH92" s="207">
        <v>1</v>
      </c>
      <c r="DI92" s="207">
        <v>1</v>
      </c>
      <c r="DJ92" s="207">
        <v>1</v>
      </c>
      <c r="DK92" s="207">
        <v>1</v>
      </c>
      <c r="DL92" s="207">
        <v>1</v>
      </c>
      <c r="DM92" s="207">
        <v>1</v>
      </c>
      <c r="DN92" s="215">
        <v>1</v>
      </c>
      <c r="DO92" s="226">
        <v>1</v>
      </c>
      <c r="DP92" s="227">
        <v>1</v>
      </c>
      <c r="DQ92" s="227">
        <v>1</v>
      </c>
      <c r="DR92" s="227">
        <v>1</v>
      </c>
      <c r="DS92" s="227">
        <v>1</v>
      </c>
      <c r="DT92" s="227">
        <v>1</v>
      </c>
      <c r="DU92" s="227">
        <v>1</v>
      </c>
      <c r="DV92" s="227">
        <v>1</v>
      </c>
      <c r="DW92" s="227">
        <v>1</v>
      </c>
      <c r="DX92" s="228">
        <v>1</v>
      </c>
      <c r="DY92" s="307">
        <v>1</v>
      </c>
      <c r="DZ92" s="91">
        <v>1</v>
      </c>
      <c r="EA92" s="91">
        <v>1</v>
      </c>
      <c r="EB92" s="91">
        <v>1</v>
      </c>
      <c r="EC92" s="91">
        <v>1</v>
      </c>
      <c r="ED92" s="91">
        <v>1</v>
      </c>
      <c r="EE92" s="91">
        <v>1</v>
      </c>
      <c r="EF92" s="91">
        <v>1</v>
      </c>
      <c r="EG92" s="91">
        <v>1</v>
      </c>
      <c r="EH92" s="91">
        <v>1</v>
      </c>
      <c r="EI92" s="238">
        <v>1</v>
      </c>
      <c r="EJ92" s="238">
        <v>1</v>
      </c>
      <c r="EK92" s="238">
        <v>1</v>
      </c>
      <c r="EL92" s="238">
        <v>1</v>
      </c>
      <c r="EM92" s="238">
        <v>1</v>
      </c>
      <c r="EN92" s="238">
        <v>1</v>
      </c>
      <c r="EO92" s="238">
        <v>1</v>
      </c>
      <c r="EP92" s="238">
        <v>1</v>
      </c>
      <c r="EQ92" s="238">
        <v>1</v>
      </c>
      <c r="ER92" s="238">
        <v>1</v>
      </c>
      <c r="ES92" s="350">
        <f t="shared" si="36"/>
        <v>0</v>
      </c>
      <c r="ET92" s="350">
        <f t="shared" si="34"/>
        <v>0</v>
      </c>
      <c r="EU92" s="350">
        <f t="shared" si="20"/>
        <v>4</v>
      </c>
      <c r="EV92" s="350">
        <f t="shared" si="35"/>
        <v>10</v>
      </c>
      <c r="EW92" s="350">
        <f t="shared" si="37"/>
        <v>10</v>
      </c>
      <c r="EX92" s="350">
        <f t="shared" si="21"/>
        <v>10</v>
      </c>
      <c r="EY92" s="350">
        <f t="shared" si="22"/>
        <v>10</v>
      </c>
      <c r="EZ92" s="350">
        <f t="shared" si="23"/>
        <v>0</v>
      </c>
      <c r="FA92" s="350">
        <f t="shared" si="24"/>
        <v>10</v>
      </c>
      <c r="FB92" s="350">
        <f t="shared" si="25"/>
        <v>10</v>
      </c>
      <c r="FC92" s="350">
        <f t="shared" si="26"/>
        <v>10</v>
      </c>
      <c r="FD92" s="350">
        <f t="shared" si="27"/>
        <v>10</v>
      </c>
      <c r="FE92" s="350">
        <f t="shared" si="28"/>
        <v>10</v>
      </c>
      <c r="FF92" s="350">
        <f t="shared" si="29"/>
        <v>10</v>
      </c>
      <c r="FG92" s="349">
        <f t="shared" si="33"/>
        <v>90</v>
      </c>
      <c r="FH92" s="319">
        <f t="shared" si="30"/>
        <v>104</v>
      </c>
      <c r="FI92" s="319">
        <f>SUM(I7:ER7)-SUM(ES92:FF92)</f>
        <v>24</v>
      </c>
      <c r="FJ92" s="319">
        <f t="shared" si="31"/>
        <v>128</v>
      </c>
      <c r="FK92" s="7"/>
    </row>
    <row r="93" spans="1:167" ht="15.75" customHeight="1">
      <c r="A93" s="2"/>
      <c r="B93" s="3">
        <f t="shared" si="19"/>
        <v>1</v>
      </c>
      <c r="C93" s="347">
        <v>34</v>
      </c>
      <c r="D93" s="201" t="s">
        <v>255</v>
      </c>
      <c r="E93" s="347"/>
      <c r="F93" s="347"/>
      <c r="G93" s="493">
        <v>45915</v>
      </c>
      <c r="H93" s="494"/>
      <c r="I93" s="214">
        <v>0</v>
      </c>
      <c r="J93" s="207">
        <v>0</v>
      </c>
      <c r="K93" s="207">
        <v>0</v>
      </c>
      <c r="L93" s="207">
        <v>0</v>
      </c>
      <c r="M93" s="207">
        <v>0</v>
      </c>
      <c r="N93" s="207">
        <v>0</v>
      </c>
      <c r="O93" s="207">
        <v>0</v>
      </c>
      <c r="P93" s="207">
        <v>0</v>
      </c>
      <c r="Q93" s="207">
        <v>0</v>
      </c>
      <c r="R93" s="215">
        <v>0</v>
      </c>
      <c r="S93" s="226">
        <v>0</v>
      </c>
      <c r="T93" s="227">
        <v>0</v>
      </c>
      <c r="U93" s="227">
        <v>0</v>
      </c>
      <c r="V93" s="227">
        <v>0</v>
      </c>
      <c r="W93" s="227">
        <v>0</v>
      </c>
      <c r="X93" s="227">
        <v>0</v>
      </c>
      <c r="Y93" s="227">
        <v>0</v>
      </c>
      <c r="Z93" s="227">
        <v>0</v>
      </c>
      <c r="AA93" s="227">
        <v>0</v>
      </c>
      <c r="AB93" s="228">
        <v>0</v>
      </c>
      <c r="AC93" s="258">
        <v>0</v>
      </c>
      <c r="AD93" s="178">
        <v>0</v>
      </c>
      <c r="AE93" s="178">
        <v>0</v>
      </c>
      <c r="AF93" s="178">
        <v>0</v>
      </c>
      <c r="AG93" s="530"/>
      <c r="AH93" s="531"/>
      <c r="AI93" s="178">
        <v>0</v>
      </c>
      <c r="AJ93" s="178">
        <v>0</v>
      </c>
      <c r="AK93" s="178">
        <v>0</v>
      </c>
      <c r="AL93" s="202">
        <v>0</v>
      </c>
      <c r="AM93" s="237">
        <v>1</v>
      </c>
      <c r="AN93" s="238">
        <v>1</v>
      </c>
      <c r="AO93" s="238">
        <v>1</v>
      </c>
      <c r="AP93" s="238">
        <v>1</v>
      </c>
      <c r="AQ93" s="238">
        <v>1</v>
      </c>
      <c r="AR93" s="238">
        <v>1</v>
      </c>
      <c r="AS93" s="238">
        <v>1</v>
      </c>
      <c r="AT93" s="238">
        <v>1</v>
      </c>
      <c r="AU93" s="238">
        <v>1</v>
      </c>
      <c r="AV93" s="273">
        <v>1</v>
      </c>
      <c r="AW93" s="295">
        <v>1</v>
      </c>
      <c r="AX93" s="296">
        <v>1</v>
      </c>
      <c r="AY93" s="296">
        <v>1</v>
      </c>
      <c r="AZ93" s="296">
        <v>1</v>
      </c>
      <c r="BA93" s="296">
        <v>1</v>
      </c>
      <c r="BB93" s="296">
        <v>1</v>
      </c>
      <c r="BC93" s="296">
        <v>1</v>
      </c>
      <c r="BD93" s="296">
        <v>1</v>
      </c>
      <c r="BE93" s="296">
        <v>1</v>
      </c>
      <c r="BF93" s="297">
        <v>1</v>
      </c>
      <c r="BG93" s="214">
        <v>1</v>
      </c>
      <c r="BH93" s="207">
        <v>1</v>
      </c>
      <c r="BI93" s="207">
        <v>1</v>
      </c>
      <c r="BJ93" s="207">
        <v>1</v>
      </c>
      <c r="BK93" s="207">
        <v>1</v>
      </c>
      <c r="BL93" s="207">
        <v>1</v>
      </c>
      <c r="BM93" s="207">
        <v>1</v>
      </c>
      <c r="BN93" s="207">
        <v>1</v>
      </c>
      <c r="BO93" s="207">
        <v>1</v>
      </c>
      <c r="BP93" s="215">
        <v>1</v>
      </c>
      <c r="BQ93" s="249">
        <v>1</v>
      </c>
      <c r="BR93" s="227">
        <v>1</v>
      </c>
      <c r="BS93" s="227">
        <v>1</v>
      </c>
      <c r="BT93" s="227">
        <v>1</v>
      </c>
      <c r="BU93" s="227">
        <v>1</v>
      </c>
      <c r="BV93" s="227">
        <v>1</v>
      </c>
      <c r="BW93" s="227">
        <v>1</v>
      </c>
      <c r="BX93" s="227">
        <v>1</v>
      </c>
      <c r="BY93" s="227">
        <v>1</v>
      </c>
      <c r="BZ93" s="247">
        <v>1</v>
      </c>
      <c r="CA93" s="537"/>
      <c r="CB93" s="538"/>
      <c r="CC93" s="538"/>
      <c r="CD93" s="538"/>
      <c r="CE93" s="538"/>
      <c r="CF93" s="538"/>
      <c r="CG93" s="538"/>
      <c r="CH93" s="538"/>
      <c r="CI93" s="538"/>
      <c r="CJ93" s="539"/>
      <c r="CK93" s="240">
        <v>1</v>
      </c>
      <c r="CL93" s="238">
        <v>1</v>
      </c>
      <c r="CM93" s="238">
        <v>1</v>
      </c>
      <c r="CN93" s="238">
        <v>1</v>
      </c>
      <c r="CO93" s="238">
        <v>1</v>
      </c>
      <c r="CP93" s="238">
        <v>1</v>
      </c>
      <c r="CQ93" s="238">
        <v>1</v>
      </c>
      <c r="CR93" s="238">
        <v>1</v>
      </c>
      <c r="CS93" s="238">
        <v>1</v>
      </c>
      <c r="CT93" s="239">
        <v>1</v>
      </c>
      <c r="CU93" s="295">
        <v>1</v>
      </c>
      <c r="CV93" s="296">
        <v>1</v>
      </c>
      <c r="CW93" s="296">
        <v>1</v>
      </c>
      <c r="CX93" s="296">
        <v>1</v>
      </c>
      <c r="CY93" s="296">
        <v>1</v>
      </c>
      <c r="CZ93" s="296">
        <v>1</v>
      </c>
      <c r="DA93" s="296">
        <v>1</v>
      </c>
      <c r="DB93" s="296">
        <v>1</v>
      </c>
      <c r="DC93" s="296">
        <v>1</v>
      </c>
      <c r="DD93" s="297">
        <v>1</v>
      </c>
      <c r="DE93" s="214">
        <v>1</v>
      </c>
      <c r="DF93" s="207">
        <v>1</v>
      </c>
      <c r="DG93" s="207">
        <v>1</v>
      </c>
      <c r="DH93" s="207">
        <v>1</v>
      </c>
      <c r="DI93" s="207">
        <v>1</v>
      </c>
      <c r="DJ93" s="207">
        <v>1</v>
      </c>
      <c r="DK93" s="207">
        <v>1</v>
      </c>
      <c r="DL93" s="207">
        <v>1</v>
      </c>
      <c r="DM93" s="207">
        <v>1</v>
      </c>
      <c r="DN93" s="215">
        <v>1</v>
      </c>
      <c r="DO93" s="226">
        <v>1</v>
      </c>
      <c r="DP93" s="227">
        <v>1</v>
      </c>
      <c r="DQ93" s="227">
        <v>1</v>
      </c>
      <c r="DR93" s="227">
        <v>1</v>
      </c>
      <c r="DS93" s="227">
        <v>1</v>
      </c>
      <c r="DT93" s="227">
        <v>1</v>
      </c>
      <c r="DU93" s="227">
        <v>1</v>
      </c>
      <c r="DV93" s="227">
        <v>1</v>
      </c>
      <c r="DW93" s="227">
        <v>1</v>
      </c>
      <c r="DX93" s="228">
        <v>1</v>
      </c>
      <c r="DY93" s="307">
        <v>1</v>
      </c>
      <c r="DZ93" s="91">
        <v>1</v>
      </c>
      <c r="EA93" s="91">
        <v>1</v>
      </c>
      <c r="EB93" s="91">
        <v>1</v>
      </c>
      <c r="EC93" s="91">
        <v>1</v>
      </c>
      <c r="ED93" s="91">
        <v>1</v>
      </c>
      <c r="EE93" s="91">
        <v>1</v>
      </c>
      <c r="EF93" s="91">
        <v>1</v>
      </c>
      <c r="EG93" s="91">
        <v>1</v>
      </c>
      <c r="EH93" s="91">
        <v>1</v>
      </c>
      <c r="EI93" s="238">
        <v>1</v>
      </c>
      <c r="EJ93" s="238">
        <v>1</v>
      </c>
      <c r="EK93" s="238">
        <v>1</v>
      </c>
      <c r="EL93" s="238">
        <v>1</v>
      </c>
      <c r="EM93" s="238">
        <v>1</v>
      </c>
      <c r="EN93" s="238">
        <v>1</v>
      </c>
      <c r="EO93" s="238">
        <v>1</v>
      </c>
      <c r="EP93" s="238">
        <v>1</v>
      </c>
      <c r="EQ93" s="238">
        <v>1</v>
      </c>
      <c r="ER93" s="238">
        <v>1</v>
      </c>
      <c r="ES93" s="350">
        <f t="shared" si="36"/>
        <v>0</v>
      </c>
      <c r="ET93" s="350">
        <f t="shared" si="34"/>
        <v>0</v>
      </c>
      <c r="EU93" s="350">
        <f t="shared" si="20"/>
        <v>0</v>
      </c>
      <c r="EV93" s="350">
        <f t="shared" si="35"/>
        <v>10</v>
      </c>
      <c r="EW93" s="350">
        <f t="shared" si="37"/>
        <v>10</v>
      </c>
      <c r="EX93" s="350">
        <f t="shared" si="21"/>
        <v>10</v>
      </c>
      <c r="EY93" s="350">
        <f t="shared" si="22"/>
        <v>10</v>
      </c>
      <c r="EZ93" s="350">
        <f t="shared" si="23"/>
        <v>0</v>
      </c>
      <c r="FA93" s="350">
        <f t="shared" si="24"/>
        <v>10</v>
      </c>
      <c r="FB93" s="350">
        <f t="shared" si="25"/>
        <v>10</v>
      </c>
      <c r="FC93" s="350">
        <f t="shared" si="26"/>
        <v>10</v>
      </c>
      <c r="FD93" s="350">
        <f t="shared" si="27"/>
        <v>10</v>
      </c>
      <c r="FE93" s="350">
        <f t="shared" si="28"/>
        <v>10</v>
      </c>
      <c r="FF93" s="350">
        <f t="shared" si="29"/>
        <v>10</v>
      </c>
      <c r="FG93" s="349">
        <f t="shared" si="33"/>
        <v>91</v>
      </c>
      <c r="FH93" s="319">
        <f t="shared" si="30"/>
        <v>100</v>
      </c>
      <c r="FI93" s="319">
        <f>SUM(I7:ER7)-SUM(ES93:FF93)</f>
        <v>28</v>
      </c>
      <c r="FJ93" s="319">
        <f t="shared" si="31"/>
        <v>128</v>
      </c>
      <c r="FK93" s="7"/>
    </row>
    <row r="94" spans="1:167" ht="15.75" customHeight="1">
      <c r="A94" s="2"/>
      <c r="B94" s="3">
        <f t="shared" si="19"/>
        <v>1</v>
      </c>
      <c r="C94" s="347">
        <v>35</v>
      </c>
      <c r="D94" s="201" t="s">
        <v>256</v>
      </c>
      <c r="E94" s="347"/>
      <c r="F94" s="347"/>
      <c r="G94" s="493">
        <v>45915</v>
      </c>
      <c r="H94" s="494"/>
      <c r="I94" s="214">
        <v>0</v>
      </c>
      <c r="J94" s="207">
        <v>0</v>
      </c>
      <c r="K94" s="207">
        <v>0</v>
      </c>
      <c r="L94" s="207">
        <v>0</v>
      </c>
      <c r="M94" s="207">
        <v>0</v>
      </c>
      <c r="N94" s="207">
        <v>0</v>
      </c>
      <c r="O94" s="207">
        <v>0</v>
      </c>
      <c r="P94" s="207">
        <v>0</v>
      </c>
      <c r="Q94" s="207">
        <v>0</v>
      </c>
      <c r="R94" s="215">
        <v>0</v>
      </c>
      <c r="S94" s="226">
        <v>0</v>
      </c>
      <c r="T94" s="227">
        <v>0</v>
      </c>
      <c r="U94" s="227">
        <v>0</v>
      </c>
      <c r="V94" s="227">
        <v>0</v>
      </c>
      <c r="W94" s="227">
        <v>0</v>
      </c>
      <c r="X94" s="227">
        <v>0</v>
      </c>
      <c r="Y94" s="227">
        <v>0</v>
      </c>
      <c r="Z94" s="227">
        <v>0</v>
      </c>
      <c r="AA94" s="227">
        <v>0</v>
      </c>
      <c r="AB94" s="228">
        <v>0</v>
      </c>
      <c r="AC94" s="258">
        <v>0</v>
      </c>
      <c r="AD94" s="178">
        <v>0</v>
      </c>
      <c r="AE94" s="178">
        <v>0</v>
      </c>
      <c r="AF94" s="178">
        <v>0</v>
      </c>
      <c r="AG94" s="530"/>
      <c r="AH94" s="531"/>
      <c r="AI94" s="178">
        <v>0</v>
      </c>
      <c r="AJ94" s="178">
        <v>0</v>
      </c>
      <c r="AK94" s="178">
        <v>0</v>
      </c>
      <c r="AL94" s="202">
        <v>0</v>
      </c>
      <c r="AM94" s="237">
        <v>0</v>
      </c>
      <c r="AN94" s="238">
        <v>0</v>
      </c>
      <c r="AO94" s="238">
        <v>0</v>
      </c>
      <c r="AP94" s="238">
        <v>0</v>
      </c>
      <c r="AQ94" s="238">
        <v>1</v>
      </c>
      <c r="AR94" s="238">
        <v>1</v>
      </c>
      <c r="AS94" s="238">
        <v>1</v>
      </c>
      <c r="AT94" s="238">
        <v>1</v>
      </c>
      <c r="AU94" s="238">
        <v>1</v>
      </c>
      <c r="AV94" s="273">
        <v>1</v>
      </c>
      <c r="AW94" s="295">
        <v>1</v>
      </c>
      <c r="AX94" s="296">
        <v>1</v>
      </c>
      <c r="AY94" s="296">
        <v>1</v>
      </c>
      <c r="AZ94" s="296">
        <v>1</v>
      </c>
      <c r="BA94" s="296">
        <v>1</v>
      </c>
      <c r="BB94" s="296">
        <v>1</v>
      </c>
      <c r="BC94" s="296">
        <v>1</v>
      </c>
      <c r="BD94" s="296">
        <v>1</v>
      </c>
      <c r="BE94" s="296">
        <v>1</v>
      </c>
      <c r="BF94" s="297">
        <v>1</v>
      </c>
      <c r="BG94" s="214">
        <v>1</v>
      </c>
      <c r="BH94" s="207">
        <v>1</v>
      </c>
      <c r="BI94" s="207">
        <v>1</v>
      </c>
      <c r="BJ94" s="207">
        <v>1</v>
      </c>
      <c r="BK94" s="207">
        <v>1</v>
      </c>
      <c r="BL94" s="207">
        <v>1</v>
      </c>
      <c r="BM94" s="207">
        <v>1</v>
      </c>
      <c r="BN94" s="207">
        <v>1</v>
      </c>
      <c r="BO94" s="207">
        <v>1</v>
      </c>
      <c r="BP94" s="215">
        <v>1</v>
      </c>
      <c r="BQ94" s="249">
        <v>1</v>
      </c>
      <c r="BR94" s="227">
        <v>1</v>
      </c>
      <c r="BS94" s="227">
        <v>1</v>
      </c>
      <c r="BT94" s="227">
        <v>1</v>
      </c>
      <c r="BU94" s="227">
        <v>1</v>
      </c>
      <c r="BV94" s="227">
        <v>1</v>
      </c>
      <c r="BW94" s="227">
        <v>1</v>
      </c>
      <c r="BX94" s="227">
        <v>1</v>
      </c>
      <c r="BY94" s="227">
        <v>1</v>
      </c>
      <c r="BZ94" s="247">
        <v>1</v>
      </c>
      <c r="CA94" s="537"/>
      <c r="CB94" s="538"/>
      <c r="CC94" s="538"/>
      <c r="CD94" s="538"/>
      <c r="CE94" s="538"/>
      <c r="CF94" s="538"/>
      <c r="CG94" s="538"/>
      <c r="CH94" s="538"/>
      <c r="CI94" s="538"/>
      <c r="CJ94" s="539"/>
      <c r="CK94" s="240">
        <v>1</v>
      </c>
      <c r="CL94" s="238">
        <v>1</v>
      </c>
      <c r="CM94" s="238">
        <v>1</v>
      </c>
      <c r="CN94" s="238">
        <v>1</v>
      </c>
      <c r="CO94" s="238">
        <v>1</v>
      </c>
      <c r="CP94" s="238">
        <v>1</v>
      </c>
      <c r="CQ94" s="238">
        <v>1</v>
      </c>
      <c r="CR94" s="238">
        <v>1</v>
      </c>
      <c r="CS94" s="238">
        <v>1</v>
      </c>
      <c r="CT94" s="239">
        <v>1</v>
      </c>
      <c r="CU94" s="295">
        <v>1</v>
      </c>
      <c r="CV94" s="296">
        <v>1</v>
      </c>
      <c r="CW94" s="296">
        <v>1</v>
      </c>
      <c r="CX94" s="296">
        <v>1</v>
      </c>
      <c r="CY94" s="296">
        <v>1</v>
      </c>
      <c r="CZ94" s="296">
        <v>1</v>
      </c>
      <c r="DA94" s="296">
        <v>1</v>
      </c>
      <c r="DB94" s="296">
        <v>1</v>
      </c>
      <c r="DC94" s="296">
        <v>1</v>
      </c>
      <c r="DD94" s="297">
        <v>1</v>
      </c>
      <c r="DE94" s="214">
        <v>1</v>
      </c>
      <c r="DF94" s="207">
        <v>1</v>
      </c>
      <c r="DG94" s="207">
        <v>1</v>
      </c>
      <c r="DH94" s="207">
        <v>1</v>
      </c>
      <c r="DI94" s="207">
        <v>1</v>
      </c>
      <c r="DJ94" s="207">
        <v>1</v>
      </c>
      <c r="DK94" s="207">
        <v>1</v>
      </c>
      <c r="DL94" s="207">
        <v>1</v>
      </c>
      <c r="DM94" s="207">
        <v>1</v>
      </c>
      <c r="DN94" s="215">
        <v>1</v>
      </c>
      <c r="DO94" s="226">
        <v>1</v>
      </c>
      <c r="DP94" s="227">
        <v>1</v>
      </c>
      <c r="DQ94" s="227">
        <v>1</v>
      </c>
      <c r="DR94" s="227">
        <v>1</v>
      </c>
      <c r="DS94" s="227">
        <v>1</v>
      </c>
      <c r="DT94" s="227">
        <v>1</v>
      </c>
      <c r="DU94" s="227">
        <v>1</v>
      </c>
      <c r="DV94" s="227">
        <v>1</v>
      </c>
      <c r="DW94" s="227">
        <v>1</v>
      </c>
      <c r="DX94" s="228">
        <v>1</v>
      </c>
      <c r="DY94" s="307">
        <v>1</v>
      </c>
      <c r="DZ94" s="91">
        <v>1</v>
      </c>
      <c r="EA94" s="91">
        <v>1</v>
      </c>
      <c r="EB94" s="91">
        <v>1</v>
      </c>
      <c r="EC94" s="91">
        <v>1</v>
      </c>
      <c r="ED94" s="91">
        <v>1</v>
      </c>
      <c r="EE94" s="91">
        <v>1</v>
      </c>
      <c r="EF94" s="91">
        <v>1</v>
      </c>
      <c r="EG94" s="91">
        <v>1</v>
      </c>
      <c r="EH94" s="91">
        <v>1</v>
      </c>
      <c r="EI94" s="238">
        <v>1</v>
      </c>
      <c r="EJ94" s="238">
        <v>1</v>
      </c>
      <c r="EK94" s="238">
        <v>1</v>
      </c>
      <c r="EL94" s="238">
        <v>1</v>
      </c>
      <c r="EM94" s="238">
        <v>1</v>
      </c>
      <c r="EN94" s="238">
        <v>1</v>
      </c>
      <c r="EO94" s="238">
        <v>1</v>
      </c>
      <c r="EP94" s="238">
        <v>1</v>
      </c>
      <c r="EQ94" s="238">
        <v>1</v>
      </c>
      <c r="ER94" s="238">
        <v>1</v>
      </c>
      <c r="ES94" s="350">
        <f t="shared" si="36"/>
        <v>0</v>
      </c>
      <c r="ET94" s="350">
        <f t="shared" si="34"/>
        <v>0</v>
      </c>
      <c r="EU94" s="350">
        <f t="shared" si="20"/>
        <v>0</v>
      </c>
      <c r="EV94" s="350">
        <f t="shared" si="35"/>
        <v>6</v>
      </c>
      <c r="EW94" s="350">
        <f t="shared" si="37"/>
        <v>10</v>
      </c>
      <c r="EX94" s="350">
        <f t="shared" si="21"/>
        <v>10</v>
      </c>
      <c r="EY94" s="350">
        <f t="shared" si="22"/>
        <v>10</v>
      </c>
      <c r="EZ94" s="350">
        <f t="shared" si="23"/>
        <v>0</v>
      </c>
      <c r="FA94" s="350">
        <f t="shared" si="24"/>
        <v>10</v>
      </c>
      <c r="FB94" s="350">
        <f t="shared" si="25"/>
        <v>10</v>
      </c>
      <c r="FC94" s="350">
        <f t="shared" si="26"/>
        <v>10</v>
      </c>
      <c r="FD94" s="350">
        <f t="shared" si="27"/>
        <v>10</v>
      </c>
      <c r="FE94" s="350">
        <f t="shared" si="28"/>
        <v>10</v>
      </c>
      <c r="FF94" s="350">
        <f t="shared" si="29"/>
        <v>10</v>
      </c>
      <c r="FG94" s="349">
        <f t="shared" si="33"/>
        <v>92</v>
      </c>
      <c r="FH94" s="319">
        <f t="shared" si="30"/>
        <v>96</v>
      </c>
      <c r="FI94" s="319">
        <f>SUM(I7:ER7)-SUM(ES94:FF94)</f>
        <v>32</v>
      </c>
      <c r="FJ94" s="319">
        <f t="shared" si="31"/>
        <v>128</v>
      </c>
      <c r="FK94" s="7"/>
    </row>
    <row r="95" spans="1:167" ht="15.75" customHeight="1">
      <c r="A95" s="2"/>
      <c r="B95" s="3">
        <f t="shared" si="19"/>
        <v>1</v>
      </c>
      <c r="C95" s="347">
        <v>36</v>
      </c>
      <c r="D95" s="201" t="s">
        <v>257</v>
      </c>
      <c r="E95" s="347"/>
      <c r="F95" s="347"/>
      <c r="G95" s="493">
        <v>45915</v>
      </c>
      <c r="H95" s="494"/>
      <c r="I95" s="214">
        <v>0</v>
      </c>
      <c r="J95" s="207">
        <v>0</v>
      </c>
      <c r="K95" s="207">
        <v>0</v>
      </c>
      <c r="L95" s="207">
        <v>0</v>
      </c>
      <c r="M95" s="207">
        <v>0</v>
      </c>
      <c r="N95" s="207">
        <v>0</v>
      </c>
      <c r="O95" s="207">
        <v>0</v>
      </c>
      <c r="P95" s="207">
        <v>0</v>
      </c>
      <c r="Q95" s="207">
        <v>0</v>
      </c>
      <c r="R95" s="215">
        <v>0</v>
      </c>
      <c r="S95" s="226">
        <v>0</v>
      </c>
      <c r="T95" s="227">
        <v>0</v>
      </c>
      <c r="U95" s="227">
        <v>0</v>
      </c>
      <c r="V95" s="227">
        <v>0</v>
      </c>
      <c r="W95" s="227">
        <v>0</v>
      </c>
      <c r="X95" s="227">
        <v>0</v>
      </c>
      <c r="Y95" s="227">
        <v>0</v>
      </c>
      <c r="Z95" s="227">
        <v>0</v>
      </c>
      <c r="AA95" s="227">
        <v>0</v>
      </c>
      <c r="AB95" s="228">
        <v>0</v>
      </c>
      <c r="AC95" s="258">
        <v>0</v>
      </c>
      <c r="AD95" s="178">
        <v>0</v>
      </c>
      <c r="AE95" s="178">
        <v>0</v>
      </c>
      <c r="AF95" s="178">
        <v>0</v>
      </c>
      <c r="AG95" s="530"/>
      <c r="AH95" s="531"/>
      <c r="AI95" s="178">
        <v>0</v>
      </c>
      <c r="AJ95" s="178">
        <v>0</v>
      </c>
      <c r="AK95" s="178">
        <v>0</v>
      </c>
      <c r="AL95" s="202">
        <v>0</v>
      </c>
      <c r="AM95" s="237">
        <v>0</v>
      </c>
      <c r="AN95" s="238">
        <v>0</v>
      </c>
      <c r="AO95" s="238">
        <v>0</v>
      </c>
      <c r="AP95" s="238">
        <v>0</v>
      </c>
      <c r="AQ95" s="238">
        <v>0</v>
      </c>
      <c r="AR95" s="238">
        <v>0</v>
      </c>
      <c r="AS95" s="238">
        <v>0</v>
      </c>
      <c r="AT95" s="238">
        <v>0</v>
      </c>
      <c r="AU95" s="238">
        <v>0</v>
      </c>
      <c r="AV95" s="273">
        <v>0</v>
      </c>
      <c r="AW95" s="295">
        <v>1</v>
      </c>
      <c r="AX95" s="296">
        <v>1</v>
      </c>
      <c r="AY95" s="296">
        <v>1</v>
      </c>
      <c r="AZ95" s="296">
        <v>1</v>
      </c>
      <c r="BA95" s="296">
        <v>1</v>
      </c>
      <c r="BB95" s="296">
        <v>1</v>
      </c>
      <c r="BC95" s="296">
        <v>1</v>
      </c>
      <c r="BD95" s="296">
        <v>1</v>
      </c>
      <c r="BE95" s="296">
        <v>1</v>
      </c>
      <c r="BF95" s="297">
        <v>1</v>
      </c>
      <c r="BG95" s="214">
        <v>1</v>
      </c>
      <c r="BH95" s="207">
        <v>1</v>
      </c>
      <c r="BI95" s="207">
        <v>1</v>
      </c>
      <c r="BJ95" s="207">
        <v>1</v>
      </c>
      <c r="BK95" s="207">
        <v>1</v>
      </c>
      <c r="BL95" s="207">
        <v>1</v>
      </c>
      <c r="BM95" s="207">
        <v>1</v>
      </c>
      <c r="BN95" s="207">
        <v>1</v>
      </c>
      <c r="BO95" s="207">
        <v>1</v>
      </c>
      <c r="BP95" s="215">
        <v>1</v>
      </c>
      <c r="BQ95" s="249">
        <v>1</v>
      </c>
      <c r="BR95" s="227">
        <v>1</v>
      </c>
      <c r="BS95" s="227">
        <v>1</v>
      </c>
      <c r="BT95" s="227">
        <v>1</v>
      </c>
      <c r="BU95" s="227">
        <v>1</v>
      </c>
      <c r="BV95" s="227">
        <v>1</v>
      </c>
      <c r="BW95" s="227">
        <v>1</v>
      </c>
      <c r="BX95" s="227">
        <v>1</v>
      </c>
      <c r="BY95" s="227">
        <v>1</v>
      </c>
      <c r="BZ95" s="247">
        <v>1</v>
      </c>
      <c r="CA95" s="537"/>
      <c r="CB95" s="538"/>
      <c r="CC95" s="538"/>
      <c r="CD95" s="538"/>
      <c r="CE95" s="538"/>
      <c r="CF95" s="538"/>
      <c r="CG95" s="538"/>
      <c r="CH95" s="538"/>
      <c r="CI95" s="538"/>
      <c r="CJ95" s="539"/>
      <c r="CK95" s="240">
        <v>1</v>
      </c>
      <c r="CL95" s="238">
        <v>1</v>
      </c>
      <c r="CM95" s="238">
        <v>1</v>
      </c>
      <c r="CN95" s="238">
        <v>1</v>
      </c>
      <c r="CO95" s="238">
        <v>1</v>
      </c>
      <c r="CP95" s="238">
        <v>1</v>
      </c>
      <c r="CQ95" s="238">
        <v>1</v>
      </c>
      <c r="CR95" s="238">
        <v>1</v>
      </c>
      <c r="CS95" s="238">
        <v>1</v>
      </c>
      <c r="CT95" s="239">
        <v>1</v>
      </c>
      <c r="CU95" s="295">
        <v>1</v>
      </c>
      <c r="CV95" s="296">
        <v>1</v>
      </c>
      <c r="CW95" s="296">
        <v>1</v>
      </c>
      <c r="CX95" s="296">
        <v>1</v>
      </c>
      <c r="CY95" s="296">
        <v>1</v>
      </c>
      <c r="CZ95" s="296">
        <v>1</v>
      </c>
      <c r="DA95" s="296">
        <v>1</v>
      </c>
      <c r="DB95" s="296">
        <v>1</v>
      </c>
      <c r="DC95" s="296">
        <v>1</v>
      </c>
      <c r="DD95" s="297">
        <v>1</v>
      </c>
      <c r="DE95" s="214">
        <v>1</v>
      </c>
      <c r="DF95" s="207">
        <v>1</v>
      </c>
      <c r="DG95" s="207">
        <v>1</v>
      </c>
      <c r="DH95" s="207">
        <v>1</v>
      </c>
      <c r="DI95" s="207">
        <v>1</v>
      </c>
      <c r="DJ95" s="207">
        <v>1</v>
      </c>
      <c r="DK95" s="207">
        <v>1</v>
      </c>
      <c r="DL95" s="207">
        <v>1</v>
      </c>
      <c r="DM95" s="207">
        <v>1</v>
      </c>
      <c r="DN95" s="215">
        <v>1</v>
      </c>
      <c r="DO95" s="226">
        <v>1</v>
      </c>
      <c r="DP95" s="227">
        <v>1</v>
      </c>
      <c r="DQ95" s="227">
        <v>1</v>
      </c>
      <c r="DR95" s="227">
        <v>1</v>
      </c>
      <c r="DS95" s="227">
        <v>1</v>
      </c>
      <c r="DT95" s="227">
        <v>1</v>
      </c>
      <c r="DU95" s="227">
        <v>1</v>
      </c>
      <c r="DV95" s="227">
        <v>1</v>
      </c>
      <c r="DW95" s="227">
        <v>1</v>
      </c>
      <c r="DX95" s="228">
        <v>1</v>
      </c>
      <c r="DY95" s="307">
        <v>1</v>
      </c>
      <c r="DZ95" s="91">
        <v>1</v>
      </c>
      <c r="EA95" s="91">
        <v>1</v>
      </c>
      <c r="EB95" s="91">
        <v>1</v>
      </c>
      <c r="EC95" s="91">
        <v>1</v>
      </c>
      <c r="ED95" s="91">
        <v>1</v>
      </c>
      <c r="EE95" s="91">
        <v>1</v>
      </c>
      <c r="EF95" s="91">
        <v>1</v>
      </c>
      <c r="EG95" s="91">
        <v>1</v>
      </c>
      <c r="EH95" s="91">
        <v>1</v>
      </c>
      <c r="EI95" s="238">
        <v>1</v>
      </c>
      <c r="EJ95" s="238">
        <v>1</v>
      </c>
      <c r="EK95" s="238">
        <v>1</v>
      </c>
      <c r="EL95" s="238">
        <v>1</v>
      </c>
      <c r="EM95" s="238">
        <v>1</v>
      </c>
      <c r="EN95" s="238">
        <v>1</v>
      </c>
      <c r="EO95" s="238">
        <v>1</v>
      </c>
      <c r="EP95" s="238">
        <v>1</v>
      </c>
      <c r="EQ95" s="238">
        <v>1</v>
      </c>
      <c r="ER95" s="238">
        <v>1</v>
      </c>
      <c r="ES95" s="350">
        <f t="shared" si="36"/>
        <v>0</v>
      </c>
      <c r="ET95" s="350">
        <f t="shared" si="34"/>
        <v>0</v>
      </c>
      <c r="EU95" s="350">
        <f t="shared" si="20"/>
        <v>0</v>
      </c>
      <c r="EV95" s="350">
        <f t="shared" si="35"/>
        <v>0</v>
      </c>
      <c r="EW95" s="350">
        <f t="shared" si="37"/>
        <v>10</v>
      </c>
      <c r="EX95" s="350">
        <f t="shared" si="21"/>
        <v>10</v>
      </c>
      <c r="EY95" s="350">
        <f t="shared" si="22"/>
        <v>10</v>
      </c>
      <c r="EZ95" s="350">
        <f t="shared" si="23"/>
        <v>0</v>
      </c>
      <c r="FA95" s="350">
        <f t="shared" si="24"/>
        <v>10</v>
      </c>
      <c r="FB95" s="350">
        <f t="shared" si="25"/>
        <v>10</v>
      </c>
      <c r="FC95" s="350">
        <f t="shared" si="26"/>
        <v>10</v>
      </c>
      <c r="FD95" s="350">
        <f t="shared" si="27"/>
        <v>10</v>
      </c>
      <c r="FE95" s="350">
        <f t="shared" si="28"/>
        <v>10</v>
      </c>
      <c r="FF95" s="350">
        <f t="shared" si="29"/>
        <v>10</v>
      </c>
      <c r="FG95" s="349">
        <f t="shared" si="33"/>
        <v>93</v>
      </c>
      <c r="FH95" s="319">
        <f t="shared" si="30"/>
        <v>90</v>
      </c>
      <c r="FI95" s="319">
        <f>SUM(I7:ER7)-SUM(ES95:FF95)</f>
        <v>38</v>
      </c>
      <c r="FJ95" s="319">
        <f t="shared" si="31"/>
        <v>128</v>
      </c>
      <c r="FK95" s="7"/>
    </row>
    <row r="96" spans="1:167" ht="15.75" customHeight="1">
      <c r="A96" s="2"/>
      <c r="B96" s="3">
        <f t="shared" si="19"/>
        <v>1</v>
      </c>
      <c r="C96" s="347">
        <v>37</v>
      </c>
      <c r="D96" s="201" t="s">
        <v>259</v>
      </c>
      <c r="E96" s="347"/>
      <c r="F96" s="347"/>
      <c r="G96" s="493">
        <v>45915</v>
      </c>
      <c r="H96" s="494"/>
      <c r="I96" s="214">
        <v>0</v>
      </c>
      <c r="J96" s="207">
        <v>0</v>
      </c>
      <c r="K96" s="207">
        <v>0</v>
      </c>
      <c r="L96" s="207">
        <v>0</v>
      </c>
      <c r="M96" s="207">
        <v>0</v>
      </c>
      <c r="N96" s="207">
        <v>0</v>
      </c>
      <c r="O96" s="207">
        <v>0</v>
      </c>
      <c r="P96" s="207">
        <v>0</v>
      </c>
      <c r="Q96" s="207">
        <v>0</v>
      </c>
      <c r="R96" s="215">
        <v>0</v>
      </c>
      <c r="S96" s="226">
        <v>0</v>
      </c>
      <c r="T96" s="227">
        <v>0</v>
      </c>
      <c r="U96" s="227">
        <v>0</v>
      </c>
      <c r="V96" s="227">
        <v>0</v>
      </c>
      <c r="W96" s="227">
        <v>0</v>
      </c>
      <c r="X96" s="227">
        <v>0</v>
      </c>
      <c r="Y96" s="227">
        <v>0</v>
      </c>
      <c r="Z96" s="227">
        <v>0</v>
      </c>
      <c r="AA96" s="227">
        <v>0</v>
      </c>
      <c r="AB96" s="228">
        <v>0</v>
      </c>
      <c r="AC96" s="258">
        <v>0</v>
      </c>
      <c r="AD96" s="178">
        <v>0</v>
      </c>
      <c r="AE96" s="178">
        <v>0</v>
      </c>
      <c r="AF96" s="178">
        <v>0</v>
      </c>
      <c r="AG96" s="530"/>
      <c r="AH96" s="531"/>
      <c r="AI96" s="178">
        <v>0</v>
      </c>
      <c r="AJ96" s="178">
        <v>0</v>
      </c>
      <c r="AK96" s="178">
        <v>0</v>
      </c>
      <c r="AL96" s="202">
        <v>0</v>
      </c>
      <c r="AM96" s="237">
        <v>0</v>
      </c>
      <c r="AN96" s="238">
        <v>0</v>
      </c>
      <c r="AO96" s="238">
        <v>0</v>
      </c>
      <c r="AP96" s="238">
        <v>0</v>
      </c>
      <c r="AQ96" s="238">
        <v>0</v>
      </c>
      <c r="AR96" s="238">
        <v>0</v>
      </c>
      <c r="AS96" s="238">
        <v>0</v>
      </c>
      <c r="AT96" s="238">
        <v>0</v>
      </c>
      <c r="AU96" s="238">
        <v>0</v>
      </c>
      <c r="AV96" s="273">
        <v>0</v>
      </c>
      <c r="AW96" s="295">
        <v>0</v>
      </c>
      <c r="AX96" s="296">
        <v>0</v>
      </c>
      <c r="AY96" s="296">
        <v>0</v>
      </c>
      <c r="AZ96" s="296">
        <v>0</v>
      </c>
      <c r="BA96" s="296">
        <v>0</v>
      </c>
      <c r="BB96" s="296">
        <v>0</v>
      </c>
      <c r="BC96" s="296">
        <v>0</v>
      </c>
      <c r="BD96" s="296">
        <v>0</v>
      </c>
      <c r="BE96" s="296">
        <v>0</v>
      </c>
      <c r="BF96" s="297">
        <v>0</v>
      </c>
      <c r="BG96" s="214">
        <v>1</v>
      </c>
      <c r="BH96" s="207">
        <v>1</v>
      </c>
      <c r="BI96" s="207">
        <v>1</v>
      </c>
      <c r="BJ96" s="207">
        <v>1</v>
      </c>
      <c r="BK96" s="207">
        <v>1</v>
      </c>
      <c r="BL96" s="207">
        <v>1</v>
      </c>
      <c r="BM96" s="207">
        <v>1</v>
      </c>
      <c r="BN96" s="207">
        <v>1</v>
      </c>
      <c r="BO96" s="207">
        <v>1</v>
      </c>
      <c r="BP96" s="215">
        <v>1</v>
      </c>
      <c r="BQ96" s="249">
        <v>1</v>
      </c>
      <c r="BR96" s="227">
        <v>1</v>
      </c>
      <c r="BS96" s="227">
        <v>1</v>
      </c>
      <c r="BT96" s="227">
        <v>1</v>
      </c>
      <c r="BU96" s="227">
        <v>1</v>
      </c>
      <c r="BV96" s="227">
        <v>1</v>
      </c>
      <c r="BW96" s="227">
        <v>1</v>
      </c>
      <c r="BX96" s="227">
        <v>1</v>
      </c>
      <c r="BY96" s="227">
        <v>1</v>
      </c>
      <c r="BZ96" s="247">
        <v>1</v>
      </c>
      <c r="CA96" s="537"/>
      <c r="CB96" s="538"/>
      <c r="CC96" s="538"/>
      <c r="CD96" s="538"/>
      <c r="CE96" s="538"/>
      <c r="CF96" s="538"/>
      <c r="CG96" s="538"/>
      <c r="CH96" s="538"/>
      <c r="CI96" s="538"/>
      <c r="CJ96" s="539"/>
      <c r="CK96" s="240">
        <v>1</v>
      </c>
      <c r="CL96" s="238">
        <v>1</v>
      </c>
      <c r="CM96" s="238">
        <v>1</v>
      </c>
      <c r="CN96" s="238">
        <v>1</v>
      </c>
      <c r="CO96" s="238">
        <v>1</v>
      </c>
      <c r="CP96" s="238">
        <v>1</v>
      </c>
      <c r="CQ96" s="238">
        <v>1</v>
      </c>
      <c r="CR96" s="238">
        <v>1</v>
      </c>
      <c r="CS96" s="238">
        <v>1</v>
      </c>
      <c r="CT96" s="239">
        <v>1</v>
      </c>
      <c r="CU96" s="295">
        <v>1</v>
      </c>
      <c r="CV96" s="296">
        <v>1</v>
      </c>
      <c r="CW96" s="296">
        <v>1</v>
      </c>
      <c r="CX96" s="296">
        <v>1</v>
      </c>
      <c r="CY96" s="296">
        <v>1</v>
      </c>
      <c r="CZ96" s="296">
        <v>1</v>
      </c>
      <c r="DA96" s="296">
        <v>1</v>
      </c>
      <c r="DB96" s="296">
        <v>1</v>
      </c>
      <c r="DC96" s="296">
        <v>1</v>
      </c>
      <c r="DD96" s="297">
        <v>1</v>
      </c>
      <c r="DE96" s="214">
        <v>1</v>
      </c>
      <c r="DF96" s="207">
        <v>1</v>
      </c>
      <c r="DG96" s="207">
        <v>1</v>
      </c>
      <c r="DH96" s="207">
        <v>1</v>
      </c>
      <c r="DI96" s="207">
        <v>1</v>
      </c>
      <c r="DJ96" s="207">
        <v>1</v>
      </c>
      <c r="DK96" s="207">
        <v>1</v>
      </c>
      <c r="DL96" s="207">
        <v>1</v>
      </c>
      <c r="DM96" s="207">
        <v>1</v>
      </c>
      <c r="DN96" s="215">
        <v>1</v>
      </c>
      <c r="DO96" s="226">
        <v>1</v>
      </c>
      <c r="DP96" s="227">
        <v>1</v>
      </c>
      <c r="DQ96" s="227">
        <v>1</v>
      </c>
      <c r="DR96" s="227">
        <v>1</v>
      </c>
      <c r="DS96" s="227">
        <v>1</v>
      </c>
      <c r="DT96" s="227">
        <v>1</v>
      </c>
      <c r="DU96" s="227">
        <v>1</v>
      </c>
      <c r="DV96" s="227">
        <v>1</v>
      </c>
      <c r="DW96" s="227">
        <v>1</v>
      </c>
      <c r="DX96" s="228">
        <v>1</v>
      </c>
      <c r="DY96" s="307">
        <v>1</v>
      </c>
      <c r="DZ96" s="91">
        <v>1</v>
      </c>
      <c r="EA96" s="91">
        <v>1</v>
      </c>
      <c r="EB96" s="91">
        <v>1</v>
      </c>
      <c r="EC96" s="91">
        <v>1</v>
      </c>
      <c r="ED96" s="91">
        <v>1</v>
      </c>
      <c r="EE96" s="91">
        <v>1</v>
      </c>
      <c r="EF96" s="91">
        <v>1</v>
      </c>
      <c r="EG96" s="91">
        <v>1</v>
      </c>
      <c r="EH96" s="91">
        <v>1</v>
      </c>
      <c r="EI96" s="238">
        <v>1</v>
      </c>
      <c r="EJ96" s="238">
        <v>1</v>
      </c>
      <c r="EK96" s="238">
        <v>1</v>
      </c>
      <c r="EL96" s="238">
        <v>1</v>
      </c>
      <c r="EM96" s="238">
        <v>1</v>
      </c>
      <c r="EN96" s="238">
        <v>1</v>
      </c>
      <c r="EO96" s="238">
        <v>1</v>
      </c>
      <c r="EP96" s="238">
        <v>1</v>
      </c>
      <c r="EQ96" s="238">
        <v>1</v>
      </c>
      <c r="ER96" s="238">
        <v>1</v>
      </c>
      <c r="ES96" s="350">
        <f t="shared" si="36"/>
        <v>0</v>
      </c>
      <c r="ET96" s="350">
        <f t="shared" si="34"/>
        <v>0</v>
      </c>
      <c r="EU96" s="350">
        <f t="shared" si="20"/>
        <v>0</v>
      </c>
      <c r="EV96" s="350">
        <f t="shared" si="35"/>
        <v>0</v>
      </c>
      <c r="EW96" s="350">
        <f t="shared" si="37"/>
        <v>10</v>
      </c>
      <c r="EX96" s="350">
        <f t="shared" si="21"/>
        <v>10</v>
      </c>
      <c r="EY96" s="350">
        <f t="shared" si="22"/>
        <v>10</v>
      </c>
      <c r="EZ96" s="350">
        <f t="shared" si="23"/>
        <v>0</v>
      </c>
      <c r="FA96" s="350">
        <f t="shared" si="24"/>
        <v>10</v>
      </c>
      <c r="FB96" s="350">
        <f t="shared" si="25"/>
        <v>10</v>
      </c>
      <c r="FC96" s="350">
        <f t="shared" si="26"/>
        <v>10</v>
      </c>
      <c r="FD96" s="350">
        <f t="shared" si="27"/>
        <v>10</v>
      </c>
      <c r="FE96" s="350">
        <f t="shared" si="28"/>
        <v>10</v>
      </c>
      <c r="FF96" s="350">
        <f t="shared" si="29"/>
        <v>10</v>
      </c>
      <c r="FG96" s="349">
        <f t="shared" si="33"/>
        <v>94</v>
      </c>
      <c r="FH96" s="319">
        <f t="shared" si="30"/>
        <v>90</v>
      </c>
      <c r="FI96" s="319">
        <f>SUM(I7:ER7)-SUM(ES96:FF96)</f>
        <v>38</v>
      </c>
      <c r="FJ96" s="319">
        <f t="shared" si="31"/>
        <v>128</v>
      </c>
      <c r="FK96" s="7"/>
    </row>
    <row r="97" spans="1:167" ht="15.75" customHeight="1">
      <c r="A97" s="2"/>
      <c r="B97" s="3">
        <f t="shared" si="19"/>
        <v>1</v>
      </c>
      <c r="C97" s="347">
        <v>38</v>
      </c>
      <c r="D97" s="201" t="s">
        <v>258</v>
      </c>
      <c r="E97" s="347"/>
      <c r="F97" s="347"/>
      <c r="G97" s="493">
        <v>45915</v>
      </c>
      <c r="H97" s="494"/>
      <c r="I97" s="214">
        <v>0</v>
      </c>
      <c r="J97" s="207">
        <v>0</v>
      </c>
      <c r="K97" s="207">
        <v>0</v>
      </c>
      <c r="L97" s="207">
        <v>0</v>
      </c>
      <c r="M97" s="207">
        <v>0</v>
      </c>
      <c r="N97" s="207">
        <v>0</v>
      </c>
      <c r="O97" s="207">
        <v>0</v>
      </c>
      <c r="P97" s="207">
        <v>0</v>
      </c>
      <c r="Q97" s="207">
        <v>0</v>
      </c>
      <c r="R97" s="215">
        <v>0</v>
      </c>
      <c r="S97" s="226">
        <v>0</v>
      </c>
      <c r="T97" s="227">
        <v>0</v>
      </c>
      <c r="U97" s="227">
        <v>0</v>
      </c>
      <c r="V97" s="227">
        <v>0</v>
      </c>
      <c r="W97" s="227">
        <v>0</v>
      </c>
      <c r="X97" s="227">
        <v>0</v>
      </c>
      <c r="Y97" s="227">
        <v>0</v>
      </c>
      <c r="Z97" s="227">
        <v>0</v>
      </c>
      <c r="AA97" s="227">
        <v>0</v>
      </c>
      <c r="AB97" s="228">
        <v>0</v>
      </c>
      <c r="AC97" s="258">
        <v>0</v>
      </c>
      <c r="AD97" s="178">
        <v>0</v>
      </c>
      <c r="AE97" s="178">
        <v>0</v>
      </c>
      <c r="AF97" s="178">
        <v>0</v>
      </c>
      <c r="AG97" s="530"/>
      <c r="AH97" s="531"/>
      <c r="AI97" s="178">
        <v>0</v>
      </c>
      <c r="AJ97" s="178">
        <v>0</v>
      </c>
      <c r="AK97" s="178">
        <v>0</v>
      </c>
      <c r="AL97" s="202">
        <v>0</v>
      </c>
      <c r="AM97" s="237">
        <v>0</v>
      </c>
      <c r="AN97" s="238">
        <v>0</v>
      </c>
      <c r="AO97" s="238">
        <v>0</v>
      </c>
      <c r="AP97" s="238">
        <v>0</v>
      </c>
      <c r="AQ97" s="238">
        <v>0</v>
      </c>
      <c r="AR97" s="238">
        <v>0</v>
      </c>
      <c r="AS97" s="238">
        <v>0</v>
      </c>
      <c r="AT97" s="238">
        <v>0</v>
      </c>
      <c r="AU97" s="238">
        <v>0</v>
      </c>
      <c r="AV97" s="273">
        <v>0</v>
      </c>
      <c r="AW97" s="295">
        <v>0</v>
      </c>
      <c r="AX97" s="296">
        <v>0</v>
      </c>
      <c r="AY97" s="296">
        <v>0</v>
      </c>
      <c r="AZ97" s="296">
        <v>0</v>
      </c>
      <c r="BA97" s="296">
        <v>0</v>
      </c>
      <c r="BB97" s="296">
        <v>0</v>
      </c>
      <c r="BC97" s="296">
        <v>0</v>
      </c>
      <c r="BD97" s="296">
        <v>0</v>
      </c>
      <c r="BE97" s="296">
        <v>0</v>
      </c>
      <c r="BF97" s="297">
        <v>0</v>
      </c>
      <c r="BG97" s="214">
        <v>0</v>
      </c>
      <c r="BH97" s="207">
        <v>0</v>
      </c>
      <c r="BI97" s="207">
        <v>0</v>
      </c>
      <c r="BJ97" s="207">
        <v>0</v>
      </c>
      <c r="BK97" s="207">
        <v>0</v>
      </c>
      <c r="BL97" s="207">
        <v>0</v>
      </c>
      <c r="BM97" s="207">
        <v>0</v>
      </c>
      <c r="BN97" s="207">
        <v>0</v>
      </c>
      <c r="BO97" s="207">
        <v>0</v>
      </c>
      <c r="BP97" s="215">
        <v>0</v>
      </c>
      <c r="BQ97" s="249">
        <v>0</v>
      </c>
      <c r="BR97" s="227">
        <v>0</v>
      </c>
      <c r="BS97" s="227">
        <v>0</v>
      </c>
      <c r="BT97" s="227">
        <v>0</v>
      </c>
      <c r="BU97" s="227">
        <v>0</v>
      </c>
      <c r="BV97" s="227">
        <v>0</v>
      </c>
      <c r="BW97" s="227">
        <v>0</v>
      </c>
      <c r="BX97" s="227">
        <v>0</v>
      </c>
      <c r="BY97" s="227">
        <v>0</v>
      </c>
      <c r="BZ97" s="247">
        <v>0</v>
      </c>
      <c r="CA97" s="537"/>
      <c r="CB97" s="538"/>
      <c r="CC97" s="538"/>
      <c r="CD97" s="538"/>
      <c r="CE97" s="538"/>
      <c r="CF97" s="538"/>
      <c r="CG97" s="538"/>
      <c r="CH97" s="538"/>
      <c r="CI97" s="538"/>
      <c r="CJ97" s="539"/>
      <c r="CK97" s="240">
        <v>1</v>
      </c>
      <c r="CL97" s="238">
        <v>1</v>
      </c>
      <c r="CM97" s="238">
        <v>1</v>
      </c>
      <c r="CN97" s="238">
        <v>1</v>
      </c>
      <c r="CO97" s="238">
        <v>1</v>
      </c>
      <c r="CP97" s="238">
        <v>1</v>
      </c>
      <c r="CQ97" s="238">
        <v>1</v>
      </c>
      <c r="CR97" s="238">
        <v>1</v>
      </c>
      <c r="CS97" s="238">
        <v>1</v>
      </c>
      <c r="CT97" s="239">
        <v>1</v>
      </c>
      <c r="CU97" s="295">
        <v>1</v>
      </c>
      <c r="CV97" s="296">
        <v>1</v>
      </c>
      <c r="CW97" s="296">
        <v>1</v>
      </c>
      <c r="CX97" s="296">
        <v>1</v>
      </c>
      <c r="CY97" s="296">
        <v>1</v>
      </c>
      <c r="CZ97" s="296">
        <v>1</v>
      </c>
      <c r="DA97" s="296">
        <v>0</v>
      </c>
      <c r="DB97" s="296">
        <v>0</v>
      </c>
      <c r="DC97" s="296">
        <v>1</v>
      </c>
      <c r="DD97" s="297">
        <v>1</v>
      </c>
      <c r="DE97" s="214">
        <v>1</v>
      </c>
      <c r="DF97" s="207">
        <v>1</v>
      </c>
      <c r="DG97" s="207">
        <v>1</v>
      </c>
      <c r="DH97" s="207">
        <v>1</v>
      </c>
      <c r="DI97" s="207">
        <v>1</v>
      </c>
      <c r="DJ97" s="207">
        <v>1</v>
      </c>
      <c r="DK97" s="207">
        <v>1</v>
      </c>
      <c r="DL97" s="207">
        <v>1</v>
      </c>
      <c r="DM97" s="207">
        <v>1</v>
      </c>
      <c r="DN97" s="215">
        <v>1</v>
      </c>
      <c r="DO97" s="226">
        <v>1</v>
      </c>
      <c r="DP97" s="227">
        <v>1</v>
      </c>
      <c r="DQ97" s="227">
        <v>1</v>
      </c>
      <c r="DR97" s="227">
        <v>1</v>
      </c>
      <c r="DS97" s="227">
        <v>1</v>
      </c>
      <c r="DT97" s="227">
        <v>1</v>
      </c>
      <c r="DU97" s="227">
        <v>1</v>
      </c>
      <c r="DV97" s="227">
        <v>1</v>
      </c>
      <c r="DW97" s="227">
        <v>1</v>
      </c>
      <c r="DX97" s="228">
        <v>1</v>
      </c>
      <c r="DY97" s="307">
        <v>1</v>
      </c>
      <c r="DZ97" s="91">
        <v>1</v>
      </c>
      <c r="EA97" s="91">
        <v>1</v>
      </c>
      <c r="EB97" s="91">
        <v>1</v>
      </c>
      <c r="EC97" s="91">
        <v>1</v>
      </c>
      <c r="ED97" s="91">
        <v>1</v>
      </c>
      <c r="EE97" s="91">
        <v>1</v>
      </c>
      <c r="EF97" s="91">
        <v>1</v>
      </c>
      <c r="EG97" s="91">
        <v>1</v>
      </c>
      <c r="EH97" s="91">
        <v>1</v>
      </c>
      <c r="EI97" s="238">
        <v>1</v>
      </c>
      <c r="EJ97" s="238">
        <v>1</v>
      </c>
      <c r="EK97" s="238">
        <v>1</v>
      </c>
      <c r="EL97" s="238">
        <v>1</v>
      </c>
      <c r="EM97" s="238">
        <v>1</v>
      </c>
      <c r="EN97" s="238">
        <v>1</v>
      </c>
      <c r="EO97" s="238">
        <v>1</v>
      </c>
      <c r="EP97" s="238">
        <v>1</v>
      </c>
      <c r="EQ97" s="238">
        <v>1</v>
      </c>
      <c r="ER97" s="238">
        <v>1</v>
      </c>
      <c r="ES97" s="350">
        <f t="shared" si="36"/>
        <v>0</v>
      </c>
      <c r="ET97" s="350">
        <f t="shared" si="34"/>
        <v>0</v>
      </c>
      <c r="EU97" s="350">
        <f t="shared" si="20"/>
        <v>0</v>
      </c>
      <c r="EV97" s="350">
        <f t="shared" si="35"/>
        <v>0</v>
      </c>
      <c r="EW97" s="350">
        <f t="shared" si="37"/>
        <v>0</v>
      </c>
      <c r="EX97" s="350">
        <f t="shared" si="21"/>
        <v>0</v>
      </c>
      <c r="EY97" s="350">
        <f t="shared" si="22"/>
        <v>0</v>
      </c>
      <c r="EZ97" s="350">
        <f t="shared" si="23"/>
        <v>0</v>
      </c>
      <c r="FA97" s="350">
        <f t="shared" si="24"/>
        <v>10</v>
      </c>
      <c r="FB97" s="350">
        <f t="shared" si="25"/>
        <v>8</v>
      </c>
      <c r="FC97" s="350">
        <f t="shared" si="26"/>
        <v>10</v>
      </c>
      <c r="FD97" s="350">
        <f t="shared" si="27"/>
        <v>10</v>
      </c>
      <c r="FE97" s="350">
        <f t="shared" si="28"/>
        <v>10</v>
      </c>
      <c r="FF97" s="350">
        <f t="shared" si="29"/>
        <v>10</v>
      </c>
      <c r="FG97" s="349">
        <f t="shared" si="33"/>
        <v>95</v>
      </c>
      <c r="FH97" s="319">
        <f t="shared" si="30"/>
        <v>58</v>
      </c>
      <c r="FI97" s="319">
        <f>SUM(I7:ER7)-SUM(ES97:FF97)</f>
        <v>70</v>
      </c>
      <c r="FJ97" s="319">
        <f t="shared" si="31"/>
        <v>128</v>
      </c>
      <c r="FK97" s="7"/>
    </row>
    <row r="98" spans="1:167" ht="15.75" customHeight="1">
      <c r="A98" s="2"/>
      <c r="B98" s="3">
        <f t="shared" si="19"/>
        <v>0</v>
      </c>
      <c r="C98" s="347">
        <v>39</v>
      </c>
      <c r="D98" s="201"/>
      <c r="E98" s="347"/>
      <c r="F98" s="347"/>
      <c r="G98" s="493">
        <v>45915</v>
      </c>
      <c r="H98" s="494"/>
      <c r="I98" s="214"/>
      <c r="J98" s="207"/>
      <c r="K98" s="207"/>
      <c r="L98" s="207"/>
      <c r="M98" s="207"/>
      <c r="N98" s="207"/>
      <c r="O98" s="207"/>
      <c r="P98" s="207"/>
      <c r="Q98" s="207"/>
      <c r="R98" s="215"/>
      <c r="S98" s="226"/>
      <c r="T98" s="227"/>
      <c r="U98" s="227"/>
      <c r="V98" s="227"/>
      <c r="W98" s="227"/>
      <c r="X98" s="227"/>
      <c r="Y98" s="227"/>
      <c r="Z98" s="227"/>
      <c r="AA98" s="227"/>
      <c r="AB98" s="228"/>
      <c r="AC98" s="258"/>
      <c r="AD98" s="178"/>
      <c r="AE98" s="178"/>
      <c r="AF98" s="178"/>
      <c r="AG98" s="530"/>
      <c r="AH98" s="531"/>
      <c r="AI98" s="178"/>
      <c r="AJ98" s="178"/>
      <c r="AK98" s="178"/>
      <c r="AL98" s="202"/>
      <c r="AM98" s="237"/>
      <c r="AN98" s="238"/>
      <c r="AO98" s="238"/>
      <c r="AP98" s="238"/>
      <c r="AQ98" s="238"/>
      <c r="AR98" s="238"/>
      <c r="AS98" s="238"/>
      <c r="AT98" s="238"/>
      <c r="AU98" s="238"/>
      <c r="AV98" s="273"/>
      <c r="AW98" s="295"/>
      <c r="AX98" s="296"/>
      <c r="AY98" s="296"/>
      <c r="AZ98" s="296"/>
      <c r="BA98" s="296"/>
      <c r="BB98" s="296"/>
      <c r="BC98" s="296"/>
      <c r="BD98" s="296"/>
      <c r="BE98" s="296"/>
      <c r="BF98" s="297"/>
      <c r="BG98" s="214"/>
      <c r="BH98" s="207"/>
      <c r="BI98" s="207"/>
      <c r="BJ98" s="207"/>
      <c r="BK98" s="207"/>
      <c r="BL98" s="207"/>
      <c r="BM98" s="207"/>
      <c r="BN98" s="207"/>
      <c r="BO98" s="207"/>
      <c r="BP98" s="215"/>
      <c r="BQ98" s="249"/>
      <c r="BR98" s="227"/>
      <c r="BS98" s="227"/>
      <c r="BT98" s="227"/>
      <c r="BU98" s="227"/>
      <c r="BV98" s="227"/>
      <c r="BW98" s="227"/>
      <c r="BX98" s="227"/>
      <c r="BY98" s="227"/>
      <c r="BZ98" s="247"/>
      <c r="CA98" s="537"/>
      <c r="CB98" s="538"/>
      <c r="CC98" s="538"/>
      <c r="CD98" s="538"/>
      <c r="CE98" s="538"/>
      <c r="CF98" s="538"/>
      <c r="CG98" s="538"/>
      <c r="CH98" s="538"/>
      <c r="CI98" s="538"/>
      <c r="CJ98" s="539"/>
      <c r="CK98" s="240"/>
      <c r="CL98" s="238"/>
      <c r="CM98" s="238"/>
      <c r="CN98" s="238"/>
      <c r="CO98" s="238"/>
      <c r="CP98" s="238"/>
      <c r="CQ98" s="238"/>
      <c r="CR98" s="238"/>
      <c r="CS98" s="238"/>
      <c r="CT98" s="239"/>
      <c r="CU98" s="295"/>
      <c r="CV98" s="296"/>
      <c r="CW98" s="296"/>
      <c r="CX98" s="296"/>
      <c r="CY98" s="296"/>
      <c r="CZ98" s="296"/>
      <c r="DA98" s="296"/>
      <c r="DB98" s="296"/>
      <c r="DC98" s="296"/>
      <c r="DD98" s="297"/>
      <c r="DE98" s="214"/>
      <c r="DF98" s="207"/>
      <c r="DG98" s="207"/>
      <c r="DH98" s="207"/>
      <c r="DI98" s="207"/>
      <c r="DJ98" s="207"/>
      <c r="DK98" s="207"/>
      <c r="DL98" s="207"/>
      <c r="DM98" s="207"/>
      <c r="DN98" s="215"/>
      <c r="DO98" s="226"/>
      <c r="DP98" s="227"/>
      <c r="DQ98" s="227"/>
      <c r="DR98" s="227"/>
      <c r="DS98" s="227"/>
      <c r="DT98" s="227"/>
      <c r="DU98" s="227"/>
      <c r="DV98" s="227"/>
      <c r="DW98" s="227"/>
      <c r="DX98" s="228"/>
      <c r="DY98" s="307"/>
      <c r="DZ98" s="91"/>
      <c r="EA98" s="91"/>
      <c r="EB98" s="91"/>
      <c r="EC98" s="91"/>
      <c r="ED98" s="91"/>
      <c r="EE98" s="91"/>
      <c r="EF98" s="91"/>
      <c r="EG98" s="91"/>
      <c r="EH98" s="91"/>
      <c r="EI98" s="238"/>
      <c r="EJ98" s="238"/>
      <c r="EK98" s="238"/>
      <c r="EL98" s="238"/>
      <c r="EM98" s="238"/>
      <c r="EN98" s="238"/>
      <c r="EO98" s="238"/>
      <c r="EP98" s="238"/>
      <c r="EQ98" s="238"/>
      <c r="ER98" s="238"/>
      <c r="ES98" s="350">
        <f t="shared" si="36"/>
        <v>0</v>
      </c>
      <c r="ET98" s="350">
        <f t="shared" si="34"/>
        <v>0</v>
      </c>
      <c r="EU98" s="350">
        <f t="shared" si="20"/>
        <v>0</v>
      </c>
      <c r="EV98" s="350">
        <f t="shared" si="35"/>
        <v>0</v>
      </c>
      <c r="EW98" s="350">
        <f t="shared" si="37"/>
        <v>0</v>
      </c>
      <c r="EX98" s="350">
        <f t="shared" si="21"/>
        <v>0</v>
      </c>
      <c r="EY98" s="350">
        <f t="shared" si="22"/>
        <v>0</v>
      </c>
      <c r="EZ98" s="350">
        <f t="shared" si="23"/>
        <v>0</v>
      </c>
      <c r="FA98" s="350">
        <f t="shared" si="24"/>
        <v>0</v>
      </c>
      <c r="FB98" s="350">
        <f t="shared" si="25"/>
        <v>0</v>
      </c>
      <c r="FC98" s="350">
        <f t="shared" si="26"/>
        <v>0</v>
      </c>
      <c r="FD98" s="350">
        <f t="shared" si="27"/>
        <v>0</v>
      </c>
      <c r="FE98" s="350">
        <f t="shared" si="28"/>
        <v>0</v>
      </c>
      <c r="FF98" s="350">
        <f t="shared" si="29"/>
        <v>0</v>
      </c>
      <c r="FG98" s="349">
        <f t="shared" si="33"/>
        <v>96</v>
      </c>
      <c r="FH98" s="319">
        <f t="shared" si="30"/>
        <v>0</v>
      </c>
      <c r="FI98" s="319">
        <f>SUM(I7:ER7)-SUM(ES98:FF98)</f>
        <v>128</v>
      </c>
      <c r="FJ98" s="319">
        <f t="shared" si="31"/>
        <v>128</v>
      </c>
      <c r="FK98" s="7"/>
    </row>
    <row r="99" spans="1:167" ht="15.75" customHeight="1">
      <c r="A99" s="2"/>
      <c r="B99" s="3">
        <f t="shared" si="19"/>
        <v>0</v>
      </c>
      <c r="C99" s="347">
        <v>40</v>
      </c>
      <c r="D99" s="201"/>
      <c r="E99" s="347"/>
      <c r="F99" s="347"/>
      <c r="G99" s="493">
        <v>45915</v>
      </c>
      <c r="H99" s="494"/>
      <c r="I99" s="214"/>
      <c r="J99" s="207"/>
      <c r="K99" s="207"/>
      <c r="L99" s="207"/>
      <c r="M99" s="207"/>
      <c r="N99" s="207"/>
      <c r="O99" s="207"/>
      <c r="P99" s="207"/>
      <c r="Q99" s="207"/>
      <c r="R99" s="215"/>
      <c r="S99" s="226"/>
      <c r="T99" s="227"/>
      <c r="U99" s="227"/>
      <c r="V99" s="227"/>
      <c r="W99" s="227"/>
      <c r="X99" s="227"/>
      <c r="Y99" s="227"/>
      <c r="Z99" s="227"/>
      <c r="AA99" s="227"/>
      <c r="AB99" s="228"/>
      <c r="AC99" s="258"/>
      <c r="AD99" s="178"/>
      <c r="AE99" s="178"/>
      <c r="AF99" s="178"/>
      <c r="AG99" s="530"/>
      <c r="AH99" s="531"/>
      <c r="AI99" s="178"/>
      <c r="AJ99" s="178"/>
      <c r="AK99" s="178"/>
      <c r="AL99" s="202"/>
      <c r="AM99" s="237"/>
      <c r="AN99" s="238"/>
      <c r="AO99" s="238"/>
      <c r="AP99" s="238"/>
      <c r="AQ99" s="238"/>
      <c r="AR99" s="238"/>
      <c r="AS99" s="238"/>
      <c r="AT99" s="238"/>
      <c r="AU99" s="238"/>
      <c r="AV99" s="273"/>
      <c r="AW99" s="295"/>
      <c r="AX99" s="296"/>
      <c r="AY99" s="296"/>
      <c r="AZ99" s="296"/>
      <c r="BA99" s="296"/>
      <c r="BB99" s="296"/>
      <c r="BC99" s="296"/>
      <c r="BD99" s="296"/>
      <c r="BE99" s="296"/>
      <c r="BF99" s="297"/>
      <c r="BG99" s="214"/>
      <c r="BH99" s="207"/>
      <c r="BI99" s="207"/>
      <c r="BJ99" s="207"/>
      <c r="BK99" s="207"/>
      <c r="BL99" s="207"/>
      <c r="BM99" s="207"/>
      <c r="BN99" s="207"/>
      <c r="BO99" s="207"/>
      <c r="BP99" s="215"/>
      <c r="BQ99" s="249"/>
      <c r="BR99" s="227"/>
      <c r="BS99" s="227"/>
      <c r="BT99" s="227"/>
      <c r="BU99" s="227"/>
      <c r="BV99" s="227"/>
      <c r="BW99" s="227"/>
      <c r="BX99" s="227"/>
      <c r="BY99" s="227"/>
      <c r="BZ99" s="247"/>
      <c r="CA99" s="537"/>
      <c r="CB99" s="538"/>
      <c r="CC99" s="538"/>
      <c r="CD99" s="538"/>
      <c r="CE99" s="538"/>
      <c r="CF99" s="538"/>
      <c r="CG99" s="538"/>
      <c r="CH99" s="538"/>
      <c r="CI99" s="538"/>
      <c r="CJ99" s="539"/>
      <c r="CK99" s="240"/>
      <c r="CL99" s="238"/>
      <c r="CM99" s="238"/>
      <c r="CN99" s="238"/>
      <c r="CO99" s="238"/>
      <c r="CP99" s="238"/>
      <c r="CQ99" s="238"/>
      <c r="CR99" s="238"/>
      <c r="CS99" s="238"/>
      <c r="CT99" s="239"/>
      <c r="CU99" s="295"/>
      <c r="CV99" s="296"/>
      <c r="CW99" s="296"/>
      <c r="CX99" s="296"/>
      <c r="CY99" s="296"/>
      <c r="CZ99" s="296"/>
      <c r="DA99" s="296"/>
      <c r="DB99" s="296"/>
      <c r="DC99" s="296"/>
      <c r="DD99" s="297"/>
      <c r="DE99" s="214"/>
      <c r="DF99" s="207"/>
      <c r="DG99" s="207"/>
      <c r="DH99" s="207"/>
      <c r="DI99" s="207"/>
      <c r="DJ99" s="207"/>
      <c r="DK99" s="207"/>
      <c r="DL99" s="207"/>
      <c r="DM99" s="207"/>
      <c r="DN99" s="215"/>
      <c r="DO99" s="226"/>
      <c r="DP99" s="227"/>
      <c r="DQ99" s="227"/>
      <c r="DR99" s="227"/>
      <c r="DS99" s="227"/>
      <c r="DT99" s="227"/>
      <c r="DU99" s="227"/>
      <c r="DV99" s="227"/>
      <c r="DW99" s="227"/>
      <c r="DX99" s="228"/>
      <c r="DY99" s="307"/>
      <c r="DZ99" s="91"/>
      <c r="EA99" s="91"/>
      <c r="EB99" s="91"/>
      <c r="EC99" s="91"/>
      <c r="ED99" s="91"/>
      <c r="EE99" s="91"/>
      <c r="EF99" s="91"/>
      <c r="EG99" s="91"/>
      <c r="EH99" s="91"/>
      <c r="EI99" s="238"/>
      <c r="EJ99" s="238"/>
      <c r="EK99" s="238"/>
      <c r="EL99" s="238"/>
      <c r="EM99" s="238"/>
      <c r="EN99" s="238"/>
      <c r="EO99" s="238"/>
      <c r="EP99" s="238"/>
      <c r="EQ99" s="238"/>
      <c r="ER99" s="238"/>
      <c r="ES99" s="350">
        <f t="shared" si="36"/>
        <v>0</v>
      </c>
      <c r="ET99" s="350">
        <f t="shared" si="34"/>
        <v>0</v>
      </c>
      <c r="EU99" s="350">
        <f t="shared" si="20"/>
        <v>0</v>
      </c>
      <c r="EV99" s="350">
        <f t="shared" si="35"/>
        <v>0</v>
      </c>
      <c r="EW99" s="350">
        <f t="shared" si="37"/>
        <v>0</v>
      </c>
      <c r="EX99" s="350">
        <f t="shared" si="21"/>
        <v>0</v>
      </c>
      <c r="EY99" s="350">
        <f t="shared" si="22"/>
        <v>0</v>
      </c>
      <c r="EZ99" s="350">
        <f t="shared" si="23"/>
        <v>0</v>
      </c>
      <c r="FA99" s="350">
        <f t="shared" si="24"/>
        <v>0</v>
      </c>
      <c r="FB99" s="350">
        <f t="shared" si="25"/>
        <v>0</v>
      </c>
      <c r="FC99" s="350">
        <f t="shared" si="26"/>
        <v>0</v>
      </c>
      <c r="FD99" s="350">
        <f t="shared" si="27"/>
        <v>0</v>
      </c>
      <c r="FE99" s="350">
        <f t="shared" si="28"/>
        <v>0</v>
      </c>
      <c r="FF99" s="350">
        <f t="shared" si="29"/>
        <v>0</v>
      </c>
      <c r="FG99" s="349">
        <f t="shared" si="33"/>
        <v>97</v>
      </c>
      <c r="FH99" s="319">
        <f t="shared" si="30"/>
        <v>0</v>
      </c>
      <c r="FI99" s="319">
        <f>SUM(I7:ER7)-SUM(ES99:FF99)</f>
        <v>128</v>
      </c>
      <c r="FJ99" s="319">
        <f t="shared" si="31"/>
        <v>128</v>
      </c>
      <c r="FK99" s="7"/>
    </row>
    <row r="100" spans="1:167" ht="15.75" customHeight="1">
      <c r="A100" s="2"/>
      <c r="B100" s="3">
        <f t="shared" si="19"/>
        <v>0</v>
      </c>
      <c r="C100" s="347">
        <v>41</v>
      </c>
      <c r="D100" s="201"/>
      <c r="E100" s="347"/>
      <c r="F100" s="347"/>
      <c r="G100" s="493">
        <v>45915</v>
      </c>
      <c r="H100" s="494"/>
      <c r="I100" s="214"/>
      <c r="J100" s="207"/>
      <c r="K100" s="207"/>
      <c r="L100" s="207"/>
      <c r="M100" s="207"/>
      <c r="N100" s="207"/>
      <c r="O100" s="207"/>
      <c r="P100" s="207"/>
      <c r="Q100" s="207"/>
      <c r="R100" s="215"/>
      <c r="S100" s="226"/>
      <c r="T100" s="227"/>
      <c r="U100" s="227"/>
      <c r="V100" s="227"/>
      <c r="W100" s="227"/>
      <c r="X100" s="227"/>
      <c r="Y100" s="227"/>
      <c r="Z100" s="227"/>
      <c r="AA100" s="227"/>
      <c r="AB100" s="228"/>
      <c r="AC100" s="258"/>
      <c r="AD100" s="178"/>
      <c r="AE100" s="178"/>
      <c r="AF100" s="178"/>
      <c r="AG100" s="530"/>
      <c r="AH100" s="531"/>
      <c r="AI100" s="178"/>
      <c r="AJ100" s="178"/>
      <c r="AK100" s="178"/>
      <c r="AL100" s="202"/>
      <c r="AM100" s="237"/>
      <c r="AN100" s="238"/>
      <c r="AO100" s="238"/>
      <c r="AP100" s="238"/>
      <c r="AQ100" s="238"/>
      <c r="AR100" s="238"/>
      <c r="AS100" s="238"/>
      <c r="AT100" s="238"/>
      <c r="AU100" s="238"/>
      <c r="AV100" s="273"/>
      <c r="AW100" s="295"/>
      <c r="AX100" s="296"/>
      <c r="AY100" s="296"/>
      <c r="AZ100" s="296"/>
      <c r="BA100" s="296"/>
      <c r="BB100" s="296"/>
      <c r="BC100" s="296"/>
      <c r="BD100" s="296"/>
      <c r="BE100" s="296"/>
      <c r="BF100" s="297"/>
      <c r="BG100" s="214"/>
      <c r="BH100" s="207"/>
      <c r="BI100" s="207"/>
      <c r="BJ100" s="207"/>
      <c r="BK100" s="207"/>
      <c r="BL100" s="207"/>
      <c r="BM100" s="207"/>
      <c r="BN100" s="207"/>
      <c r="BO100" s="207"/>
      <c r="BP100" s="215"/>
      <c r="BQ100" s="249"/>
      <c r="BR100" s="227"/>
      <c r="BS100" s="227"/>
      <c r="BT100" s="227"/>
      <c r="BU100" s="227"/>
      <c r="BV100" s="227"/>
      <c r="BW100" s="227"/>
      <c r="BX100" s="227"/>
      <c r="BY100" s="227"/>
      <c r="BZ100" s="247"/>
      <c r="CA100" s="537"/>
      <c r="CB100" s="538"/>
      <c r="CC100" s="538"/>
      <c r="CD100" s="538"/>
      <c r="CE100" s="538"/>
      <c r="CF100" s="538"/>
      <c r="CG100" s="538"/>
      <c r="CH100" s="538"/>
      <c r="CI100" s="538"/>
      <c r="CJ100" s="539"/>
      <c r="CK100" s="240"/>
      <c r="CL100" s="238"/>
      <c r="CM100" s="238"/>
      <c r="CN100" s="238"/>
      <c r="CO100" s="238"/>
      <c r="CP100" s="238"/>
      <c r="CQ100" s="238"/>
      <c r="CR100" s="238"/>
      <c r="CS100" s="238"/>
      <c r="CT100" s="239"/>
      <c r="CU100" s="295"/>
      <c r="CV100" s="296"/>
      <c r="CW100" s="296"/>
      <c r="CX100" s="296"/>
      <c r="CY100" s="296"/>
      <c r="CZ100" s="296"/>
      <c r="DA100" s="296"/>
      <c r="DB100" s="296"/>
      <c r="DC100" s="296"/>
      <c r="DD100" s="297"/>
      <c r="DE100" s="214"/>
      <c r="DF100" s="207"/>
      <c r="DG100" s="207"/>
      <c r="DH100" s="207"/>
      <c r="DI100" s="207"/>
      <c r="DJ100" s="207"/>
      <c r="DK100" s="207"/>
      <c r="DL100" s="207"/>
      <c r="DM100" s="207"/>
      <c r="DN100" s="215"/>
      <c r="DO100" s="226"/>
      <c r="DP100" s="227"/>
      <c r="DQ100" s="227"/>
      <c r="DR100" s="227"/>
      <c r="DS100" s="227"/>
      <c r="DT100" s="227"/>
      <c r="DU100" s="227"/>
      <c r="DV100" s="227"/>
      <c r="DW100" s="227"/>
      <c r="DX100" s="228"/>
      <c r="DY100" s="307"/>
      <c r="DZ100" s="91"/>
      <c r="EA100" s="91"/>
      <c r="EB100" s="91"/>
      <c r="EC100" s="91"/>
      <c r="ED100" s="91"/>
      <c r="EE100" s="91"/>
      <c r="EF100" s="91"/>
      <c r="EG100" s="91"/>
      <c r="EH100" s="91"/>
      <c r="EI100" s="238"/>
      <c r="EJ100" s="238"/>
      <c r="EK100" s="238"/>
      <c r="EL100" s="238"/>
      <c r="EM100" s="238"/>
      <c r="EN100" s="238"/>
      <c r="EO100" s="238"/>
      <c r="EP100" s="238"/>
      <c r="EQ100" s="238"/>
      <c r="ER100" s="238"/>
      <c r="ES100" s="350">
        <f t="shared" si="36"/>
        <v>0</v>
      </c>
      <c r="ET100" s="350">
        <f t="shared" si="34"/>
        <v>0</v>
      </c>
      <c r="EU100" s="350">
        <f t="shared" si="20"/>
        <v>0</v>
      </c>
      <c r="EV100" s="350">
        <f t="shared" si="35"/>
        <v>0</v>
      </c>
      <c r="EW100" s="350">
        <f t="shared" si="37"/>
        <v>0</v>
      </c>
      <c r="EX100" s="350">
        <f t="shared" si="21"/>
        <v>0</v>
      </c>
      <c r="EY100" s="350">
        <f t="shared" si="22"/>
        <v>0</v>
      </c>
      <c r="EZ100" s="350">
        <f t="shared" si="23"/>
        <v>0</v>
      </c>
      <c r="FA100" s="350">
        <f t="shared" si="24"/>
        <v>0</v>
      </c>
      <c r="FB100" s="350">
        <f t="shared" si="25"/>
        <v>0</v>
      </c>
      <c r="FC100" s="350">
        <f t="shared" si="26"/>
        <v>0</v>
      </c>
      <c r="FD100" s="350">
        <f t="shared" si="27"/>
        <v>0</v>
      </c>
      <c r="FE100" s="350">
        <f t="shared" si="28"/>
        <v>0</v>
      </c>
      <c r="FF100" s="350">
        <f t="shared" si="29"/>
        <v>0</v>
      </c>
      <c r="FG100" s="349">
        <f t="shared" si="33"/>
        <v>98</v>
      </c>
      <c r="FH100" s="319">
        <f t="shared" si="30"/>
        <v>0</v>
      </c>
      <c r="FI100" s="319">
        <f>SUM(I7:ER7)-SUM(ES100:FF100)</f>
        <v>128</v>
      </c>
      <c r="FJ100" s="319">
        <f t="shared" si="31"/>
        <v>128</v>
      </c>
      <c r="FK100" s="7"/>
    </row>
    <row r="101" spans="1:167" ht="15.75" customHeight="1">
      <c r="A101" s="2"/>
      <c r="B101" s="3">
        <f t="shared" si="19"/>
        <v>0</v>
      </c>
      <c r="C101" s="347">
        <v>42</v>
      </c>
      <c r="D101" s="201"/>
      <c r="E101" s="347"/>
      <c r="F101" s="347"/>
      <c r="G101" s="493">
        <v>45915</v>
      </c>
      <c r="H101" s="494"/>
      <c r="I101" s="214"/>
      <c r="J101" s="207"/>
      <c r="K101" s="207"/>
      <c r="L101" s="207"/>
      <c r="M101" s="207"/>
      <c r="N101" s="207"/>
      <c r="O101" s="207"/>
      <c r="P101" s="207"/>
      <c r="Q101" s="207"/>
      <c r="R101" s="215"/>
      <c r="S101" s="226"/>
      <c r="T101" s="227"/>
      <c r="U101" s="227"/>
      <c r="V101" s="227"/>
      <c r="W101" s="227"/>
      <c r="X101" s="227"/>
      <c r="Y101" s="227"/>
      <c r="Z101" s="227"/>
      <c r="AA101" s="227"/>
      <c r="AB101" s="228"/>
      <c r="AC101" s="258"/>
      <c r="AD101" s="178"/>
      <c r="AE101" s="178"/>
      <c r="AF101" s="178"/>
      <c r="AG101" s="530"/>
      <c r="AH101" s="531"/>
      <c r="AI101" s="178"/>
      <c r="AJ101" s="178"/>
      <c r="AK101" s="178"/>
      <c r="AL101" s="202"/>
      <c r="AM101" s="237"/>
      <c r="AN101" s="238"/>
      <c r="AO101" s="238"/>
      <c r="AP101" s="238"/>
      <c r="AQ101" s="238"/>
      <c r="AR101" s="238"/>
      <c r="AS101" s="238"/>
      <c r="AT101" s="238"/>
      <c r="AU101" s="238"/>
      <c r="AV101" s="273"/>
      <c r="AW101" s="295"/>
      <c r="AX101" s="296"/>
      <c r="AY101" s="296"/>
      <c r="AZ101" s="296"/>
      <c r="BA101" s="296"/>
      <c r="BB101" s="296"/>
      <c r="BC101" s="296"/>
      <c r="BD101" s="296"/>
      <c r="BE101" s="296"/>
      <c r="BF101" s="297"/>
      <c r="BG101" s="214"/>
      <c r="BH101" s="207"/>
      <c r="BI101" s="207"/>
      <c r="BJ101" s="207"/>
      <c r="BK101" s="207"/>
      <c r="BL101" s="207"/>
      <c r="BM101" s="207"/>
      <c r="BN101" s="207"/>
      <c r="BO101" s="207"/>
      <c r="BP101" s="215"/>
      <c r="BQ101" s="249"/>
      <c r="BR101" s="227"/>
      <c r="BS101" s="227"/>
      <c r="BT101" s="227"/>
      <c r="BU101" s="227"/>
      <c r="BV101" s="227"/>
      <c r="BW101" s="227"/>
      <c r="BX101" s="227"/>
      <c r="BY101" s="227"/>
      <c r="BZ101" s="247"/>
      <c r="CA101" s="537"/>
      <c r="CB101" s="538"/>
      <c r="CC101" s="538"/>
      <c r="CD101" s="538"/>
      <c r="CE101" s="538"/>
      <c r="CF101" s="538"/>
      <c r="CG101" s="538"/>
      <c r="CH101" s="538"/>
      <c r="CI101" s="538"/>
      <c r="CJ101" s="539"/>
      <c r="CK101" s="240"/>
      <c r="CL101" s="238"/>
      <c r="CM101" s="238"/>
      <c r="CN101" s="238"/>
      <c r="CO101" s="238"/>
      <c r="CP101" s="238"/>
      <c r="CQ101" s="238"/>
      <c r="CR101" s="238"/>
      <c r="CS101" s="238"/>
      <c r="CT101" s="239"/>
      <c r="CU101" s="295"/>
      <c r="CV101" s="296"/>
      <c r="CW101" s="296"/>
      <c r="CX101" s="296"/>
      <c r="CY101" s="296"/>
      <c r="CZ101" s="296"/>
      <c r="DA101" s="296"/>
      <c r="DB101" s="296"/>
      <c r="DC101" s="296"/>
      <c r="DD101" s="297"/>
      <c r="DE101" s="214"/>
      <c r="DF101" s="207"/>
      <c r="DG101" s="207"/>
      <c r="DH101" s="207"/>
      <c r="DI101" s="207"/>
      <c r="DJ101" s="207"/>
      <c r="DK101" s="207"/>
      <c r="DL101" s="207"/>
      <c r="DM101" s="207"/>
      <c r="DN101" s="215"/>
      <c r="DO101" s="226"/>
      <c r="DP101" s="227"/>
      <c r="DQ101" s="227"/>
      <c r="DR101" s="227"/>
      <c r="DS101" s="227"/>
      <c r="DT101" s="227"/>
      <c r="DU101" s="227"/>
      <c r="DV101" s="227"/>
      <c r="DW101" s="227"/>
      <c r="DX101" s="228"/>
      <c r="DY101" s="307"/>
      <c r="DZ101" s="91"/>
      <c r="EA101" s="91"/>
      <c r="EB101" s="91"/>
      <c r="EC101" s="91"/>
      <c r="ED101" s="91"/>
      <c r="EE101" s="91"/>
      <c r="EF101" s="91"/>
      <c r="EG101" s="91"/>
      <c r="EH101" s="91"/>
      <c r="EI101" s="238"/>
      <c r="EJ101" s="238"/>
      <c r="EK101" s="238"/>
      <c r="EL101" s="238"/>
      <c r="EM101" s="238"/>
      <c r="EN101" s="238"/>
      <c r="EO101" s="238"/>
      <c r="EP101" s="238"/>
      <c r="EQ101" s="238"/>
      <c r="ER101" s="238"/>
      <c r="ES101" s="350">
        <f t="shared" si="36"/>
        <v>0</v>
      </c>
      <c r="ET101" s="350">
        <f t="shared" si="34"/>
        <v>0</v>
      </c>
      <c r="EU101" s="350">
        <f t="shared" si="20"/>
        <v>0</v>
      </c>
      <c r="EV101" s="350">
        <f t="shared" si="35"/>
        <v>0</v>
      </c>
      <c r="EW101" s="350">
        <f t="shared" si="37"/>
        <v>0</v>
      </c>
      <c r="EX101" s="350">
        <f t="shared" si="21"/>
        <v>0</v>
      </c>
      <c r="EY101" s="350">
        <f t="shared" si="22"/>
        <v>0</v>
      </c>
      <c r="EZ101" s="350">
        <f t="shared" si="23"/>
        <v>0</v>
      </c>
      <c r="FA101" s="350">
        <f t="shared" si="24"/>
        <v>0</v>
      </c>
      <c r="FB101" s="350">
        <f t="shared" si="25"/>
        <v>0</v>
      </c>
      <c r="FC101" s="350">
        <f t="shared" si="26"/>
        <v>0</v>
      </c>
      <c r="FD101" s="350">
        <f t="shared" si="27"/>
        <v>0</v>
      </c>
      <c r="FE101" s="350">
        <f t="shared" si="28"/>
        <v>0</v>
      </c>
      <c r="FF101" s="350">
        <f t="shared" si="29"/>
        <v>0</v>
      </c>
      <c r="FG101" s="349">
        <f t="shared" si="33"/>
        <v>99</v>
      </c>
      <c r="FH101" s="319">
        <f t="shared" si="30"/>
        <v>0</v>
      </c>
      <c r="FI101" s="319">
        <f>SUM(I7:ER7)-SUM(ES101:FF101)</f>
        <v>128</v>
      </c>
      <c r="FJ101" s="319">
        <f t="shared" si="31"/>
        <v>128</v>
      </c>
      <c r="FK101" s="7"/>
    </row>
    <row r="102" spans="1:167" ht="15.75" customHeight="1">
      <c r="A102" s="2"/>
      <c r="B102" s="3">
        <f t="shared" si="19"/>
        <v>0</v>
      </c>
      <c r="C102" s="347">
        <v>43</v>
      </c>
      <c r="D102" s="201"/>
      <c r="E102" s="347"/>
      <c r="F102" s="347"/>
      <c r="G102" s="493">
        <v>45915</v>
      </c>
      <c r="H102" s="494"/>
      <c r="I102" s="214"/>
      <c r="J102" s="207"/>
      <c r="K102" s="207"/>
      <c r="L102" s="207"/>
      <c r="M102" s="207"/>
      <c r="N102" s="207"/>
      <c r="O102" s="207"/>
      <c r="P102" s="207"/>
      <c r="Q102" s="207"/>
      <c r="R102" s="215"/>
      <c r="S102" s="226"/>
      <c r="T102" s="227"/>
      <c r="U102" s="227"/>
      <c r="V102" s="227"/>
      <c r="W102" s="227"/>
      <c r="X102" s="227"/>
      <c r="Y102" s="227"/>
      <c r="Z102" s="227"/>
      <c r="AA102" s="227"/>
      <c r="AB102" s="228"/>
      <c r="AC102" s="258"/>
      <c r="AD102" s="178"/>
      <c r="AE102" s="178"/>
      <c r="AF102" s="178"/>
      <c r="AG102" s="530"/>
      <c r="AH102" s="531"/>
      <c r="AI102" s="178"/>
      <c r="AJ102" s="178"/>
      <c r="AK102" s="178"/>
      <c r="AL102" s="202"/>
      <c r="AM102" s="237"/>
      <c r="AN102" s="238"/>
      <c r="AO102" s="238"/>
      <c r="AP102" s="238"/>
      <c r="AQ102" s="238"/>
      <c r="AR102" s="238"/>
      <c r="AS102" s="238"/>
      <c r="AT102" s="238"/>
      <c r="AU102" s="238"/>
      <c r="AV102" s="273"/>
      <c r="AW102" s="295"/>
      <c r="AX102" s="296"/>
      <c r="AY102" s="296"/>
      <c r="AZ102" s="296"/>
      <c r="BA102" s="296"/>
      <c r="BB102" s="296"/>
      <c r="BC102" s="296"/>
      <c r="BD102" s="296"/>
      <c r="BE102" s="296"/>
      <c r="BF102" s="297"/>
      <c r="BG102" s="214"/>
      <c r="BH102" s="207"/>
      <c r="BI102" s="207"/>
      <c r="BJ102" s="207"/>
      <c r="BK102" s="207"/>
      <c r="BL102" s="207"/>
      <c r="BM102" s="207"/>
      <c r="BN102" s="207"/>
      <c r="BO102" s="207"/>
      <c r="BP102" s="215"/>
      <c r="BQ102" s="249"/>
      <c r="BR102" s="227"/>
      <c r="BS102" s="227"/>
      <c r="BT102" s="227"/>
      <c r="BU102" s="227"/>
      <c r="BV102" s="227"/>
      <c r="BW102" s="227"/>
      <c r="BX102" s="227"/>
      <c r="BY102" s="227"/>
      <c r="BZ102" s="247"/>
      <c r="CA102" s="537"/>
      <c r="CB102" s="538"/>
      <c r="CC102" s="538"/>
      <c r="CD102" s="538"/>
      <c r="CE102" s="538"/>
      <c r="CF102" s="538"/>
      <c r="CG102" s="538"/>
      <c r="CH102" s="538"/>
      <c r="CI102" s="538"/>
      <c r="CJ102" s="539"/>
      <c r="CK102" s="240"/>
      <c r="CL102" s="238"/>
      <c r="CM102" s="238"/>
      <c r="CN102" s="238"/>
      <c r="CO102" s="238"/>
      <c r="CP102" s="238"/>
      <c r="CQ102" s="238"/>
      <c r="CR102" s="238"/>
      <c r="CS102" s="238"/>
      <c r="CT102" s="239"/>
      <c r="CU102" s="295"/>
      <c r="CV102" s="296"/>
      <c r="CW102" s="296"/>
      <c r="CX102" s="296"/>
      <c r="CY102" s="296"/>
      <c r="CZ102" s="296"/>
      <c r="DA102" s="296"/>
      <c r="DB102" s="296"/>
      <c r="DC102" s="296"/>
      <c r="DD102" s="297"/>
      <c r="DE102" s="214"/>
      <c r="DF102" s="207"/>
      <c r="DG102" s="207"/>
      <c r="DH102" s="207"/>
      <c r="DI102" s="207"/>
      <c r="DJ102" s="207"/>
      <c r="DK102" s="207"/>
      <c r="DL102" s="207"/>
      <c r="DM102" s="207"/>
      <c r="DN102" s="215"/>
      <c r="DO102" s="226"/>
      <c r="DP102" s="227"/>
      <c r="DQ102" s="227"/>
      <c r="DR102" s="227"/>
      <c r="DS102" s="227"/>
      <c r="DT102" s="227"/>
      <c r="DU102" s="227"/>
      <c r="DV102" s="227"/>
      <c r="DW102" s="227"/>
      <c r="DX102" s="228"/>
      <c r="DY102" s="307"/>
      <c r="DZ102" s="91"/>
      <c r="EA102" s="91"/>
      <c r="EB102" s="91"/>
      <c r="EC102" s="91"/>
      <c r="ED102" s="91"/>
      <c r="EE102" s="91"/>
      <c r="EF102" s="91"/>
      <c r="EG102" s="91"/>
      <c r="EH102" s="91"/>
      <c r="EI102" s="238"/>
      <c r="EJ102" s="238"/>
      <c r="EK102" s="238"/>
      <c r="EL102" s="238"/>
      <c r="EM102" s="238"/>
      <c r="EN102" s="238"/>
      <c r="EO102" s="238"/>
      <c r="EP102" s="238"/>
      <c r="EQ102" s="238"/>
      <c r="ER102" s="238"/>
      <c r="ES102" s="350">
        <f t="shared" si="36"/>
        <v>0</v>
      </c>
      <c r="ET102" s="350">
        <f t="shared" si="34"/>
        <v>0</v>
      </c>
      <c r="EU102" s="350">
        <f t="shared" si="20"/>
        <v>0</v>
      </c>
      <c r="EV102" s="350">
        <f t="shared" si="35"/>
        <v>0</v>
      </c>
      <c r="EW102" s="350">
        <f t="shared" si="37"/>
        <v>0</v>
      </c>
      <c r="EX102" s="350">
        <f t="shared" si="21"/>
        <v>0</v>
      </c>
      <c r="EY102" s="350">
        <f t="shared" si="22"/>
        <v>0</v>
      </c>
      <c r="EZ102" s="350">
        <f t="shared" si="23"/>
        <v>0</v>
      </c>
      <c r="FA102" s="350">
        <f t="shared" si="24"/>
        <v>0</v>
      </c>
      <c r="FB102" s="350">
        <f t="shared" si="25"/>
        <v>0</v>
      </c>
      <c r="FC102" s="350">
        <f t="shared" si="26"/>
        <v>0</v>
      </c>
      <c r="FD102" s="350">
        <f t="shared" si="27"/>
        <v>0</v>
      </c>
      <c r="FE102" s="350">
        <f t="shared" si="28"/>
        <v>0</v>
      </c>
      <c r="FF102" s="350">
        <f t="shared" si="29"/>
        <v>0</v>
      </c>
      <c r="FG102" s="349">
        <f t="shared" si="33"/>
        <v>100</v>
      </c>
      <c r="FH102" s="319">
        <f t="shared" si="30"/>
        <v>0</v>
      </c>
      <c r="FI102" s="319">
        <f>SUM(I7:ER7)-SUM(ES102:FF102)</f>
        <v>128</v>
      </c>
      <c r="FJ102" s="319">
        <f t="shared" si="31"/>
        <v>128</v>
      </c>
      <c r="FK102" s="7"/>
    </row>
    <row r="103" spans="1:167" ht="15.75" customHeight="1">
      <c r="A103" s="2"/>
      <c r="B103" s="3">
        <f t="shared" si="19"/>
        <v>0</v>
      </c>
      <c r="C103" s="347">
        <v>44</v>
      </c>
      <c r="D103" s="201"/>
      <c r="E103" s="347"/>
      <c r="F103" s="347"/>
      <c r="G103" s="493">
        <v>45915</v>
      </c>
      <c r="H103" s="494"/>
      <c r="I103" s="214"/>
      <c r="J103" s="207"/>
      <c r="K103" s="207"/>
      <c r="L103" s="207"/>
      <c r="M103" s="207"/>
      <c r="N103" s="207"/>
      <c r="O103" s="207"/>
      <c r="P103" s="207"/>
      <c r="Q103" s="207"/>
      <c r="R103" s="215"/>
      <c r="S103" s="226"/>
      <c r="T103" s="227"/>
      <c r="U103" s="227"/>
      <c r="V103" s="227"/>
      <c r="W103" s="227"/>
      <c r="X103" s="227"/>
      <c r="Y103" s="227"/>
      <c r="Z103" s="227"/>
      <c r="AA103" s="227"/>
      <c r="AB103" s="228"/>
      <c r="AC103" s="258"/>
      <c r="AD103" s="178"/>
      <c r="AE103" s="178"/>
      <c r="AF103" s="178"/>
      <c r="AG103" s="530"/>
      <c r="AH103" s="531"/>
      <c r="AI103" s="178"/>
      <c r="AJ103" s="178"/>
      <c r="AK103" s="178"/>
      <c r="AL103" s="202"/>
      <c r="AM103" s="237"/>
      <c r="AN103" s="238"/>
      <c r="AO103" s="238"/>
      <c r="AP103" s="238"/>
      <c r="AQ103" s="238"/>
      <c r="AR103" s="238"/>
      <c r="AS103" s="238"/>
      <c r="AT103" s="238"/>
      <c r="AU103" s="238"/>
      <c r="AV103" s="273"/>
      <c r="AW103" s="295"/>
      <c r="AX103" s="296"/>
      <c r="AY103" s="296"/>
      <c r="AZ103" s="296"/>
      <c r="BA103" s="296"/>
      <c r="BB103" s="296"/>
      <c r="BC103" s="296"/>
      <c r="BD103" s="296"/>
      <c r="BE103" s="296"/>
      <c r="BF103" s="297"/>
      <c r="BG103" s="214"/>
      <c r="BH103" s="207"/>
      <c r="BI103" s="207"/>
      <c r="BJ103" s="207"/>
      <c r="BK103" s="207"/>
      <c r="BL103" s="207"/>
      <c r="BM103" s="207"/>
      <c r="BN103" s="207"/>
      <c r="BO103" s="207"/>
      <c r="BP103" s="215"/>
      <c r="BQ103" s="249"/>
      <c r="BR103" s="227"/>
      <c r="BS103" s="227"/>
      <c r="BT103" s="227"/>
      <c r="BU103" s="227"/>
      <c r="BV103" s="227"/>
      <c r="BW103" s="227"/>
      <c r="BX103" s="227"/>
      <c r="BY103" s="227"/>
      <c r="BZ103" s="247"/>
      <c r="CA103" s="537"/>
      <c r="CB103" s="538"/>
      <c r="CC103" s="538"/>
      <c r="CD103" s="538"/>
      <c r="CE103" s="538"/>
      <c r="CF103" s="538"/>
      <c r="CG103" s="538"/>
      <c r="CH103" s="538"/>
      <c r="CI103" s="538"/>
      <c r="CJ103" s="539"/>
      <c r="CK103" s="240"/>
      <c r="CL103" s="238"/>
      <c r="CM103" s="238"/>
      <c r="CN103" s="238"/>
      <c r="CO103" s="238"/>
      <c r="CP103" s="238"/>
      <c r="CQ103" s="238"/>
      <c r="CR103" s="238"/>
      <c r="CS103" s="238"/>
      <c r="CT103" s="239"/>
      <c r="CU103" s="295"/>
      <c r="CV103" s="296"/>
      <c r="CW103" s="296"/>
      <c r="CX103" s="296"/>
      <c r="CY103" s="296"/>
      <c r="CZ103" s="296"/>
      <c r="DA103" s="296"/>
      <c r="DB103" s="296"/>
      <c r="DC103" s="296"/>
      <c r="DD103" s="297"/>
      <c r="DE103" s="214"/>
      <c r="DF103" s="207"/>
      <c r="DG103" s="207"/>
      <c r="DH103" s="207"/>
      <c r="DI103" s="207"/>
      <c r="DJ103" s="207"/>
      <c r="DK103" s="207"/>
      <c r="DL103" s="207"/>
      <c r="DM103" s="207"/>
      <c r="DN103" s="215"/>
      <c r="DO103" s="226"/>
      <c r="DP103" s="227"/>
      <c r="DQ103" s="227"/>
      <c r="DR103" s="227"/>
      <c r="DS103" s="227"/>
      <c r="DT103" s="227"/>
      <c r="DU103" s="227"/>
      <c r="DV103" s="227"/>
      <c r="DW103" s="227"/>
      <c r="DX103" s="228"/>
      <c r="DY103" s="307"/>
      <c r="DZ103" s="91"/>
      <c r="EA103" s="91"/>
      <c r="EB103" s="91"/>
      <c r="EC103" s="91"/>
      <c r="ED103" s="91"/>
      <c r="EE103" s="91"/>
      <c r="EF103" s="91"/>
      <c r="EG103" s="91"/>
      <c r="EH103" s="91"/>
      <c r="EI103" s="238"/>
      <c r="EJ103" s="238"/>
      <c r="EK103" s="238"/>
      <c r="EL103" s="238"/>
      <c r="EM103" s="238"/>
      <c r="EN103" s="238"/>
      <c r="EO103" s="238"/>
      <c r="EP103" s="238"/>
      <c r="EQ103" s="238"/>
      <c r="ER103" s="238"/>
      <c r="ES103" s="350">
        <f t="shared" si="36"/>
        <v>0</v>
      </c>
      <c r="ET103" s="350">
        <f t="shared" si="34"/>
        <v>0</v>
      </c>
      <c r="EU103" s="350">
        <f t="shared" si="20"/>
        <v>0</v>
      </c>
      <c r="EV103" s="350">
        <f t="shared" si="35"/>
        <v>0</v>
      </c>
      <c r="EW103" s="350">
        <f t="shared" si="37"/>
        <v>0</v>
      </c>
      <c r="EX103" s="350">
        <f t="shared" si="21"/>
        <v>0</v>
      </c>
      <c r="EY103" s="350">
        <f t="shared" si="22"/>
        <v>0</v>
      </c>
      <c r="EZ103" s="350">
        <f t="shared" si="23"/>
        <v>0</v>
      </c>
      <c r="FA103" s="350">
        <f t="shared" si="24"/>
        <v>0</v>
      </c>
      <c r="FB103" s="350">
        <f t="shared" si="25"/>
        <v>0</v>
      </c>
      <c r="FC103" s="350">
        <f t="shared" si="26"/>
        <v>0</v>
      </c>
      <c r="FD103" s="350">
        <f t="shared" si="27"/>
        <v>0</v>
      </c>
      <c r="FE103" s="350">
        <f t="shared" si="28"/>
        <v>0</v>
      </c>
      <c r="FF103" s="350">
        <f t="shared" si="29"/>
        <v>0</v>
      </c>
      <c r="FG103" s="349">
        <f t="shared" si="33"/>
        <v>101</v>
      </c>
      <c r="FH103" s="319">
        <f t="shared" si="30"/>
        <v>0</v>
      </c>
      <c r="FI103" s="319">
        <f>SUM(I7:ER7)-SUM(ES103:FF103)</f>
        <v>128</v>
      </c>
      <c r="FJ103" s="319">
        <f t="shared" si="31"/>
        <v>128</v>
      </c>
      <c r="FK103" s="7"/>
    </row>
    <row r="104" spans="1:167" ht="15.75" customHeight="1">
      <c r="A104" s="2"/>
      <c r="B104" s="3">
        <f t="shared" si="19"/>
        <v>0</v>
      </c>
      <c r="C104" s="347">
        <v>45</v>
      </c>
      <c r="D104" s="201"/>
      <c r="E104" s="347"/>
      <c r="F104" s="347"/>
      <c r="G104" s="493">
        <v>45915</v>
      </c>
      <c r="H104" s="494"/>
      <c r="I104" s="214"/>
      <c r="J104" s="207"/>
      <c r="K104" s="207"/>
      <c r="L104" s="207"/>
      <c r="M104" s="207"/>
      <c r="N104" s="207"/>
      <c r="O104" s="207"/>
      <c r="P104" s="207"/>
      <c r="Q104" s="207"/>
      <c r="R104" s="215"/>
      <c r="S104" s="226"/>
      <c r="T104" s="227"/>
      <c r="U104" s="227"/>
      <c r="V104" s="227"/>
      <c r="W104" s="227"/>
      <c r="X104" s="227"/>
      <c r="Y104" s="227"/>
      <c r="Z104" s="227"/>
      <c r="AA104" s="227"/>
      <c r="AB104" s="228"/>
      <c r="AC104" s="258"/>
      <c r="AD104" s="178"/>
      <c r="AE104" s="178"/>
      <c r="AF104" s="178"/>
      <c r="AG104" s="530"/>
      <c r="AH104" s="531"/>
      <c r="AI104" s="178"/>
      <c r="AJ104" s="178"/>
      <c r="AK104" s="178"/>
      <c r="AL104" s="202"/>
      <c r="AM104" s="237"/>
      <c r="AN104" s="238"/>
      <c r="AO104" s="238"/>
      <c r="AP104" s="238"/>
      <c r="AQ104" s="238"/>
      <c r="AR104" s="238"/>
      <c r="AS104" s="238"/>
      <c r="AT104" s="238"/>
      <c r="AU104" s="238"/>
      <c r="AV104" s="273"/>
      <c r="AW104" s="295"/>
      <c r="AX104" s="296"/>
      <c r="AY104" s="296"/>
      <c r="AZ104" s="296"/>
      <c r="BA104" s="296"/>
      <c r="BB104" s="296"/>
      <c r="BC104" s="296"/>
      <c r="BD104" s="296"/>
      <c r="BE104" s="296"/>
      <c r="BF104" s="297"/>
      <c r="BG104" s="214"/>
      <c r="BH104" s="207"/>
      <c r="BI104" s="207"/>
      <c r="BJ104" s="207"/>
      <c r="BK104" s="207"/>
      <c r="BL104" s="207"/>
      <c r="BM104" s="207"/>
      <c r="BN104" s="207"/>
      <c r="BO104" s="207"/>
      <c r="BP104" s="215"/>
      <c r="BQ104" s="249"/>
      <c r="BR104" s="227"/>
      <c r="BS104" s="227"/>
      <c r="BT104" s="227"/>
      <c r="BU104" s="227"/>
      <c r="BV104" s="227"/>
      <c r="BW104" s="227"/>
      <c r="BX104" s="227"/>
      <c r="BY104" s="227"/>
      <c r="BZ104" s="247"/>
      <c r="CA104" s="537"/>
      <c r="CB104" s="538"/>
      <c r="CC104" s="538"/>
      <c r="CD104" s="538"/>
      <c r="CE104" s="538"/>
      <c r="CF104" s="538"/>
      <c r="CG104" s="538"/>
      <c r="CH104" s="538"/>
      <c r="CI104" s="538"/>
      <c r="CJ104" s="539"/>
      <c r="CK104" s="240"/>
      <c r="CL104" s="238"/>
      <c r="CM104" s="238"/>
      <c r="CN104" s="238"/>
      <c r="CO104" s="238"/>
      <c r="CP104" s="238"/>
      <c r="CQ104" s="238"/>
      <c r="CR104" s="238"/>
      <c r="CS104" s="238"/>
      <c r="CT104" s="239"/>
      <c r="CU104" s="295"/>
      <c r="CV104" s="296"/>
      <c r="CW104" s="296"/>
      <c r="CX104" s="296"/>
      <c r="CY104" s="296"/>
      <c r="CZ104" s="296"/>
      <c r="DA104" s="296"/>
      <c r="DB104" s="296"/>
      <c r="DC104" s="296"/>
      <c r="DD104" s="297"/>
      <c r="DE104" s="214"/>
      <c r="DF104" s="207"/>
      <c r="DG104" s="207"/>
      <c r="DH104" s="207"/>
      <c r="DI104" s="207"/>
      <c r="DJ104" s="207"/>
      <c r="DK104" s="207"/>
      <c r="DL104" s="207"/>
      <c r="DM104" s="207"/>
      <c r="DN104" s="215"/>
      <c r="DO104" s="226"/>
      <c r="DP104" s="227"/>
      <c r="DQ104" s="227"/>
      <c r="DR104" s="227"/>
      <c r="DS104" s="227"/>
      <c r="DT104" s="227"/>
      <c r="DU104" s="227"/>
      <c r="DV104" s="227"/>
      <c r="DW104" s="227"/>
      <c r="DX104" s="228"/>
      <c r="DY104" s="307"/>
      <c r="DZ104" s="91"/>
      <c r="EA104" s="91"/>
      <c r="EB104" s="91"/>
      <c r="EC104" s="91"/>
      <c r="ED104" s="91"/>
      <c r="EE104" s="91"/>
      <c r="EF104" s="91"/>
      <c r="EG104" s="91"/>
      <c r="EH104" s="91"/>
      <c r="EI104" s="238"/>
      <c r="EJ104" s="238"/>
      <c r="EK104" s="238"/>
      <c r="EL104" s="238"/>
      <c r="EM104" s="238"/>
      <c r="EN104" s="238"/>
      <c r="EO104" s="238"/>
      <c r="EP104" s="238"/>
      <c r="EQ104" s="238"/>
      <c r="ER104" s="238"/>
      <c r="ES104" s="350">
        <f t="shared" si="36"/>
        <v>0</v>
      </c>
      <c r="ET104" s="350">
        <f t="shared" si="34"/>
        <v>0</v>
      </c>
      <c r="EU104" s="350">
        <f t="shared" si="20"/>
        <v>0</v>
      </c>
      <c r="EV104" s="350">
        <f t="shared" si="35"/>
        <v>0</v>
      </c>
      <c r="EW104" s="350">
        <f t="shared" si="37"/>
        <v>0</v>
      </c>
      <c r="EX104" s="350">
        <f t="shared" si="21"/>
        <v>0</v>
      </c>
      <c r="EY104" s="350">
        <f t="shared" si="22"/>
        <v>0</v>
      </c>
      <c r="EZ104" s="350">
        <f t="shared" si="23"/>
        <v>0</v>
      </c>
      <c r="FA104" s="350">
        <f t="shared" si="24"/>
        <v>0</v>
      </c>
      <c r="FB104" s="350">
        <f t="shared" si="25"/>
        <v>0</v>
      </c>
      <c r="FC104" s="350">
        <f t="shared" si="26"/>
        <v>0</v>
      </c>
      <c r="FD104" s="350">
        <f t="shared" si="27"/>
        <v>0</v>
      </c>
      <c r="FE104" s="350">
        <f t="shared" si="28"/>
        <v>0</v>
      </c>
      <c r="FF104" s="350">
        <f t="shared" si="29"/>
        <v>0</v>
      </c>
      <c r="FG104" s="349">
        <f t="shared" si="33"/>
        <v>102</v>
      </c>
      <c r="FH104" s="319">
        <f t="shared" si="30"/>
        <v>0</v>
      </c>
      <c r="FI104" s="319">
        <f>SUM(I7:ER7)-SUM(ES104:FF104)</f>
        <v>128</v>
      </c>
      <c r="FJ104" s="319">
        <f t="shared" si="31"/>
        <v>128</v>
      </c>
      <c r="FK104" s="7"/>
    </row>
    <row r="105" spans="1:167" ht="15.75" customHeight="1">
      <c r="A105" s="2"/>
      <c r="B105" s="3">
        <f t="shared" si="19"/>
        <v>0</v>
      </c>
      <c r="C105" s="347">
        <v>46</v>
      </c>
      <c r="D105" s="201"/>
      <c r="E105" s="347"/>
      <c r="F105" s="347"/>
      <c r="G105" s="493">
        <v>45915</v>
      </c>
      <c r="H105" s="494"/>
      <c r="I105" s="214"/>
      <c r="J105" s="207"/>
      <c r="K105" s="207"/>
      <c r="L105" s="207"/>
      <c r="M105" s="207"/>
      <c r="N105" s="207"/>
      <c r="O105" s="207"/>
      <c r="P105" s="207"/>
      <c r="Q105" s="207"/>
      <c r="R105" s="215"/>
      <c r="S105" s="226"/>
      <c r="T105" s="227"/>
      <c r="U105" s="227"/>
      <c r="V105" s="227"/>
      <c r="W105" s="227"/>
      <c r="X105" s="227"/>
      <c r="Y105" s="227"/>
      <c r="Z105" s="227"/>
      <c r="AA105" s="227"/>
      <c r="AB105" s="228"/>
      <c r="AC105" s="258"/>
      <c r="AD105" s="178"/>
      <c r="AE105" s="178"/>
      <c r="AF105" s="178"/>
      <c r="AG105" s="530"/>
      <c r="AH105" s="531"/>
      <c r="AI105" s="178"/>
      <c r="AJ105" s="178"/>
      <c r="AK105" s="178"/>
      <c r="AL105" s="202"/>
      <c r="AM105" s="237"/>
      <c r="AN105" s="238"/>
      <c r="AO105" s="238"/>
      <c r="AP105" s="238"/>
      <c r="AQ105" s="238"/>
      <c r="AR105" s="238"/>
      <c r="AS105" s="238"/>
      <c r="AT105" s="238"/>
      <c r="AU105" s="238"/>
      <c r="AV105" s="273"/>
      <c r="AW105" s="295"/>
      <c r="AX105" s="296"/>
      <c r="AY105" s="296"/>
      <c r="AZ105" s="296"/>
      <c r="BA105" s="296"/>
      <c r="BB105" s="296"/>
      <c r="BC105" s="296"/>
      <c r="BD105" s="296"/>
      <c r="BE105" s="296"/>
      <c r="BF105" s="297"/>
      <c r="BG105" s="214"/>
      <c r="BH105" s="207"/>
      <c r="BI105" s="207"/>
      <c r="BJ105" s="207"/>
      <c r="BK105" s="207"/>
      <c r="BL105" s="207"/>
      <c r="BM105" s="207"/>
      <c r="BN105" s="207"/>
      <c r="BO105" s="207"/>
      <c r="BP105" s="215"/>
      <c r="BQ105" s="249"/>
      <c r="BR105" s="227"/>
      <c r="BS105" s="227"/>
      <c r="BT105" s="227"/>
      <c r="BU105" s="227"/>
      <c r="BV105" s="227"/>
      <c r="BW105" s="227"/>
      <c r="BX105" s="227"/>
      <c r="BY105" s="227"/>
      <c r="BZ105" s="247"/>
      <c r="CA105" s="537"/>
      <c r="CB105" s="538"/>
      <c r="CC105" s="538"/>
      <c r="CD105" s="538"/>
      <c r="CE105" s="538"/>
      <c r="CF105" s="538"/>
      <c r="CG105" s="538"/>
      <c r="CH105" s="538"/>
      <c r="CI105" s="538"/>
      <c r="CJ105" s="539"/>
      <c r="CK105" s="240"/>
      <c r="CL105" s="238"/>
      <c r="CM105" s="238"/>
      <c r="CN105" s="238"/>
      <c r="CO105" s="238"/>
      <c r="CP105" s="238"/>
      <c r="CQ105" s="238"/>
      <c r="CR105" s="238"/>
      <c r="CS105" s="238"/>
      <c r="CT105" s="239"/>
      <c r="CU105" s="295"/>
      <c r="CV105" s="296"/>
      <c r="CW105" s="296"/>
      <c r="CX105" s="296"/>
      <c r="CY105" s="296"/>
      <c r="CZ105" s="296"/>
      <c r="DA105" s="296"/>
      <c r="DB105" s="296"/>
      <c r="DC105" s="296"/>
      <c r="DD105" s="297"/>
      <c r="DE105" s="214"/>
      <c r="DF105" s="207"/>
      <c r="DG105" s="207"/>
      <c r="DH105" s="207"/>
      <c r="DI105" s="207"/>
      <c r="DJ105" s="207"/>
      <c r="DK105" s="207"/>
      <c r="DL105" s="207"/>
      <c r="DM105" s="207"/>
      <c r="DN105" s="215"/>
      <c r="DO105" s="226"/>
      <c r="DP105" s="227"/>
      <c r="DQ105" s="227"/>
      <c r="DR105" s="227"/>
      <c r="DS105" s="227"/>
      <c r="DT105" s="227"/>
      <c r="DU105" s="227"/>
      <c r="DV105" s="227"/>
      <c r="DW105" s="227"/>
      <c r="DX105" s="228"/>
      <c r="DY105" s="307"/>
      <c r="DZ105" s="91"/>
      <c r="EA105" s="91"/>
      <c r="EB105" s="91"/>
      <c r="EC105" s="91"/>
      <c r="ED105" s="91"/>
      <c r="EE105" s="91"/>
      <c r="EF105" s="91"/>
      <c r="EG105" s="91"/>
      <c r="EH105" s="91"/>
      <c r="EI105" s="238"/>
      <c r="EJ105" s="238"/>
      <c r="EK105" s="238"/>
      <c r="EL105" s="238"/>
      <c r="EM105" s="238"/>
      <c r="EN105" s="238"/>
      <c r="EO105" s="238"/>
      <c r="EP105" s="238"/>
      <c r="EQ105" s="238"/>
      <c r="ER105" s="238"/>
      <c r="ES105" s="350">
        <f t="shared" si="36"/>
        <v>0</v>
      </c>
      <c r="ET105" s="350">
        <f t="shared" si="34"/>
        <v>0</v>
      </c>
      <c r="EU105" s="350">
        <f t="shared" si="20"/>
        <v>0</v>
      </c>
      <c r="EV105" s="350">
        <f t="shared" si="35"/>
        <v>0</v>
      </c>
      <c r="EW105" s="350">
        <f t="shared" si="37"/>
        <v>0</v>
      </c>
      <c r="EX105" s="350">
        <f t="shared" si="21"/>
        <v>0</v>
      </c>
      <c r="EY105" s="350">
        <f t="shared" si="22"/>
        <v>0</v>
      </c>
      <c r="EZ105" s="350">
        <f t="shared" si="23"/>
        <v>0</v>
      </c>
      <c r="FA105" s="350">
        <f t="shared" si="24"/>
        <v>0</v>
      </c>
      <c r="FB105" s="350">
        <f t="shared" si="25"/>
        <v>0</v>
      </c>
      <c r="FC105" s="350">
        <f t="shared" si="26"/>
        <v>0</v>
      </c>
      <c r="FD105" s="350">
        <f t="shared" si="27"/>
        <v>0</v>
      </c>
      <c r="FE105" s="350">
        <f t="shared" si="28"/>
        <v>0</v>
      </c>
      <c r="FF105" s="350">
        <f t="shared" si="29"/>
        <v>0</v>
      </c>
      <c r="FG105" s="349">
        <f t="shared" si="33"/>
        <v>103</v>
      </c>
      <c r="FH105" s="319">
        <f t="shared" si="30"/>
        <v>0</v>
      </c>
      <c r="FI105" s="319">
        <f>SUM(I7:ER7)-SUM(ES105:FF105)</f>
        <v>128</v>
      </c>
      <c r="FJ105" s="319">
        <f t="shared" si="31"/>
        <v>128</v>
      </c>
      <c r="FK105" s="7"/>
    </row>
    <row r="106" spans="1:167" ht="15.75" customHeight="1">
      <c r="A106" s="2"/>
      <c r="B106" s="3">
        <f t="shared" si="19"/>
        <v>0</v>
      </c>
      <c r="C106" s="347">
        <v>47</v>
      </c>
      <c r="D106" s="201"/>
      <c r="E106" s="347"/>
      <c r="F106" s="347"/>
      <c r="G106" s="493">
        <v>45915</v>
      </c>
      <c r="H106" s="494"/>
      <c r="I106" s="214"/>
      <c r="J106" s="207"/>
      <c r="K106" s="207"/>
      <c r="L106" s="207"/>
      <c r="M106" s="207"/>
      <c r="N106" s="207"/>
      <c r="O106" s="207"/>
      <c r="P106" s="207"/>
      <c r="Q106" s="207"/>
      <c r="R106" s="215"/>
      <c r="S106" s="226"/>
      <c r="T106" s="227"/>
      <c r="U106" s="227"/>
      <c r="V106" s="227"/>
      <c r="W106" s="227"/>
      <c r="X106" s="227"/>
      <c r="Y106" s="227"/>
      <c r="Z106" s="227"/>
      <c r="AA106" s="227"/>
      <c r="AB106" s="228"/>
      <c r="AC106" s="258"/>
      <c r="AD106" s="178"/>
      <c r="AE106" s="178"/>
      <c r="AF106" s="178"/>
      <c r="AG106" s="530"/>
      <c r="AH106" s="531"/>
      <c r="AI106" s="178"/>
      <c r="AJ106" s="178"/>
      <c r="AK106" s="178"/>
      <c r="AL106" s="202"/>
      <c r="AM106" s="237"/>
      <c r="AN106" s="238"/>
      <c r="AO106" s="238"/>
      <c r="AP106" s="238"/>
      <c r="AQ106" s="238"/>
      <c r="AR106" s="238"/>
      <c r="AS106" s="238"/>
      <c r="AT106" s="238"/>
      <c r="AU106" s="238"/>
      <c r="AV106" s="273"/>
      <c r="AW106" s="295"/>
      <c r="AX106" s="296"/>
      <c r="AY106" s="296"/>
      <c r="AZ106" s="296"/>
      <c r="BA106" s="296"/>
      <c r="BB106" s="296"/>
      <c r="BC106" s="296"/>
      <c r="BD106" s="296"/>
      <c r="BE106" s="296"/>
      <c r="BF106" s="297"/>
      <c r="BG106" s="214"/>
      <c r="BH106" s="207"/>
      <c r="BI106" s="207"/>
      <c r="BJ106" s="207"/>
      <c r="BK106" s="207"/>
      <c r="BL106" s="207"/>
      <c r="BM106" s="207"/>
      <c r="BN106" s="207"/>
      <c r="BO106" s="207"/>
      <c r="BP106" s="215"/>
      <c r="BQ106" s="249"/>
      <c r="BR106" s="227"/>
      <c r="BS106" s="227"/>
      <c r="BT106" s="227"/>
      <c r="BU106" s="227"/>
      <c r="BV106" s="227"/>
      <c r="BW106" s="227"/>
      <c r="BX106" s="227"/>
      <c r="BY106" s="227"/>
      <c r="BZ106" s="247"/>
      <c r="CA106" s="537"/>
      <c r="CB106" s="538"/>
      <c r="CC106" s="538"/>
      <c r="CD106" s="538"/>
      <c r="CE106" s="538"/>
      <c r="CF106" s="538"/>
      <c r="CG106" s="538"/>
      <c r="CH106" s="538"/>
      <c r="CI106" s="538"/>
      <c r="CJ106" s="539"/>
      <c r="CK106" s="240"/>
      <c r="CL106" s="238"/>
      <c r="CM106" s="238"/>
      <c r="CN106" s="238"/>
      <c r="CO106" s="238"/>
      <c r="CP106" s="238"/>
      <c r="CQ106" s="238"/>
      <c r="CR106" s="238"/>
      <c r="CS106" s="238"/>
      <c r="CT106" s="239"/>
      <c r="CU106" s="295"/>
      <c r="CV106" s="296"/>
      <c r="CW106" s="296"/>
      <c r="CX106" s="296"/>
      <c r="CY106" s="296"/>
      <c r="CZ106" s="296"/>
      <c r="DA106" s="296"/>
      <c r="DB106" s="296"/>
      <c r="DC106" s="296"/>
      <c r="DD106" s="297"/>
      <c r="DE106" s="214"/>
      <c r="DF106" s="207"/>
      <c r="DG106" s="207"/>
      <c r="DH106" s="207"/>
      <c r="DI106" s="207"/>
      <c r="DJ106" s="207"/>
      <c r="DK106" s="207"/>
      <c r="DL106" s="207"/>
      <c r="DM106" s="207"/>
      <c r="DN106" s="215"/>
      <c r="DO106" s="226"/>
      <c r="DP106" s="227"/>
      <c r="DQ106" s="227"/>
      <c r="DR106" s="227"/>
      <c r="DS106" s="227"/>
      <c r="DT106" s="227"/>
      <c r="DU106" s="227"/>
      <c r="DV106" s="227"/>
      <c r="DW106" s="227"/>
      <c r="DX106" s="228"/>
      <c r="DY106" s="307"/>
      <c r="DZ106" s="91"/>
      <c r="EA106" s="91"/>
      <c r="EB106" s="91"/>
      <c r="EC106" s="91"/>
      <c r="ED106" s="91"/>
      <c r="EE106" s="91"/>
      <c r="EF106" s="91"/>
      <c r="EG106" s="91"/>
      <c r="EH106" s="91"/>
      <c r="EI106" s="238"/>
      <c r="EJ106" s="238"/>
      <c r="EK106" s="238"/>
      <c r="EL106" s="238"/>
      <c r="EM106" s="238"/>
      <c r="EN106" s="238"/>
      <c r="EO106" s="238"/>
      <c r="EP106" s="238"/>
      <c r="EQ106" s="238"/>
      <c r="ER106" s="238"/>
      <c r="ES106" s="350">
        <f t="shared" si="36"/>
        <v>0</v>
      </c>
      <c r="ET106" s="350">
        <f t="shared" si="34"/>
        <v>0</v>
      </c>
      <c r="EU106" s="350">
        <f t="shared" si="20"/>
        <v>0</v>
      </c>
      <c r="EV106" s="350">
        <f t="shared" si="35"/>
        <v>0</v>
      </c>
      <c r="EW106" s="350">
        <f t="shared" si="37"/>
        <v>0</v>
      </c>
      <c r="EX106" s="350">
        <f t="shared" si="21"/>
        <v>0</v>
      </c>
      <c r="EY106" s="350">
        <f t="shared" si="22"/>
        <v>0</v>
      </c>
      <c r="EZ106" s="350">
        <f t="shared" si="23"/>
        <v>0</v>
      </c>
      <c r="FA106" s="350">
        <f t="shared" si="24"/>
        <v>0</v>
      </c>
      <c r="FB106" s="350">
        <f t="shared" si="25"/>
        <v>0</v>
      </c>
      <c r="FC106" s="350">
        <f t="shared" si="26"/>
        <v>0</v>
      </c>
      <c r="FD106" s="350">
        <f t="shared" si="27"/>
        <v>0</v>
      </c>
      <c r="FE106" s="350">
        <f t="shared" si="28"/>
        <v>0</v>
      </c>
      <c r="FF106" s="350">
        <f t="shared" si="29"/>
        <v>0</v>
      </c>
      <c r="FG106" s="349">
        <f t="shared" si="33"/>
        <v>104</v>
      </c>
      <c r="FH106" s="319">
        <f t="shared" si="30"/>
        <v>0</v>
      </c>
      <c r="FI106" s="319">
        <f>SUM(I7:ER7)-SUM(ES106:FF106)</f>
        <v>128</v>
      </c>
      <c r="FJ106" s="319">
        <f t="shared" si="31"/>
        <v>128</v>
      </c>
      <c r="FK106" s="7"/>
    </row>
    <row r="107" spans="1:167" ht="15.75" customHeight="1">
      <c r="A107" s="2"/>
      <c r="B107" s="3">
        <f t="shared" si="19"/>
        <v>0</v>
      </c>
      <c r="C107" s="347">
        <v>48</v>
      </c>
      <c r="D107" s="201"/>
      <c r="E107" s="347"/>
      <c r="F107" s="347"/>
      <c r="G107" s="493">
        <v>45915</v>
      </c>
      <c r="H107" s="494"/>
      <c r="I107" s="214"/>
      <c r="J107" s="207"/>
      <c r="K107" s="207"/>
      <c r="L107" s="207"/>
      <c r="M107" s="207"/>
      <c r="N107" s="207"/>
      <c r="O107" s="207"/>
      <c r="P107" s="207"/>
      <c r="Q107" s="207"/>
      <c r="R107" s="215"/>
      <c r="S107" s="226"/>
      <c r="T107" s="227"/>
      <c r="U107" s="227"/>
      <c r="V107" s="227"/>
      <c r="W107" s="227"/>
      <c r="X107" s="227"/>
      <c r="Y107" s="227"/>
      <c r="Z107" s="227"/>
      <c r="AA107" s="227"/>
      <c r="AB107" s="228"/>
      <c r="AC107" s="258"/>
      <c r="AD107" s="178"/>
      <c r="AE107" s="178"/>
      <c r="AF107" s="178"/>
      <c r="AG107" s="530"/>
      <c r="AH107" s="531"/>
      <c r="AI107" s="178"/>
      <c r="AJ107" s="178"/>
      <c r="AK107" s="178"/>
      <c r="AL107" s="202"/>
      <c r="AM107" s="237"/>
      <c r="AN107" s="238"/>
      <c r="AO107" s="238"/>
      <c r="AP107" s="238"/>
      <c r="AQ107" s="238"/>
      <c r="AR107" s="238"/>
      <c r="AS107" s="238"/>
      <c r="AT107" s="238"/>
      <c r="AU107" s="238"/>
      <c r="AV107" s="273"/>
      <c r="AW107" s="295"/>
      <c r="AX107" s="296"/>
      <c r="AY107" s="296"/>
      <c r="AZ107" s="296"/>
      <c r="BA107" s="296"/>
      <c r="BB107" s="296"/>
      <c r="BC107" s="296"/>
      <c r="BD107" s="296"/>
      <c r="BE107" s="296"/>
      <c r="BF107" s="297"/>
      <c r="BG107" s="214"/>
      <c r="BH107" s="207"/>
      <c r="BI107" s="207"/>
      <c r="BJ107" s="207"/>
      <c r="BK107" s="207"/>
      <c r="BL107" s="207"/>
      <c r="BM107" s="207"/>
      <c r="BN107" s="207"/>
      <c r="BO107" s="207"/>
      <c r="BP107" s="215"/>
      <c r="BQ107" s="249"/>
      <c r="BR107" s="227"/>
      <c r="BS107" s="227"/>
      <c r="BT107" s="227"/>
      <c r="BU107" s="227"/>
      <c r="BV107" s="227"/>
      <c r="BW107" s="227"/>
      <c r="BX107" s="227"/>
      <c r="BY107" s="227"/>
      <c r="BZ107" s="247"/>
      <c r="CA107" s="537"/>
      <c r="CB107" s="538"/>
      <c r="CC107" s="538"/>
      <c r="CD107" s="538"/>
      <c r="CE107" s="538"/>
      <c r="CF107" s="538"/>
      <c r="CG107" s="538"/>
      <c r="CH107" s="538"/>
      <c r="CI107" s="538"/>
      <c r="CJ107" s="539"/>
      <c r="CK107" s="240"/>
      <c r="CL107" s="238"/>
      <c r="CM107" s="238"/>
      <c r="CN107" s="238"/>
      <c r="CO107" s="238"/>
      <c r="CP107" s="238"/>
      <c r="CQ107" s="238"/>
      <c r="CR107" s="238"/>
      <c r="CS107" s="238"/>
      <c r="CT107" s="239"/>
      <c r="CU107" s="295"/>
      <c r="CV107" s="296"/>
      <c r="CW107" s="296"/>
      <c r="CX107" s="296"/>
      <c r="CY107" s="296"/>
      <c r="CZ107" s="296"/>
      <c r="DA107" s="296"/>
      <c r="DB107" s="296"/>
      <c r="DC107" s="296"/>
      <c r="DD107" s="297"/>
      <c r="DE107" s="214"/>
      <c r="DF107" s="207"/>
      <c r="DG107" s="207"/>
      <c r="DH107" s="207"/>
      <c r="DI107" s="207"/>
      <c r="DJ107" s="207"/>
      <c r="DK107" s="207"/>
      <c r="DL107" s="207"/>
      <c r="DM107" s="207"/>
      <c r="DN107" s="215"/>
      <c r="DO107" s="226"/>
      <c r="DP107" s="227"/>
      <c r="DQ107" s="227"/>
      <c r="DR107" s="227"/>
      <c r="DS107" s="227"/>
      <c r="DT107" s="227"/>
      <c r="DU107" s="227"/>
      <c r="DV107" s="227"/>
      <c r="DW107" s="227"/>
      <c r="DX107" s="228"/>
      <c r="DY107" s="307"/>
      <c r="DZ107" s="91"/>
      <c r="EA107" s="91"/>
      <c r="EB107" s="91"/>
      <c r="EC107" s="91"/>
      <c r="ED107" s="91"/>
      <c r="EE107" s="91"/>
      <c r="EF107" s="91"/>
      <c r="EG107" s="91"/>
      <c r="EH107" s="91"/>
      <c r="EI107" s="238"/>
      <c r="EJ107" s="238"/>
      <c r="EK107" s="238"/>
      <c r="EL107" s="238"/>
      <c r="EM107" s="238"/>
      <c r="EN107" s="238"/>
      <c r="EO107" s="238"/>
      <c r="EP107" s="238"/>
      <c r="EQ107" s="238"/>
      <c r="ER107" s="238"/>
      <c r="ES107" s="350">
        <f t="shared" si="36"/>
        <v>0</v>
      </c>
      <c r="ET107" s="350">
        <f t="shared" si="34"/>
        <v>0</v>
      </c>
      <c r="EU107" s="350">
        <f t="shared" si="20"/>
        <v>0</v>
      </c>
      <c r="EV107" s="350">
        <f t="shared" si="35"/>
        <v>0</v>
      </c>
      <c r="EW107" s="350">
        <f t="shared" si="37"/>
        <v>0</v>
      </c>
      <c r="EX107" s="350">
        <f t="shared" si="21"/>
        <v>0</v>
      </c>
      <c r="EY107" s="350">
        <f t="shared" si="22"/>
        <v>0</v>
      </c>
      <c r="EZ107" s="350">
        <f t="shared" si="23"/>
        <v>0</v>
      </c>
      <c r="FA107" s="350">
        <f t="shared" si="24"/>
        <v>0</v>
      </c>
      <c r="FB107" s="350">
        <f t="shared" si="25"/>
        <v>0</v>
      </c>
      <c r="FC107" s="350">
        <f t="shared" si="26"/>
        <v>0</v>
      </c>
      <c r="FD107" s="350">
        <f t="shared" si="27"/>
        <v>0</v>
      </c>
      <c r="FE107" s="350">
        <f t="shared" si="28"/>
        <v>0</v>
      </c>
      <c r="FF107" s="350">
        <f t="shared" si="29"/>
        <v>0</v>
      </c>
      <c r="FG107" s="349">
        <f t="shared" si="33"/>
        <v>105</v>
      </c>
      <c r="FH107" s="319">
        <f t="shared" si="30"/>
        <v>0</v>
      </c>
      <c r="FI107" s="319">
        <f>SUM(I7:ER7)-SUM(ES107:FF107)</f>
        <v>128</v>
      </c>
      <c r="FJ107" s="319">
        <f t="shared" si="31"/>
        <v>128</v>
      </c>
      <c r="FK107" s="7"/>
    </row>
    <row r="108" spans="1:167" ht="15.75" customHeight="1">
      <c r="A108" s="2"/>
      <c r="B108" s="3">
        <f t="shared" si="19"/>
        <v>0</v>
      </c>
      <c r="C108" s="347">
        <v>49</v>
      </c>
      <c r="D108" s="201"/>
      <c r="E108" s="347"/>
      <c r="F108" s="347"/>
      <c r="G108" s="493">
        <v>45915</v>
      </c>
      <c r="H108" s="494"/>
      <c r="I108" s="214"/>
      <c r="J108" s="207"/>
      <c r="K108" s="207"/>
      <c r="L108" s="207"/>
      <c r="M108" s="207"/>
      <c r="N108" s="207"/>
      <c r="O108" s="207"/>
      <c r="P108" s="207"/>
      <c r="Q108" s="207"/>
      <c r="R108" s="215"/>
      <c r="S108" s="226"/>
      <c r="T108" s="227"/>
      <c r="U108" s="227"/>
      <c r="V108" s="227"/>
      <c r="W108" s="227"/>
      <c r="X108" s="227"/>
      <c r="Y108" s="227"/>
      <c r="Z108" s="227"/>
      <c r="AA108" s="227"/>
      <c r="AB108" s="228"/>
      <c r="AC108" s="258"/>
      <c r="AD108" s="178"/>
      <c r="AE108" s="178"/>
      <c r="AF108" s="178"/>
      <c r="AG108" s="530"/>
      <c r="AH108" s="531"/>
      <c r="AI108" s="178"/>
      <c r="AJ108" s="178"/>
      <c r="AK108" s="178"/>
      <c r="AL108" s="202"/>
      <c r="AM108" s="237"/>
      <c r="AN108" s="238"/>
      <c r="AO108" s="238"/>
      <c r="AP108" s="238"/>
      <c r="AQ108" s="238"/>
      <c r="AR108" s="238"/>
      <c r="AS108" s="238"/>
      <c r="AT108" s="238"/>
      <c r="AU108" s="238"/>
      <c r="AV108" s="273"/>
      <c r="AW108" s="295"/>
      <c r="AX108" s="296"/>
      <c r="AY108" s="296"/>
      <c r="AZ108" s="296"/>
      <c r="BA108" s="296"/>
      <c r="BB108" s="296"/>
      <c r="BC108" s="296"/>
      <c r="BD108" s="296"/>
      <c r="BE108" s="296"/>
      <c r="BF108" s="297"/>
      <c r="BG108" s="214"/>
      <c r="BH108" s="207"/>
      <c r="BI108" s="207"/>
      <c r="BJ108" s="207"/>
      <c r="BK108" s="207"/>
      <c r="BL108" s="207"/>
      <c r="BM108" s="207"/>
      <c r="BN108" s="207"/>
      <c r="BO108" s="207"/>
      <c r="BP108" s="215"/>
      <c r="BQ108" s="249"/>
      <c r="BR108" s="227"/>
      <c r="BS108" s="227"/>
      <c r="BT108" s="227"/>
      <c r="BU108" s="227"/>
      <c r="BV108" s="227"/>
      <c r="BW108" s="227"/>
      <c r="BX108" s="227"/>
      <c r="BY108" s="227"/>
      <c r="BZ108" s="247"/>
      <c r="CA108" s="537"/>
      <c r="CB108" s="538"/>
      <c r="CC108" s="538"/>
      <c r="CD108" s="538"/>
      <c r="CE108" s="538"/>
      <c r="CF108" s="538"/>
      <c r="CG108" s="538"/>
      <c r="CH108" s="538"/>
      <c r="CI108" s="538"/>
      <c r="CJ108" s="539"/>
      <c r="CK108" s="240"/>
      <c r="CL108" s="238"/>
      <c r="CM108" s="238"/>
      <c r="CN108" s="238"/>
      <c r="CO108" s="238"/>
      <c r="CP108" s="238"/>
      <c r="CQ108" s="238"/>
      <c r="CR108" s="238"/>
      <c r="CS108" s="238"/>
      <c r="CT108" s="239"/>
      <c r="CU108" s="295"/>
      <c r="CV108" s="296"/>
      <c r="CW108" s="296"/>
      <c r="CX108" s="296"/>
      <c r="CY108" s="296"/>
      <c r="CZ108" s="296"/>
      <c r="DA108" s="296"/>
      <c r="DB108" s="296"/>
      <c r="DC108" s="296"/>
      <c r="DD108" s="297"/>
      <c r="DE108" s="214"/>
      <c r="DF108" s="207"/>
      <c r="DG108" s="207"/>
      <c r="DH108" s="207"/>
      <c r="DI108" s="207"/>
      <c r="DJ108" s="207"/>
      <c r="DK108" s="207"/>
      <c r="DL108" s="207"/>
      <c r="DM108" s="207"/>
      <c r="DN108" s="215"/>
      <c r="DO108" s="226"/>
      <c r="DP108" s="227"/>
      <c r="DQ108" s="227"/>
      <c r="DR108" s="227"/>
      <c r="DS108" s="227"/>
      <c r="DT108" s="227"/>
      <c r="DU108" s="227"/>
      <c r="DV108" s="227"/>
      <c r="DW108" s="227"/>
      <c r="DX108" s="228"/>
      <c r="DY108" s="307"/>
      <c r="DZ108" s="91"/>
      <c r="EA108" s="91"/>
      <c r="EB108" s="91"/>
      <c r="EC108" s="91"/>
      <c r="ED108" s="91"/>
      <c r="EE108" s="91"/>
      <c r="EF108" s="91"/>
      <c r="EG108" s="91"/>
      <c r="EH108" s="91"/>
      <c r="EI108" s="238"/>
      <c r="EJ108" s="238"/>
      <c r="EK108" s="238"/>
      <c r="EL108" s="238"/>
      <c r="EM108" s="238"/>
      <c r="EN108" s="238"/>
      <c r="EO108" s="238"/>
      <c r="EP108" s="238"/>
      <c r="EQ108" s="238"/>
      <c r="ER108" s="238"/>
      <c r="ES108" s="350">
        <f t="shared" si="36"/>
        <v>0</v>
      </c>
      <c r="ET108" s="350">
        <f t="shared" si="34"/>
        <v>0</v>
      </c>
      <c r="EU108" s="350">
        <f t="shared" si="20"/>
        <v>0</v>
      </c>
      <c r="EV108" s="350">
        <f t="shared" si="35"/>
        <v>0</v>
      </c>
      <c r="EW108" s="350">
        <f t="shared" si="37"/>
        <v>0</v>
      </c>
      <c r="EX108" s="350">
        <f t="shared" si="21"/>
        <v>0</v>
      </c>
      <c r="EY108" s="350">
        <f t="shared" si="22"/>
        <v>0</v>
      </c>
      <c r="EZ108" s="350">
        <f t="shared" si="23"/>
        <v>0</v>
      </c>
      <c r="FA108" s="350">
        <f t="shared" si="24"/>
        <v>0</v>
      </c>
      <c r="FB108" s="350">
        <f t="shared" si="25"/>
        <v>0</v>
      </c>
      <c r="FC108" s="350">
        <f t="shared" si="26"/>
        <v>0</v>
      </c>
      <c r="FD108" s="350">
        <f t="shared" si="27"/>
        <v>0</v>
      </c>
      <c r="FE108" s="350">
        <f t="shared" si="28"/>
        <v>0</v>
      </c>
      <c r="FF108" s="350">
        <f t="shared" si="29"/>
        <v>0</v>
      </c>
      <c r="FG108" s="349">
        <f t="shared" si="33"/>
        <v>106</v>
      </c>
      <c r="FH108" s="319">
        <f t="shared" si="30"/>
        <v>0</v>
      </c>
      <c r="FI108" s="319">
        <f>SUM(I7:ER7)-SUM(ES108:FF108)</f>
        <v>128</v>
      </c>
      <c r="FJ108" s="319">
        <f t="shared" si="31"/>
        <v>128</v>
      </c>
      <c r="FK108" s="7"/>
    </row>
    <row r="109" spans="1:167" ht="15.75" customHeight="1" thickBot="1">
      <c r="A109" s="2"/>
      <c r="B109" s="3">
        <f t="shared" si="19"/>
        <v>0</v>
      </c>
      <c r="C109" s="347">
        <v>50</v>
      </c>
      <c r="D109" s="201"/>
      <c r="E109" s="347"/>
      <c r="F109" s="347"/>
      <c r="G109" s="493">
        <v>45915</v>
      </c>
      <c r="H109" s="494"/>
      <c r="I109" s="216"/>
      <c r="J109" s="217"/>
      <c r="K109" s="217"/>
      <c r="L109" s="217"/>
      <c r="M109" s="217"/>
      <c r="N109" s="217"/>
      <c r="O109" s="217"/>
      <c r="P109" s="217"/>
      <c r="Q109" s="217"/>
      <c r="R109" s="218"/>
      <c r="S109" s="229"/>
      <c r="T109" s="230"/>
      <c r="U109" s="230"/>
      <c r="V109" s="230"/>
      <c r="W109" s="230"/>
      <c r="X109" s="230"/>
      <c r="Y109" s="230"/>
      <c r="Z109" s="230"/>
      <c r="AA109" s="230"/>
      <c r="AB109" s="231"/>
      <c r="AC109" s="258"/>
      <c r="AD109" s="178"/>
      <c r="AE109" s="178"/>
      <c r="AF109" s="178"/>
      <c r="AG109" s="532"/>
      <c r="AH109" s="533"/>
      <c r="AI109" s="178"/>
      <c r="AJ109" s="178"/>
      <c r="AK109" s="178"/>
      <c r="AL109" s="202"/>
      <c r="AM109" s="241"/>
      <c r="AN109" s="242"/>
      <c r="AO109" s="242"/>
      <c r="AP109" s="242"/>
      <c r="AQ109" s="242"/>
      <c r="AR109" s="242"/>
      <c r="AS109" s="242"/>
      <c r="AT109" s="242"/>
      <c r="AU109" s="242"/>
      <c r="AV109" s="274"/>
      <c r="AW109" s="299"/>
      <c r="AX109" s="300"/>
      <c r="AY109" s="300"/>
      <c r="AZ109" s="300"/>
      <c r="BA109" s="300"/>
      <c r="BB109" s="300"/>
      <c r="BC109" s="300"/>
      <c r="BD109" s="300"/>
      <c r="BE109" s="300"/>
      <c r="BF109" s="301"/>
      <c r="BG109" s="216"/>
      <c r="BH109" s="217"/>
      <c r="BI109" s="217"/>
      <c r="BJ109" s="217"/>
      <c r="BK109" s="217"/>
      <c r="BL109" s="217"/>
      <c r="BM109" s="217"/>
      <c r="BN109" s="217"/>
      <c r="BO109" s="217"/>
      <c r="BP109" s="218"/>
      <c r="BQ109" s="249"/>
      <c r="BR109" s="227"/>
      <c r="BS109" s="227"/>
      <c r="BT109" s="227"/>
      <c r="BU109" s="227"/>
      <c r="BV109" s="227"/>
      <c r="BW109" s="227"/>
      <c r="BX109" s="227"/>
      <c r="BY109" s="227"/>
      <c r="BZ109" s="247"/>
      <c r="CA109" s="540"/>
      <c r="CB109" s="541"/>
      <c r="CC109" s="541"/>
      <c r="CD109" s="541"/>
      <c r="CE109" s="541"/>
      <c r="CF109" s="541"/>
      <c r="CG109" s="541"/>
      <c r="CH109" s="541"/>
      <c r="CI109" s="541"/>
      <c r="CJ109" s="542"/>
      <c r="CK109" s="240"/>
      <c r="CL109" s="238"/>
      <c r="CM109" s="238"/>
      <c r="CN109" s="238"/>
      <c r="CO109" s="238"/>
      <c r="CP109" s="238"/>
      <c r="CQ109" s="238"/>
      <c r="CR109" s="238"/>
      <c r="CS109" s="238"/>
      <c r="CT109" s="239"/>
      <c r="CU109" s="299"/>
      <c r="CV109" s="300"/>
      <c r="CW109" s="300"/>
      <c r="CX109" s="300"/>
      <c r="CY109" s="300"/>
      <c r="CZ109" s="300"/>
      <c r="DA109" s="300"/>
      <c r="DB109" s="300"/>
      <c r="DC109" s="300"/>
      <c r="DD109" s="301"/>
      <c r="DE109" s="216"/>
      <c r="DF109" s="217"/>
      <c r="DG109" s="217"/>
      <c r="DH109" s="217"/>
      <c r="DI109" s="217"/>
      <c r="DJ109" s="217"/>
      <c r="DK109" s="217"/>
      <c r="DL109" s="217"/>
      <c r="DM109" s="217"/>
      <c r="DN109" s="218"/>
      <c r="DO109" s="229"/>
      <c r="DP109" s="230"/>
      <c r="DQ109" s="230"/>
      <c r="DR109" s="230"/>
      <c r="DS109" s="230"/>
      <c r="DT109" s="230"/>
      <c r="DU109" s="230"/>
      <c r="DV109" s="230"/>
      <c r="DW109" s="230"/>
      <c r="DX109" s="231"/>
      <c r="DY109" s="307"/>
      <c r="DZ109" s="91"/>
      <c r="EA109" s="91"/>
      <c r="EB109" s="91"/>
      <c r="EC109" s="91"/>
      <c r="ED109" s="91"/>
      <c r="EE109" s="91"/>
      <c r="EF109" s="91"/>
      <c r="EG109" s="91"/>
      <c r="EH109" s="91"/>
      <c r="EI109" s="238"/>
      <c r="EJ109" s="238"/>
      <c r="EK109" s="238"/>
      <c r="EL109" s="238"/>
      <c r="EM109" s="238"/>
      <c r="EN109" s="238"/>
      <c r="EO109" s="238"/>
      <c r="EP109" s="238"/>
      <c r="EQ109" s="238"/>
      <c r="ER109" s="238"/>
      <c r="ES109" s="350">
        <f t="shared" si="36"/>
        <v>0</v>
      </c>
      <c r="ET109" s="350">
        <f t="shared" si="34"/>
        <v>0</v>
      </c>
      <c r="EU109" s="350">
        <f t="shared" si="20"/>
        <v>0</v>
      </c>
      <c r="EV109" s="350">
        <f t="shared" si="35"/>
        <v>0</v>
      </c>
      <c r="EW109" s="350">
        <f t="shared" si="37"/>
        <v>0</v>
      </c>
      <c r="EX109" s="350">
        <f t="shared" si="21"/>
        <v>0</v>
      </c>
      <c r="EY109" s="350">
        <f t="shared" si="22"/>
        <v>0</v>
      </c>
      <c r="EZ109" s="350">
        <f t="shared" si="23"/>
        <v>0</v>
      </c>
      <c r="FA109" s="350">
        <f t="shared" si="24"/>
        <v>0</v>
      </c>
      <c r="FB109" s="350">
        <f t="shared" si="25"/>
        <v>0</v>
      </c>
      <c r="FC109" s="350">
        <f t="shared" si="26"/>
        <v>0</v>
      </c>
      <c r="FD109" s="350">
        <f t="shared" si="27"/>
        <v>0</v>
      </c>
      <c r="FE109" s="350">
        <f t="shared" si="28"/>
        <v>0</v>
      </c>
      <c r="FF109" s="350">
        <f t="shared" si="29"/>
        <v>0</v>
      </c>
      <c r="FG109" s="349">
        <f t="shared" si="33"/>
        <v>107</v>
      </c>
      <c r="FH109" s="319">
        <f t="shared" si="30"/>
        <v>0</v>
      </c>
      <c r="FI109" s="319">
        <f>SUM(I7:ER7)-SUM(ES109:FF109)</f>
        <v>128</v>
      </c>
      <c r="FJ109" s="319">
        <f t="shared" si="31"/>
        <v>128</v>
      </c>
      <c r="FK109" s="7"/>
    </row>
    <row r="110" spans="1:167" ht="3" customHeight="1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>
        <f t="shared" si="30"/>
        <v>0</v>
      </c>
      <c r="FI110" s="1">
        <f>140-SUM(ES110:FF110)</f>
        <v>140</v>
      </c>
      <c r="FJ110" s="1">
        <f t="shared" si="31"/>
        <v>140</v>
      </c>
      <c r="FK110" s="7"/>
    </row>
    <row r="111" spans="1:167" ht="16.5" customHeight="1">
      <c r="A111" s="2"/>
      <c r="B111" s="552" t="s">
        <v>26</v>
      </c>
      <c r="C111" s="449"/>
      <c r="D111" s="449"/>
      <c r="E111" s="449"/>
      <c r="F111" s="449"/>
      <c r="G111" s="450"/>
      <c r="H111" s="345"/>
      <c r="I111" s="496" t="s">
        <v>27</v>
      </c>
      <c r="J111" s="497"/>
      <c r="K111" s="497"/>
      <c r="L111" s="498"/>
      <c r="M111" s="55" t="s">
        <v>28</v>
      </c>
      <c r="N111" s="499" t="s">
        <v>29</v>
      </c>
      <c r="O111" s="497"/>
      <c r="P111" s="497"/>
      <c r="Q111" s="498"/>
      <c r="R111" s="55" t="s">
        <v>28</v>
      </c>
      <c r="S111" s="499" t="s">
        <v>27</v>
      </c>
      <c r="T111" s="497"/>
      <c r="U111" s="497"/>
      <c r="V111" s="498"/>
      <c r="W111" s="57" t="s">
        <v>28</v>
      </c>
      <c r="X111" s="499" t="s">
        <v>29</v>
      </c>
      <c r="Y111" s="497"/>
      <c r="Z111" s="497"/>
      <c r="AA111" s="498"/>
      <c r="AB111" s="57" t="s">
        <v>28</v>
      </c>
      <c r="AC111" s="499" t="s">
        <v>27</v>
      </c>
      <c r="AD111" s="497"/>
      <c r="AE111" s="497"/>
      <c r="AF111" s="498"/>
      <c r="AG111" s="57" t="s">
        <v>28</v>
      </c>
      <c r="AH111" s="499" t="s">
        <v>29</v>
      </c>
      <c r="AI111" s="497"/>
      <c r="AJ111" s="497"/>
      <c r="AK111" s="498"/>
      <c r="AL111" s="57" t="s">
        <v>28</v>
      </c>
      <c r="AM111" s="499" t="s">
        <v>27</v>
      </c>
      <c r="AN111" s="497"/>
      <c r="AO111" s="497"/>
      <c r="AP111" s="498"/>
      <c r="AQ111" s="57" t="s">
        <v>28</v>
      </c>
      <c r="AR111" s="499" t="s">
        <v>29</v>
      </c>
      <c r="AS111" s="497"/>
      <c r="AT111" s="497"/>
      <c r="AU111" s="498"/>
      <c r="AV111" s="57" t="s">
        <v>28</v>
      </c>
      <c r="AW111" s="499" t="s">
        <v>27</v>
      </c>
      <c r="AX111" s="497"/>
      <c r="AY111" s="497"/>
      <c r="AZ111" s="498"/>
      <c r="BA111" s="57" t="s">
        <v>28</v>
      </c>
      <c r="BB111" s="499" t="s">
        <v>29</v>
      </c>
      <c r="BC111" s="497"/>
      <c r="BD111" s="497"/>
      <c r="BE111" s="498"/>
      <c r="BF111" s="57" t="s">
        <v>28</v>
      </c>
      <c r="BG111" s="499" t="s">
        <v>27</v>
      </c>
      <c r="BH111" s="497"/>
      <c r="BI111" s="497"/>
      <c r="BJ111" s="498"/>
      <c r="BK111" s="57" t="s">
        <v>28</v>
      </c>
      <c r="BL111" s="499" t="s">
        <v>29</v>
      </c>
      <c r="BM111" s="497"/>
      <c r="BN111" s="497"/>
      <c r="BO111" s="498"/>
      <c r="BP111" s="57" t="s">
        <v>28</v>
      </c>
      <c r="BQ111" s="499" t="s">
        <v>27</v>
      </c>
      <c r="BR111" s="497"/>
      <c r="BS111" s="497"/>
      <c r="BT111" s="498"/>
      <c r="BU111" s="57" t="s">
        <v>28</v>
      </c>
      <c r="BV111" s="499" t="s">
        <v>29</v>
      </c>
      <c r="BW111" s="497"/>
      <c r="BX111" s="497"/>
      <c r="BY111" s="498"/>
      <c r="BZ111" s="57" t="s">
        <v>28</v>
      </c>
      <c r="CA111" s="499" t="s">
        <v>27</v>
      </c>
      <c r="CB111" s="497"/>
      <c r="CC111" s="497"/>
      <c r="CD111" s="498"/>
      <c r="CE111" s="57" t="s">
        <v>28</v>
      </c>
      <c r="CF111" s="499" t="s">
        <v>29</v>
      </c>
      <c r="CG111" s="497"/>
      <c r="CH111" s="497"/>
      <c r="CI111" s="498"/>
      <c r="CJ111" s="57" t="s">
        <v>28</v>
      </c>
      <c r="CK111" s="499" t="s">
        <v>27</v>
      </c>
      <c r="CL111" s="497"/>
      <c r="CM111" s="497"/>
      <c r="CN111" s="498"/>
      <c r="CO111" s="57" t="s">
        <v>28</v>
      </c>
      <c r="CP111" s="499" t="s">
        <v>29</v>
      </c>
      <c r="CQ111" s="497"/>
      <c r="CR111" s="497"/>
      <c r="CS111" s="498"/>
      <c r="CT111" s="57" t="s">
        <v>28</v>
      </c>
      <c r="CU111" s="499" t="s">
        <v>27</v>
      </c>
      <c r="CV111" s="497"/>
      <c r="CW111" s="497"/>
      <c r="CX111" s="498"/>
      <c r="CY111" s="55" t="s">
        <v>28</v>
      </c>
      <c r="CZ111" s="499" t="s">
        <v>29</v>
      </c>
      <c r="DA111" s="497"/>
      <c r="DB111" s="497"/>
      <c r="DC111" s="498"/>
      <c r="DD111" s="61" t="s">
        <v>28</v>
      </c>
      <c r="DE111" s="499" t="s">
        <v>27</v>
      </c>
      <c r="DF111" s="497"/>
      <c r="DG111" s="497"/>
      <c r="DH111" s="498"/>
      <c r="DI111" s="61" t="s">
        <v>28</v>
      </c>
      <c r="DJ111" s="499" t="s">
        <v>29</v>
      </c>
      <c r="DK111" s="497"/>
      <c r="DL111" s="497"/>
      <c r="DM111" s="498"/>
      <c r="DN111" s="61" t="s">
        <v>28</v>
      </c>
      <c r="DO111" s="499" t="s">
        <v>27</v>
      </c>
      <c r="DP111" s="497"/>
      <c r="DQ111" s="497"/>
      <c r="DR111" s="498"/>
      <c r="DS111" s="61" t="s">
        <v>28</v>
      </c>
      <c r="DT111" s="499" t="s">
        <v>29</v>
      </c>
      <c r="DU111" s="497"/>
      <c r="DV111" s="497"/>
      <c r="DW111" s="498"/>
      <c r="DX111" s="61" t="s">
        <v>28</v>
      </c>
      <c r="DY111" s="499" t="s">
        <v>27</v>
      </c>
      <c r="DZ111" s="497"/>
      <c r="EA111" s="497"/>
      <c r="EB111" s="498"/>
      <c r="EC111" s="61" t="s">
        <v>28</v>
      </c>
      <c r="ED111" s="499" t="s">
        <v>29</v>
      </c>
      <c r="EE111" s="497"/>
      <c r="EF111" s="497"/>
      <c r="EG111" s="498"/>
      <c r="EH111" s="61" t="s">
        <v>28</v>
      </c>
      <c r="EI111" s="499" t="s">
        <v>27</v>
      </c>
      <c r="EJ111" s="497"/>
      <c r="EK111" s="497"/>
      <c r="EL111" s="498"/>
      <c r="EM111" s="61" t="s">
        <v>28</v>
      </c>
      <c r="EN111" s="499" t="s">
        <v>29</v>
      </c>
      <c r="EO111" s="497"/>
      <c r="EP111" s="497"/>
      <c r="EQ111" s="498"/>
      <c r="ER111" s="61" t="s">
        <v>28</v>
      </c>
      <c r="ES111" s="525">
        <f>J117+O117</f>
        <v>318</v>
      </c>
      <c r="ET111" s="525">
        <f>T117+Y117</f>
        <v>524</v>
      </c>
      <c r="EU111" s="525">
        <f>AD117+AI117</f>
        <v>428</v>
      </c>
      <c r="EV111" s="525">
        <f>AO117+AS117</f>
        <v>596</v>
      </c>
      <c r="EW111" s="525">
        <f>AX117+BC117</f>
        <v>618</v>
      </c>
      <c r="EX111" s="525">
        <f>BH117+BM117</f>
        <v>652</v>
      </c>
      <c r="EY111" s="525">
        <f>BR117+BW117</f>
        <v>650</v>
      </c>
      <c r="EZ111" s="525">
        <f>CG117+CL117</f>
        <v>332</v>
      </c>
      <c r="FA111" s="525">
        <f>CL117+CQ117</f>
        <v>664</v>
      </c>
      <c r="FB111" s="525">
        <f>CV117+DA117</f>
        <v>646</v>
      </c>
      <c r="FC111" s="525">
        <f>DF117+DK117</f>
        <v>662</v>
      </c>
      <c r="FD111" s="525">
        <f>DP117+DU117</f>
        <v>676</v>
      </c>
      <c r="FE111" s="525">
        <f>DZ117+EE117</f>
        <v>676</v>
      </c>
      <c r="FF111" s="525">
        <f>EJ117+EO117</f>
        <v>670</v>
      </c>
      <c r="FG111" s="553" t="s">
        <v>30</v>
      </c>
      <c r="FH111" s="332" t="s">
        <v>31</v>
      </c>
      <c r="FI111" s="333"/>
      <c r="FJ111" s="333"/>
      <c r="FK111" s="334"/>
    </row>
    <row r="112" spans="1:167" ht="15.75" customHeight="1">
      <c r="A112" s="2"/>
      <c r="B112" s="551"/>
      <c r="C112" s="548"/>
      <c r="D112" s="548"/>
      <c r="E112" s="548"/>
      <c r="F112" s="548"/>
      <c r="G112" s="453"/>
      <c r="H112" s="346" t="s">
        <v>32</v>
      </c>
      <c r="I112" s="500">
        <f>SUM(I8:I109)</f>
        <v>21</v>
      </c>
      <c r="J112" s="497"/>
      <c r="K112" s="497"/>
      <c r="L112" s="498"/>
      <c r="M112" s="71">
        <v>1</v>
      </c>
      <c r="N112" s="500">
        <f>SUM(J8:J110)</f>
        <v>21</v>
      </c>
      <c r="O112" s="497"/>
      <c r="P112" s="497"/>
      <c r="Q112" s="498"/>
      <c r="R112" s="71">
        <v>1</v>
      </c>
      <c r="S112" s="500">
        <f>SUM(S8:S109)</f>
        <v>50</v>
      </c>
      <c r="T112" s="497"/>
      <c r="U112" s="497"/>
      <c r="V112" s="498"/>
      <c r="W112" s="71">
        <v>2</v>
      </c>
      <c r="X112" s="500">
        <f>SUM(T8:T110)</f>
        <v>50</v>
      </c>
      <c r="Y112" s="497"/>
      <c r="Z112" s="497"/>
      <c r="AA112" s="498"/>
      <c r="AB112" s="71">
        <v>2</v>
      </c>
      <c r="AC112" s="500">
        <f>SUM(AC8:AC109)</f>
        <v>51</v>
      </c>
      <c r="AD112" s="497"/>
      <c r="AE112" s="497"/>
      <c r="AF112" s="498"/>
      <c r="AG112" s="71">
        <v>3</v>
      </c>
      <c r="AH112" s="500">
        <f>SUM(AD8:AD110)</f>
        <v>51</v>
      </c>
      <c r="AI112" s="497"/>
      <c r="AJ112" s="497"/>
      <c r="AK112" s="498"/>
      <c r="AL112" s="71">
        <v>3</v>
      </c>
      <c r="AM112" s="500">
        <f>SUM(AM8:AM109)</f>
        <v>56</v>
      </c>
      <c r="AN112" s="497"/>
      <c r="AO112" s="497"/>
      <c r="AP112" s="498"/>
      <c r="AQ112" s="71">
        <v>4</v>
      </c>
      <c r="AR112" s="500">
        <f>SUM(AN8:AN109)</f>
        <v>56</v>
      </c>
      <c r="AS112" s="497"/>
      <c r="AT112" s="497"/>
      <c r="AU112" s="498"/>
      <c r="AV112" s="71">
        <v>4</v>
      </c>
      <c r="AW112" s="500">
        <f>SUM(AW8:AW109)</f>
        <v>60</v>
      </c>
      <c r="AX112" s="497"/>
      <c r="AY112" s="497"/>
      <c r="AZ112" s="498"/>
      <c r="BA112" s="71">
        <v>5</v>
      </c>
      <c r="BB112" s="500">
        <f>SUM(AX8:AX110)</f>
        <v>60</v>
      </c>
      <c r="BC112" s="497"/>
      <c r="BD112" s="497"/>
      <c r="BE112" s="498"/>
      <c r="BF112" s="71">
        <v>5</v>
      </c>
      <c r="BG112" s="500">
        <f>SUM(BG8:BG109)</f>
        <v>66</v>
      </c>
      <c r="BH112" s="497"/>
      <c r="BI112" s="497"/>
      <c r="BJ112" s="498"/>
      <c r="BK112" s="71">
        <v>6</v>
      </c>
      <c r="BL112" s="500">
        <f>SUM(BH8:BH110)</f>
        <v>66</v>
      </c>
      <c r="BM112" s="497"/>
      <c r="BN112" s="497"/>
      <c r="BO112" s="498"/>
      <c r="BP112" s="71">
        <v>6</v>
      </c>
      <c r="BQ112" s="500">
        <f>SUM(BQ8:BQ109)</f>
        <v>66</v>
      </c>
      <c r="BR112" s="497"/>
      <c r="BS112" s="497"/>
      <c r="BT112" s="498"/>
      <c r="BU112" s="71">
        <v>7</v>
      </c>
      <c r="BV112" s="500">
        <f>SUM(BR8:BR110)</f>
        <v>66</v>
      </c>
      <c r="BW112" s="497"/>
      <c r="BX112" s="497"/>
      <c r="BY112" s="498"/>
      <c r="BZ112" s="71">
        <v>7</v>
      </c>
      <c r="CA112" s="500">
        <f>SUM(CA8:CA109)</f>
        <v>0</v>
      </c>
      <c r="CB112" s="497"/>
      <c r="CC112" s="497"/>
      <c r="CD112" s="498"/>
      <c r="CE112" s="71">
        <v>8</v>
      </c>
      <c r="CF112" s="500">
        <f>SUM(CB8:CB110)</f>
        <v>0</v>
      </c>
      <c r="CG112" s="497"/>
      <c r="CH112" s="497"/>
      <c r="CI112" s="498"/>
      <c r="CJ112" s="71">
        <v>8</v>
      </c>
      <c r="CK112" s="500">
        <f>SUM(CK8:CK109)</f>
        <v>67</v>
      </c>
      <c r="CL112" s="497"/>
      <c r="CM112" s="497"/>
      <c r="CN112" s="498"/>
      <c r="CO112" s="71">
        <v>9</v>
      </c>
      <c r="CP112" s="500">
        <f>SUM(CL8:CL110)</f>
        <v>67</v>
      </c>
      <c r="CQ112" s="497"/>
      <c r="CR112" s="497"/>
      <c r="CS112" s="498"/>
      <c r="CT112" s="71">
        <v>9</v>
      </c>
      <c r="CU112" s="500">
        <f>SUM(CU8:CU109)</f>
        <v>62</v>
      </c>
      <c r="CV112" s="497"/>
      <c r="CW112" s="497"/>
      <c r="CX112" s="498"/>
      <c r="CY112" s="73">
        <v>10</v>
      </c>
      <c r="CZ112" s="500">
        <f>SUM(CV8:CV110)</f>
        <v>62</v>
      </c>
      <c r="DA112" s="497"/>
      <c r="DB112" s="497"/>
      <c r="DC112" s="498"/>
      <c r="DD112" s="75">
        <v>10</v>
      </c>
      <c r="DE112" s="500">
        <f>SUM(DE8:DE109)</f>
        <v>67</v>
      </c>
      <c r="DF112" s="497"/>
      <c r="DG112" s="497"/>
      <c r="DH112" s="498"/>
      <c r="DI112" s="75">
        <v>11</v>
      </c>
      <c r="DJ112" s="500">
        <f>SUM(DF8:DF110)</f>
        <v>67</v>
      </c>
      <c r="DK112" s="497"/>
      <c r="DL112" s="497"/>
      <c r="DM112" s="498"/>
      <c r="DN112" s="75">
        <v>11</v>
      </c>
      <c r="DO112" s="500">
        <f>SUM(DO8:DO109)</f>
        <v>68</v>
      </c>
      <c r="DP112" s="497"/>
      <c r="DQ112" s="497"/>
      <c r="DR112" s="498"/>
      <c r="DS112" s="75">
        <v>12</v>
      </c>
      <c r="DT112" s="500">
        <f>SUM(DP8:DP110)</f>
        <v>68</v>
      </c>
      <c r="DU112" s="497"/>
      <c r="DV112" s="497"/>
      <c r="DW112" s="498"/>
      <c r="DX112" s="75">
        <v>12</v>
      </c>
      <c r="DY112" s="500">
        <f>SUM(DY8:DY109)</f>
        <v>67</v>
      </c>
      <c r="DZ112" s="497"/>
      <c r="EA112" s="497"/>
      <c r="EB112" s="498"/>
      <c r="EC112" s="75">
        <v>13</v>
      </c>
      <c r="ED112" s="500">
        <f>SUM(DZ8:DZ110)</f>
        <v>67</v>
      </c>
      <c r="EE112" s="497"/>
      <c r="EF112" s="497"/>
      <c r="EG112" s="498"/>
      <c r="EH112" s="75">
        <v>13</v>
      </c>
      <c r="EI112" s="500">
        <f>SUM(EI8:EI109)</f>
        <v>67</v>
      </c>
      <c r="EJ112" s="497"/>
      <c r="EK112" s="497"/>
      <c r="EL112" s="498"/>
      <c r="EM112" s="75">
        <v>14</v>
      </c>
      <c r="EN112" s="500">
        <f>SUM(EJ8:EJ110)</f>
        <v>67</v>
      </c>
      <c r="EO112" s="497"/>
      <c r="EP112" s="497"/>
      <c r="EQ112" s="498"/>
      <c r="ER112" s="75">
        <v>14</v>
      </c>
      <c r="ES112" s="526"/>
      <c r="ET112" s="526"/>
      <c r="EU112" s="526"/>
      <c r="EV112" s="526"/>
      <c r="EW112" s="526"/>
      <c r="EX112" s="526"/>
      <c r="EY112" s="526"/>
      <c r="EZ112" s="526"/>
      <c r="FA112" s="526"/>
      <c r="FB112" s="526"/>
      <c r="FC112" s="526"/>
      <c r="FD112" s="526"/>
      <c r="FE112" s="526"/>
      <c r="FF112" s="526"/>
      <c r="FG112" s="554"/>
      <c r="FH112" s="501">
        <f>SUM(FH8:FH109)</f>
        <v>7806</v>
      </c>
      <c r="FI112" s="502"/>
      <c r="FJ112" s="502"/>
      <c r="FK112" s="335"/>
    </row>
    <row r="113" spans="1:167" ht="15.75" customHeight="1">
      <c r="A113" s="2"/>
      <c r="B113" s="546"/>
      <c r="C113" s="456"/>
      <c r="D113" s="456"/>
      <c r="E113" s="456"/>
      <c r="F113" s="456"/>
      <c r="G113" s="457"/>
      <c r="H113" s="346" t="s">
        <v>33</v>
      </c>
      <c r="I113" s="500">
        <f>SUM(K8:K109)</f>
        <v>32</v>
      </c>
      <c r="J113" s="497"/>
      <c r="K113" s="497"/>
      <c r="L113" s="498"/>
      <c r="M113" s="71">
        <v>1</v>
      </c>
      <c r="N113" s="500">
        <f>SUM(L8:L109)</f>
        <v>32</v>
      </c>
      <c r="O113" s="497"/>
      <c r="P113" s="497"/>
      <c r="Q113" s="498"/>
      <c r="R113" s="71">
        <v>1</v>
      </c>
      <c r="S113" s="500">
        <f>SUM(U8:U109)</f>
        <v>52</v>
      </c>
      <c r="T113" s="497"/>
      <c r="U113" s="497"/>
      <c r="V113" s="498"/>
      <c r="W113" s="71">
        <v>2</v>
      </c>
      <c r="X113" s="500">
        <f>SUM(V8:V109)</f>
        <v>52</v>
      </c>
      <c r="Y113" s="497"/>
      <c r="Z113" s="497"/>
      <c r="AA113" s="498"/>
      <c r="AB113" s="71">
        <v>2</v>
      </c>
      <c r="AC113" s="500">
        <f>SUM(AE8:AE109)</f>
        <v>53</v>
      </c>
      <c r="AD113" s="497"/>
      <c r="AE113" s="497"/>
      <c r="AF113" s="498"/>
      <c r="AG113" s="71">
        <v>3</v>
      </c>
      <c r="AH113" s="500">
        <f>SUM(AF8:AF109)</f>
        <v>53</v>
      </c>
      <c r="AI113" s="497"/>
      <c r="AJ113" s="497"/>
      <c r="AK113" s="498"/>
      <c r="AL113" s="71">
        <v>3</v>
      </c>
      <c r="AM113" s="500">
        <f>SUM(AO8:AO109)</f>
        <v>59</v>
      </c>
      <c r="AN113" s="497"/>
      <c r="AO113" s="497"/>
      <c r="AP113" s="498"/>
      <c r="AQ113" s="71">
        <v>4</v>
      </c>
      <c r="AR113" s="500">
        <f>SUM(AP8:AP109)</f>
        <v>59</v>
      </c>
      <c r="AS113" s="497"/>
      <c r="AT113" s="497"/>
      <c r="AU113" s="498"/>
      <c r="AV113" s="71">
        <v>4</v>
      </c>
      <c r="AW113" s="500">
        <f>SUM(AY8:AY109)</f>
        <v>64</v>
      </c>
      <c r="AX113" s="497"/>
      <c r="AY113" s="497"/>
      <c r="AZ113" s="498"/>
      <c r="BA113" s="71">
        <v>5</v>
      </c>
      <c r="BB113" s="500">
        <f>SUM(AZ8:AZ109)</f>
        <v>64</v>
      </c>
      <c r="BC113" s="497"/>
      <c r="BD113" s="497"/>
      <c r="BE113" s="498"/>
      <c r="BF113" s="71">
        <v>5</v>
      </c>
      <c r="BG113" s="500">
        <f>SUM(BI8:BI109)</f>
        <v>64</v>
      </c>
      <c r="BH113" s="497"/>
      <c r="BI113" s="497"/>
      <c r="BJ113" s="498"/>
      <c r="BK113" s="71">
        <v>6</v>
      </c>
      <c r="BL113" s="500">
        <f>SUM(BJ8:BJ109)</f>
        <v>64</v>
      </c>
      <c r="BM113" s="497"/>
      <c r="BN113" s="497"/>
      <c r="BO113" s="498"/>
      <c r="BP113" s="71">
        <v>6</v>
      </c>
      <c r="BQ113" s="500">
        <f>SUM(BS8:BS109)</f>
        <v>65</v>
      </c>
      <c r="BR113" s="497"/>
      <c r="BS113" s="497"/>
      <c r="BT113" s="498"/>
      <c r="BU113" s="71">
        <v>7</v>
      </c>
      <c r="BV113" s="500">
        <f>SUM(BT8:BT109)</f>
        <v>65</v>
      </c>
      <c r="BW113" s="497"/>
      <c r="BX113" s="497"/>
      <c r="BY113" s="498"/>
      <c r="BZ113" s="71">
        <v>7</v>
      </c>
      <c r="CA113" s="500">
        <f>SUM(CC8:CC109)</f>
        <v>0</v>
      </c>
      <c r="CB113" s="497"/>
      <c r="CC113" s="497"/>
      <c r="CD113" s="498"/>
      <c r="CE113" s="71">
        <v>8</v>
      </c>
      <c r="CF113" s="500">
        <f>SUM(CD8:CD109)</f>
        <v>0</v>
      </c>
      <c r="CG113" s="497"/>
      <c r="CH113" s="497"/>
      <c r="CI113" s="498"/>
      <c r="CJ113" s="71">
        <v>8</v>
      </c>
      <c r="CK113" s="500">
        <f>SUM(CM8:CM109)</f>
        <v>68</v>
      </c>
      <c r="CL113" s="497"/>
      <c r="CM113" s="497"/>
      <c r="CN113" s="498"/>
      <c r="CO113" s="71">
        <v>9</v>
      </c>
      <c r="CP113" s="500">
        <f>SUM(CN8:CN109)</f>
        <v>68</v>
      </c>
      <c r="CQ113" s="497"/>
      <c r="CR113" s="497"/>
      <c r="CS113" s="498"/>
      <c r="CT113" s="71">
        <v>9</v>
      </c>
      <c r="CU113" s="500">
        <f>SUM(CW8:CW109)</f>
        <v>64</v>
      </c>
      <c r="CV113" s="497"/>
      <c r="CW113" s="497"/>
      <c r="CX113" s="498"/>
      <c r="CY113" s="73">
        <v>10</v>
      </c>
      <c r="CZ113" s="500">
        <f>SUM(CX8:CX109)</f>
        <v>64</v>
      </c>
      <c r="DA113" s="497"/>
      <c r="DB113" s="497"/>
      <c r="DC113" s="498"/>
      <c r="DD113" s="75">
        <v>10</v>
      </c>
      <c r="DE113" s="500">
        <f>SUM(DG8:DG109)</f>
        <v>67</v>
      </c>
      <c r="DF113" s="497"/>
      <c r="DG113" s="497"/>
      <c r="DH113" s="498"/>
      <c r="DI113" s="75">
        <v>11</v>
      </c>
      <c r="DJ113" s="500">
        <f>SUM(DH8:DH109)</f>
        <v>67</v>
      </c>
      <c r="DK113" s="497"/>
      <c r="DL113" s="497"/>
      <c r="DM113" s="498"/>
      <c r="DN113" s="75">
        <v>11</v>
      </c>
      <c r="DO113" s="500">
        <f>SUM(DQ8:DQ109)</f>
        <v>67</v>
      </c>
      <c r="DP113" s="497"/>
      <c r="DQ113" s="497"/>
      <c r="DR113" s="498"/>
      <c r="DS113" s="75">
        <v>12</v>
      </c>
      <c r="DT113" s="500">
        <f>SUM(DR8:DR109)</f>
        <v>67</v>
      </c>
      <c r="DU113" s="497"/>
      <c r="DV113" s="497"/>
      <c r="DW113" s="498"/>
      <c r="DX113" s="75">
        <v>12</v>
      </c>
      <c r="DY113" s="500">
        <f>SUM(EA8:EA109)</f>
        <v>68</v>
      </c>
      <c r="DZ113" s="497"/>
      <c r="EA113" s="497"/>
      <c r="EB113" s="498"/>
      <c r="EC113" s="75">
        <v>13</v>
      </c>
      <c r="ED113" s="500">
        <f>SUM(EB8:EB109)</f>
        <v>68</v>
      </c>
      <c r="EE113" s="497"/>
      <c r="EF113" s="497"/>
      <c r="EG113" s="498"/>
      <c r="EH113" s="75">
        <v>13</v>
      </c>
      <c r="EI113" s="500">
        <f>SUM(EK8:EK109)</f>
        <v>67</v>
      </c>
      <c r="EJ113" s="497"/>
      <c r="EK113" s="497"/>
      <c r="EL113" s="498"/>
      <c r="EM113" s="75">
        <v>14</v>
      </c>
      <c r="EN113" s="500">
        <f>SUM(EL8:EL109)</f>
        <v>67</v>
      </c>
      <c r="EO113" s="497"/>
      <c r="EP113" s="497"/>
      <c r="EQ113" s="498"/>
      <c r="ER113" s="75">
        <v>14</v>
      </c>
      <c r="ES113" s="526"/>
      <c r="ET113" s="526"/>
      <c r="EU113" s="526"/>
      <c r="EV113" s="526"/>
      <c r="EW113" s="526"/>
      <c r="EX113" s="526"/>
      <c r="EY113" s="526"/>
      <c r="EZ113" s="526"/>
      <c r="FA113" s="526"/>
      <c r="FB113" s="526"/>
      <c r="FC113" s="526"/>
      <c r="FD113" s="526"/>
      <c r="FE113" s="526"/>
      <c r="FF113" s="526"/>
      <c r="FG113" s="554"/>
      <c r="FH113" s="503" t="s">
        <v>34</v>
      </c>
      <c r="FI113" s="504"/>
      <c r="FJ113" s="504"/>
      <c r="FK113" s="505"/>
    </row>
    <row r="114" spans="1:167" ht="15.75" customHeight="1">
      <c r="A114" s="2"/>
      <c r="B114" s="545" t="s">
        <v>35</v>
      </c>
      <c r="C114" s="450"/>
      <c r="D114" s="545" t="s">
        <v>36</v>
      </c>
      <c r="E114" s="449"/>
      <c r="F114" s="449"/>
      <c r="G114" s="450"/>
      <c r="H114" s="346" t="s">
        <v>28</v>
      </c>
      <c r="I114" s="500">
        <f>SUM(M8:M109)</f>
        <v>34</v>
      </c>
      <c r="J114" s="497"/>
      <c r="K114" s="497"/>
      <c r="L114" s="498"/>
      <c r="M114" s="71">
        <v>1</v>
      </c>
      <c r="N114" s="500">
        <f>SUM(N8:N109)</f>
        <v>34</v>
      </c>
      <c r="O114" s="497"/>
      <c r="P114" s="497"/>
      <c r="Q114" s="498"/>
      <c r="R114" s="71">
        <v>1</v>
      </c>
      <c r="S114" s="500">
        <f>SUM(W8:W109)</f>
        <v>52</v>
      </c>
      <c r="T114" s="497"/>
      <c r="U114" s="497"/>
      <c r="V114" s="498"/>
      <c r="W114" s="71">
        <v>2</v>
      </c>
      <c r="X114" s="500">
        <f>SUM(X8:X109)</f>
        <v>52</v>
      </c>
      <c r="Y114" s="497"/>
      <c r="Z114" s="497"/>
      <c r="AA114" s="498"/>
      <c r="AB114" s="71">
        <v>2</v>
      </c>
      <c r="AC114" s="500">
        <f>SUM(AG8:AG109)</f>
        <v>0</v>
      </c>
      <c r="AD114" s="497"/>
      <c r="AE114" s="497"/>
      <c r="AF114" s="498"/>
      <c r="AG114" s="71">
        <v>3</v>
      </c>
      <c r="AH114" s="500">
        <f>SUM(AH8:AH109)</f>
        <v>0</v>
      </c>
      <c r="AI114" s="497"/>
      <c r="AJ114" s="497"/>
      <c r="AK114" s="498"/>
      <c r="AL114" s="71">
        <v>3</v>
      </c>
      <c r="AM114" s="500">
        <f>SUM(AQ8:AQ109)</f>
        <v>63</v>
      </c>
      <c r="AN114" s="497"/>
      <c r="AO114" s="497"/>
      <c r="AP114" s="498"/>
      <c r="AQ114" s="71">
        <v>4</v>
      </c>
      <c r="AR114" s="500">
        <f>SUM(AR8:AR109)</f>
        <v>63</v>
      </c>
      <c r="AS114" s="497"/>
      <c r="AT114" s="497"/>
      <c r="AU114" s="498"/>
      <c r="AV114" s="71">
        <v>4</v>
      </c>
      <c r="AW114" s="500">
        <f>SUM(BA8:BA109)</f>
        <v>64</v>
      </c>
      <c r="AX114" s="497"/>
      <c r="AY114" s="497"/>
      <c r="AZ114" s="498"/>
      <c r="BA114" s="71">
        <v>5</v>
      </c>
      <c r="BB114" s="500">
        <f>SUM(BB8:BB109)</f>
        <v>64</v>
      </c>
      <c r="BC114" s="497"/>
      <c r="BD114" s="497"/>
      <c r="BE114" s="498"/>
      <c r="BF114" s="71">
        <v>5</v>
      </c>
      <c r="BG114" s="500">
        <f>SUM(BK8:BK109)</f>
        <v>65</v>
      </c>
      <c r="BH114" s="497"/>
      <c r="BI114" s="497"/>
      <c r="BJ114" s="498"/>
      <c r="BK114" s="71">
        <v>6</v>
      </c>
      <c r="BL114" s="500">
        <f>SUM(BL8:BL109)</f>
        <v>65</v>
      </c>
      <c r="BM114" s="497"/>
      <c r="BN114" s="497"/>
      <c r="BO114" s="498"/>
      <c r="BP114" s="71">
        <v>6</v>
      </c>
      <c r="BQ114" s="500">
        <f>SUM(BU8:BU109)</f>
        <v>64</v>
      </c>
      <c r="BR114" s="497"/>
      <c r="BS114" s="497"/>
      <c r="BT114" s="498"/>
      <c r="BU114" s="71">
        <v>7</v>
      </c>
      <c r="BV114" s="500">
        <f>SUM(BV8:BV109)</f>
        <v>64</v>
      </c>
      <c r="BW114" s="497"/>
      <c r="BX114" s="497"/>
      <c r="BY114" s="498"/>
      <c r="BZ114" s="71">
        <v>7</v>
      </c>
      <c r="CA114" s="500">
        <f>SUM(CE8:CE109)</f>
        <v>0</v>
      </c>
      <c r="CB114" s="497"/>
      <c r="CC114" s="497"/>
      <c r="CD114" s="498"/>
      <c r="CE114" s="71">
        <v>8</v>
      </c>
      <c r="CF114" s="500">
        <f>SUM(CF8:CF109)</f>
        <v>0</v>
      </c>
      <c r="CG114" s="497"/>
      <c r="CH114" s="497"/>
      <c r="CI114" s="498"/>
      <c r="CJ114" s="71">
        <v>8</v>
      </c>
      <c r="CK114" s="500">
        <f>SUM(CO8:CO109)</f>
        <v>66</v>
      </c>
      <c r="CL114" s="497"/>
      <c r="CM114" s="497"/>
      <c r="CN114" s="498"/>
      <c r="CO114" s="71">
        <v>9</v>
      </c>
      <c r="CP114" s="500">
        <f>SUM(CP8:CP109)</f>
        <v>66</v>
      </c>
      <c r="CQ114" s="497"/>
      <c r="CR114" s="497"/>
      <c r="CS114" s="498"/>
      <c r="CT114" s="71">
        <v>9</v>
      </c>
      <c r="CU114" s="500">
        <f>SUM(CY8:CY109)</f>
        <v>66</v>
      </c>
      <c r="CV114" s="497"/>
      <c r="CW114" s="497"/>
      <c r="CX114" s="498"/>
      <c r="CY114" s="73">
        <v>10</v>
      </c>
      <c r="CZ114" s="500">
        <f>SUM(CZ8:CZ109)</f>
        <v>66</v>
      </c>
      <c r="DA114" s="497"/>
      <c r="DB114" s="497"/>
      <c r="DC114" s="498"/>
      <c r="DD114" s="75">
        <v>10</v>
      </c>
      <c r="DE114" s="500">
        <f>SUM(DI8:DI109)</f>
        <v>65</v>
      </c>
      <c r="DF114" s="497"/>
      <c r="DG114" s="497"/>
      <c r="DH114" s="498"/>
      <c r="DI114" s="75">
        <v>11</v>
      </c>
      <c r="DJ114" s="500">
        <f>SUM(DJ8:DJ109)</f>
        <v>65</v>
      </c>
      <c r="DK114" s="497"/>
      <c r="DL114" s="497"/>
      <c r="DM114" s="498"/>
      <c r="DN114" s="75">
        <v>11</v>
      </c>
      <c r="DO114" s="500">
        <f>SUM(DS8:DS109)</f>
        <v>67</v>
      </c>
      <c r="DP114" s="497"/>
      <c r="DQ114" s="497"/>
      <c r="DR114" s="498"/>
      <c r="DS114" s="75">
        <v>12</v>
      </c>
      <c r="DT114" s="500">
        <f>SUM(DT8:DT109)</f>
        <v>67</v>
      </c>
      <c r="DU114" s="497"/>
      <c r="DV114" s="497"/>
      <c r="DW114" s="498"/>
      <c r="DX114" s="75">
        <v>12</v>
      </c>
      <c r="DY114" s="500">
        <f>SUM(EC8:EC109)</f>
        <v>67</v>
      </c>
      <c r="DZ114" s="497"/>
      <c r="EA114" s="497"/>
      <c r="EB114" s="498"/>
      <c r="EC114" s="75">
        <v>13</v>
      </c>
      <c r="ED114" s="500">
        <f>SUM(ED8:ED109)</f>
        <v>67</v>
      </c>
      <c r="EE114" s="497"/>
      <c r="EF114" s="497"/>
      <c r="EG114" s="498"/>
      <c r="EH114" s="75">
        <v>13</v>
      </c>
      <c r="EI114" s="500">
        <f>SUM(EM8:EM109)</f>
        <v>67</v>
      </c>
      <c r="EJ114" s="497"/>
      <c r="EK114" s="497"/>
      <c r="EL114" s="498"/>
      <c r="EM114" s="75">
        <v>14</v>
      </c>
      <c r="EN114" s="500">
        <f>SUM(EN8:EN109)</f>
        <v>67</v>
      </c>
      <c r="EO114" s="497"/>
      <c r="EP114" s="497"/>
      <c r="EQ114" s="498"/>
      <c r="ER114" s="75">
        <v>14</v>
      </c>
      <c r="ES114" s="527"/>
      <c r="ET114" s="527"/>
      <c r="EU114" s="527"/>
      <c r="EV114" s="527"/>
      <c r="EW114" s="527"/>
      <c r="EX114" s="527"/>
      <c r="EY114" s="527"/>
      <c r="EZ114" s="527"/>
      <c r="FA114" s="527"/>
      <c r="FB114" s="527"/>
      <c r="FC114" s="527"/>
      <c r="FD114" s="527"/>
      <c r="FE114" s="527"/>
      <c r="FF114" s="527"/>
      <c r="FG114" s="555"/>
      <c r="FH114" s="506">
        <f>SUM(ES115:FF117)</f>
        <v>128</v>
      </c>
      <c r="FI114" s="502"/>
      <c r="FJ114" s="502"/>
      <c r="FK114" s="335"/>
    </row>
    <row r="115" spans="1:167" ht="15" customHeight="1">
      <c r="A115" s="2"/>
      <c r="B115" s="546"/>
      <c r="C115" s="457"/>
      <c r="D115" s="546"/>
      <c r="E115" s="456"/>
      <c r="F115" s="456"/>
      <c r="G115" s="457"/>
      <c r="H115" s="346" t="s">
        <v>37</v>
      </c>
      <c r="I115" s="500">
        <f>SUM(O8:O109)</f>
        <v>37</v>
      </c>
      <c r="J115" s="497"/>
      <c r="K115" s="497"/>
      <c r="L115" s="498"/>
      <c r="M115" s="71">
        <v>1</v>
      </c>
      <c r="N115" s="500">
        <f>SUM(P8:P109)</f>
        <v>37</v>
      </c>
      <c r="O115" s="497"/>
      <c r="P115" s="497"/>
      <c r="Q115" s="498"/>
      <c r="R115" s="71">
        <v>1</v>
      </c>
      <c r="S115" s="500">
        <f>SUM(Y8:Y109)</f>
        <v>54</v>
      </c>
      <c r="T115" s="497"/>
      <c r="U115" s="497"/>
      <c r="V115" s="498"/>
      <c r="W115" s="71">
        <v>2</v>
      </c>
      <c r="X115" s="500">
        <f>SUM(Z8:Z109)</f>
        <v>54</v>
      </c>
      <c r="Y115" s="497"/>
      <c r="Z115" s="497"/>
      <c r="AA115" s="498"/>
      <c r="AB115" s="71">
        <v>2</v>
      </c>
      <c r="AC115" s="500">
        <f>SUM(AI8:AI109)</f>
        <v>54</v>
      </c>
      <c r="AD115" s="497"/>
      <c r="AE115" s="497"/>
      <c r="AF115" s="498"/>
      <c r="AG115" s="71">
        <v>3</v>
      </c>
      <c r="AH115" s="500">
        <f>SUM(AJ8:AJ109)</f>
        <v>54</v>
      </c>
      <c r="AI115" s="497"/>
      <c r="AJ115" s="497"/>
      <c r="AK115" s="498"/>
      <c r="AL115" s="71">
        <v>3</v>
      </c>
      <c r="AM115" s="500">
        <f>SUM(AS8:AS109)</f>
        <v>61</v>
      </c>
      <c r="AN115" s="497"/>
      <c r="AO115" s="497"/>
      <c r="AP115" s="498"/>
      <c r="AQ115" s="71">
        <v>4</v>
      </c>
      <c r="AR115" s="500">
        <f>SUM(AT8:AT109)</f>
        <v>61</v>
      </c>
      <c r="AS115" s="497"/>
      <c r="AT115" s="497"/>
      <c r="AU115" s="498"/>
      <c r="AV115" s="71">
        <v>4</v>
      </c>
      <c r="AW115" s="500">
        <f>SUM(BC8:BC109)</f>
        <v>59</v>
      </c>
      <c r="AX115" s="497"/>
      <c r="AY115" s="497"/>
      <c r="AZ115" s="498"/>
      <c r="BA115" s="71">
        <v>5</v>
      </c>
      <c r="BB115" s="500">
        <f>SUM(BD8:BD109)</f>
        <v>59</v>
      </c>
      <c r="BC115" s="497"/>
      <c r="BD115" s="497"/>
      <c r="BE115" s="498"/>
      <c r="BF115" s="71">
        <v>5</v>
      </c>
      <c r="BG115" s="500">
        <f>SUM(BM8:BM109)</f>
        <v>66</v>
      </c>
      <c r="BH115" s="497"/>
      <c r="BI115" s="497"/>
      <c r="BJ115" s="498"/>
      <c r="BK115" s="71">
        <v>6</v>
      </c>
      <c r="BL115" s="500">
        <f>SUM(BN8:BN109)</f>
        <v>66</v>
      </c>
      <c r="BM115" s="497"/>
      <c r="BN115" s="497"/>
      <c r="BO115" s="498"/>
      <c r="BP115" s="71">
        <v>6</v>
      </c>
      <c r="BQ115" s="500">
        <f>SUM(BW8:BW109)</f>
        <v>65</v>
      </c>
      <c r="BR115" s="497"/>
      <c r="BS115" s="497"/>
      <c r="BT115" s="498"/>
      <c r="BU115" s="71">
        <v>7</v>
      </c>
      <c r="BV115" s="500">
        <f>SUM(BX8:BX109)</f>
        <v>65</v>
      </c>
      <c r="BW115" s="497"/>
      <c r="BX115" s="497"/>
      <c r="BY115" s="498"/>
      <c r="BZ115" s="71">
        <v>7</v>
      </c>
      <c r="CA115" s="500">
        <f>SUM(CG8:CG109)</f>
        <v>0</v>
      </c>
      <c r="CB115" s="497"/>
      <c r="CC115" s="497"/>
      <c r="CD115" s="498"/>
      <c r="CE115" s="71">
        <v>8</v>
      </c>
      <c r="CF115" s="500">
        <f>SUM(CH8:CH109)</f>
        <v>0</v>
      </c>
      <c r="CG115" s="497"/>
      <c r="CH115" s="497"/>
      <c r="CI115" s="498"/>
      <c r="CJ115" s="71">
        <v>8</v>
      </c>
      <c r="CK115" s="500">
        <f>SUM(CQ8:CQ109)</f>
        <v>65</v>
      </c>
      <c r="CL115" s="497"/>
      <c r="CM115" s="497"/>
      <c r="CN115" s="498"/>
      <c r="CO115" s="71">
        <v>9</v>
      </c>
      <c r="CP115" s="500">
        <f>SUM(CR8:CR109)</f>
        <v>65</v>
      </c>
      <c r="CQ115" s="497"/>
      <c r="CR115" s="497"/>
      <c r="CS115" s="498"/>
      <c r="CT115" s="71">
        <v>9</v>
      </c>
      <c r="CU115" s="500">
        <f>SUM(DA8:DA109)</f>
        <v>63</v>
      </c>
      <c r="CV115" s="497"/>
      <c r="CW115" s="497"/>
      <c r="CX115" s="498"/>
      <c r="CY115" s="73">
        <v>10</v>
      </c>
      <c r="CZ115" s="500">
        <f>SUM(DB8:DB109)</f>
        <v>63</v>
      </c>
      <c r="DA115" s="497"/>
      <c r="DB115" s="497"/>
      <c r="DC115" s="498"/>
      <c r="DD115" s="75">
        <v>10</v>
      </c>
      <c r="DE115" s="500">
        <f>SUM(DK8:DK109)</f>
        <v>66</v>
      </c>
      <c r="DF115" s="497"/>
      <c r="DG115" s="497"/>
      <c r="DH115" s="498"/>
      <c r="DI115" s="75">
        <v>11</v>
      </c>
      <c r="DJ115" s="500">
        <f>SUM(DL8:DL109)</f>
        <v>66</v>
      </c>
      <c r="DK115" s="497"/>
      <c r="DL115" s="497"/>
      <c r="DM115" s="498"/>
      <c r="DN115" s="75">
        <v>11</v>
      </c>
      <c r="DO115" s="500">
        <f>SUM(DU8:DU109)</f>
        <v>68</v>
      </c>
      <c r="DP115" s="497"/>
      <c r="DQ115" s="497"/>
      <c r="DR115" s="498"/>
      <c r="DS115" s="75">
        <v>12</v>
      </c>
      <c r="DT115" s="500">
        <f>SUM(DV8:DV109)</f>
        <v>68</v>
      </c>
      <c r="DU115" s="497"/>
      <c r="DV115" s="497"/>
      <c r="DW115" s="498"/>
      <c r="DX115" s="75">
        <v>12</v>
      </c>
      <c r="DY115" s="500">
        <f>SUM(EE8:EE109)</f>
        <v>68</v>
      </c>
      <c r="DZ115" s="497"/>
      <c r="EA115" s="497"/>
      <c r="EB115" s="498"/>
      <c r="EC115" s="75">
        <v>13</v>
      </c>
      <c r="ED115" s="500">
        <f>SUM(EF8:EF109)</f>
        <v>68</v>
      </c>
      <c r="EE115" s="497"/>
      <c r="EF115" s="497"/>
      <c r="EG115" s="498"/>
      <c r="EH115" s="75">
        <v>13</v>
      </c>
      <c r="EI115" s="500">
        <f>SUM(EO8:EO109)</f>
        <v>67</v>
      </c>
      <c r="EJ115" s="497"/>
      <c r="EK115" s="497"/>
      <c r="EL115" s="498"/>
      <c r="EM115" s="75">
        <v>14</v>
      </c>
      <c r="EN115" s="500">
        <f>SUM(EP8:EP109)</f>
        <v>67</v>
      </c>
      <c r="EO115" s="497"/>
      <c r="EP115" s="497"/>
      <c r="EQ115" s="498"/>
      <c r="ER115" s="75">
        <v>14</v>
      </c>
      <c r="ES115" s="525">
        <f>SUM(I7:R7)</f>
        <v>10</v>
      </c>
      <c r="ET115" s="525">
        <f>SUM(S7:AB7)</f>
        <v>10</v>
      </c>
      <c r="EU115" s="525">
        <f>SUM(AC7:AL7)</f>
        <v>8</v>
      </c>
      <c r="EV115" s="525">
        <f>SUM(AM7:AV7)</f>
        <v>10</v>
      </c>
      <c r="EW115" s="525">
        <f>SUM(AW7:BF7)</f>
        <v>10</v>
      </c>
      <c r="EX115" s="525">
        <f>SUM(BG7:BP7)</f>
        <v>10</v>
      </c>
      <c r="EY115" s="525">
        <f>SUM(BQ7:BZ7)</f>
        <v>10</v>
      </c>
      <c r="EZ115" s="525">
        <f>SUM(CA7:CJ7)</f>
        <v>0</v>
      </c>
      <c r="FA115" s="525">
        <f>SUM(CK7:CT7)</f>
        <v>10</v>
      </c>
      <c r="FB115" s="525">
        <f>SUM(CU7:DD7)</f>
        <v>10</v>
      </c>
      <c r="FC115" s="525">
        <f>SUM(DE7:DN7)</f>
        <v>10</v>
      </c>
      <c r="FD115" s="525">
        <f>SUM(DO7:DX7)</f>
        <v>10</v>
      </c>
      <c r="FE115" s="525">
        <f>SUM(DY7:EH7)</f>
        <v>10</v>
      </c>
      <c r="FF115" s="525">
        <f>SUM(EI7:ER7)</f>
        <v>10</v>
      </c>
      <c r="FG115" s="556" t="s">
        <v>38</v>
      </c>
      <c r="FH115" s="503" t="s">
        <v>39</v>
      </c>
      <c r="FI115" s="504"/>
      <c r="FJ115" s="504"/>
      <c r="FK115" s="334"/>
    </row>
    <row r="116" spans="1:167" ht="15.75" customHeight="1">
      <c r="A116" s="2"/>
      <c r="B116" s="549"/>
      <c r="C116" s="450"/>
      <c r="D116" s="550"/>
      <c r="E116" s="449"/>
      <c r="F116" s="449"/>
      <c r="G116" s="450"/>
      <c r="H116" s="346" t="s">
        <v>40</v>
      </c>
      <c r="I116" s="507">
        <f>SUM(Q8:Q109)</f>
        <v>35</v>
      </c>
      <c r="J116" s="508"/>
      <c r="K116" s="508"/>
      <c r="L116" s="509"/>
      <c r="M116" s="71">
        <v>1</v>
      </c>
      <c r="N116" s="507">
        <f>SUM(R8:R109)</f>
        <v>35</v>
      </c>
      <c r="O116" s="508"/>
      <c r="P116" s="508"/>
      <c r="Q116" s="509"/>
      <c r="R116" s="71">
        <v>1</v>
      </c>
      <c r="S116" s="500">
        <f>SUM(AA8:AA109)</f>
        <v>54</v>
      </c>
      <c r="T116" s="497"/>
      <c r="U116" s="497"/>
      <c r="V116" s="498"/>
      <c r="W116" s="71">
        <v>2</v>
      </c>
      <c r="X116" s="500">
        <f>SUM(AB8:AB109)</f>
        <v>54</v>
      </c>
      <c r="Y116" s="497"/>
      <c r="Z116" s="497"/>
      <c r="AA116" s="498"/>
      <c r="AB116" s="71">
        <v>2</v>
      </c>
      <c r="AC116" s="500">
        <f>SUM(AK8:AK109)</f>
        <v>56</v>
      </c>
      <c r="AD116" s="497"/>
      <c r="AE116" s="497"/>
      <c r="AF116" s="498"/>
      <c r="AG116" s="71">
        <v>3</v>
      </c>
      <c r="AH116" s="500">
        <f>SUM(AL8:AL109)</f>
        <v>56</v>
      </c>
      <c r="AI116" s="497"/>
      <c r="AJ116" s="497"/>
      <c r="AK116" s="498"/>
      <c r="AL116" s="71">
        <v>3</v>
      </c>
      <c r="AM116" s="500">
        <f>SUM(AU8:AU109)</f>
        <v>59</v>
      </c>
      <c r="AN116" s="497"/>
      <c r="AO116" s="497"/>
      <c r="AP116" s="498"/>
      <c r="AQ116" s="71">
        <v>4</v>
      </c>
      <c r="AR116" s="500">
        <f>SUM(AV8:AV109)</f>
        <v>59</v>
      </c>
      <c r="AS116" s="497"/>
      <c r="AT116" s="497"/>
      <c r="AU116" s="498"/>
      <c r="AV116" s="71">
        <v>4</v>
      </c>
      <c r="AW116" s="500">
        <f>SUM(BE8:BE109)</f>
        <v>62</v>
      </c>
      <c r="AX116" s="497"/>
      <c r="AY116" s="497"/>
      <c r="AZ116" s="498"/>
      <c r="BA116" s="71">
        <v>5</v>
      </c>
      <c r="BB116" s="500">
        <f>SUM(BF8:BF109)</f>
        <v>62</v>
      </c>
      <c r="BC116" s="497"/>
      <c r="BD116" s="497"/>
      <c r="BE116" s="498"/>
      <c r="BF116" s="71">
        <v>5</v>
      </c>
      <c r="BG116" s="500">
        <f>SUM(BO8:BO109)</f>
        <v>65</v>
      </c>
      <c r="BH116" s="497"/>
      <c r="BI116" s="497"/>
      <c r="BJ116" s="498"/>
      <c r="BK116" s="71">
        <v>6</v>
      </c>
      <c r="BL116" s="500">
        <f>SUM(BP8:BP109)</f>
        <v>65</v>
      </c>
      <c r="BM116" s="497"/>
      <c r="BN116" s="497"/>
      <c r="BO116" s="498"/>
      <c r="BP116" s="71">
        <v>6</v>
      </c>
      <c r="BQ116" s="500">
        <f>SUM(BY8:BY109)</f>
        <v>65</v>
      </c>
      <c r="BR116" s="497"/>
      <c r="BS116" s="497"/>
      <c r="BT116" s="498"/>
      <c r="BU116" s="71">
        <v>7</v>
      </c>
      <c r="BV116" s="500">
        <f>SUM(BZ8:BZ109)</f>
        <v>65</v>
      </c>
      <c r="BW116" s="497"/>
      <c r="BX116" s="497"/>
      <c r="BY116" s="498"/>
      <c r="BZ116" s="71">
        <v>7</v>
      </c>
      <c r="CA116" s="500">
        <f>SUM(CI8:CI109)</f>
        <v>0</v>
      </c>
      <c r="CB116" s="497"/>
      <c r="CC116" s="497"/>
      <c r="CD116" s="498"/>
      <c r="CE116" s="71">
        <v>8</v>
      </c>
      <c r="CF116" s="500">
        <f>SUM(CJ8:CJ109)</f>
        <v>0</v>
      </c>
      <c r="CG116" s="497"/>
      <c r="CH116" s="497"/>
      <c r="CI116" s="498"/>
      <c r="CJ116" s="71">
        <v>8</v>
      </c>
      <c r="CK116" s="500">
        <f>SUM(CS8:CS109)</f>
        <v>66</v>
      </c>
      <c r="CL116" s="497"/>
      <c r="CM116" s="497"/>
      <c r="CN116" s="498"/>
      <c r="CO116" s="71">
        <v>9</v>
      </c>
      <c r="CP116" s="500">
        <f>SUM(CT8:CT109)</f>
        <v>66</v>
      </c>
      <c r="CQ116" s="497"/>
      <c r="CR116" s="497"/>
      <c r="CS116" s="498"/>
      <c r="CT116" s="71">
        <v>9</v>
      </c>
      <c r="CU116" s="500">
        <f>SUM(DC8:DC109)</f>
        <v>68</v>
      </c>
      <c r="CV116" s="497"/>
      <c r="CW116" s="497"/>
      <c r="CX116" s="498"/>
      <c r="CY116" s="73">
        <v>10</v>
      </c>
      <c r="CZ116" s="500">
        <f>SUM(DD8:DD109)</f>
        <v>68</v>
      </c>
      <c r="DA116" s="497"/>
      <c r="DB116" s="497"/>
      <c r="DC116" s="498"/>
      <c r="DD116" s="75">
        <v>10</v>
      </c>
      <c r="DE116" s="500">
        <f>SUM(DM8:DM109)</f>
        <v>66</v>
      </c>
      <c r="DF116" s="497"/>
      <c r="DG116" s="497"/>
      <c r="DH116" s="498"/>
      <c r="DI116" s="75">
        <v>11</v>
      </c>
      <c r="DJ116" s="500">
        <f>SUM(DN8:DN109)</f>
        <v>66</v>
      </c>
      <c r="DK116" s="497"/>
      <c r="DL116" s="497"/>
      <c r="DM116" s="498"/>
      <c r="DN116" s="75">
        <v>11</v>
      </c>
      <c r="DO116" s="500">
        <f>SUM(DW8:DW109)</f>
        <v>68</v>
      </c>
      <c r="DP116" s="497"/>
      <c r="DQ116" s="497"/>
      <c r="DR116" s="498"/>
      <c r="DS116" s="75">
        <v>12</v>
      </c>
      <c r="DT116" s="500">
        <f>SUM(DX8:DX109)</f>
        <v>68</v>
      </c>
      <c r="DU116" s="497"/>
      <c r="DV116" s="497"/>
      <c r="DW116" s="498"/>
      <c r="DX116" s="75">
        <v>12</v>
      </c>
      <c r="DY116" s="500">
        <f>SUM(EG8:EG109)</f>
        <v>68</v>
      </c>
      <c r="DZ116" s="497"/>
      <c r="EA116" s="497"/>
      <c r="EB116" s="498"/>
      <c r="EC116" s="75">
        <v>13</v>
      </c>
      <c r="ED116" s="500">
        <f>SUM(EH8:EH109)</f>
        <v>68</v>
      </c>
      <c r="EE116" s="497"/>
      <c r="EF116" s="497"/>
      <c r="EG116" s="498"/>
      <c r="EH116" s="75">
        <v>13</v>
      </c>
      <c r="EI116" s="500">
        <f>SUM(EQ8:EQ109)</f>
        <v>67</v>
      </c>
      <c r="EJ116" s="497"/>
      <c r="EK116" s="497"/>
      <c r="EL116" s="498"/>
      <c r="EM116" s="75">
        <v>14</v>
      </c>
      <c r="EN116" s="500">
        <f>SUM(ER8:ER109)</f>
        <v>67</v>
      </c>
      <c r="EO116" s="497"/>
      <c r="EP116" s="497"/>
      <c r="EQ116" s="498"/>
      <c r="ER116" s="75">
        <v>14</v>
      </c>
      <c r="ES116" s="526"/>
      <c r="ET116" s="526"/>
      <c r="EU116" s="526"/>
      <c r="EV116" s="526"/>
      <c r="EW116" s="526"/>
      <c r="EX116" s="526"/>
      <c r="EY116" s="526"/>
      <c r="EZ116" s="526"/>
      <c r="FA116" s="526"/>
      <c r="FB116" s="526"/>
      <c r="FC116" s="526"/>
      <c r="FD116" s="526"/>
      <c r="FE116" s="526"/>
      <c r="FF116" s="526"/>
      <c r="FG116" s="526"/>
      <c r="FH116" s="510">
        <f>SUM(ES111:FF114)/SUM(ES115:FF117)</f>
        <v>63.375</v>
      </c>
      <c r="FI116" s="511"/>
      <c r="FJ116" s="511"/>
      <c r="FK116" s="336"/>
    </row>
    <row r="117" spans="1:167" ht="15.75" customHeight="1">
      <c r="A117" s="2"/>
      <c r="B117" s="546"/>
      <c r="C117" s="457"/>
      <c r="D117" s="546"/>
      <c r="E117" s="456"/>
      <c r="F117" s="456"/>
      <c r="G117" s="457"/>
      <c r="H117" s="342" t="s">
        <v>41</v>
      </c>
      <c r="I117" s="64" t="s">
        <v>27</v>
      </c>
      <c r="J117" s="512">
        <f>SUM(I112:L116)</f>
        <v>159</v>
      </c>
      <c r="K117" s="497"/>
      <c r="L117" s="498"/>
      <c r="M117" s="63"/>
      <c r="N117" s="64" t="s">
        <v>42</v>
      </c>
      <c r="O117" s="512">
        <f>SUM(N112:Q116)</f>
        <v>159</v>
      </c>
      <c r="P117" s="497"/>
      <c r="Q117" s="498"/>
      <c r="R117" s="327"/>
      <c r="S117" s="328" t="s">
        <v>32</v>
      </c>
      <c r="T117" s="500">
        <f>SUM(S112:V116)</f>
        <v>262</v>
      </c>
      <c r="U117" s="497"/>
      <c r="V117" s="498"/>
      <c r="W117" s="71"/>
      <c r="X117" s="71" t="s">
        <v>42</v>
      </c>
      <c r="Y117" s="500">
        <f>SUM(X112:AA116)</f>
        <v>262</v>
      </c>
      <c r="Z117" s="497"/>
      <c r="AA117" s="498"/>
      <c r="AB117" s="71"/>
      <c r="AC117" s="328" t="s">
        <v>32</v>
      </c>
      <c r="AD117" s="500">
        <f>SUM(AC112:AF116)</f>
        <v>214</v>
      </c>
      <c r="AE117" s="497"/>
      <c r="AF117" s="498"/>
      <c r="AG117" s="71"/>
      <c r="AH117" s="71" t="s">
        <v>42</v>
      </c>
      <c r="AI117" s="500">
        <f>SUM(AH112:AK116)</f>
        <v>214</v>
      </c>
      <c r="AJ117" s="497"/>
      <c r="AK117" s="498"/>
      <c r="AL117" s="71"/>
      <c r="AM117" s="500" t="s">
        <v>32</v>
      </c>
      <c r="AN117" s="498"/>
      <c r="AO117" s="500">
        <f>SUM(AM112:AP116)</f>
        <v>298</v>
      </c>
      <c r="AP117" s="497"/>
      <c r="AQ117" s="498"/>
      <c r="AR117" s="71" t="s">
        <v>42</v>
      </c>
      <c r="AS117" s="500">
        <f>SUM(AR112:AU116)</f>
        <v>298</v>
      </c>
      <c r="AT117" s="497"/>
      <c r="AU117" s="498"/>
      <c r="AV117" s="71"/>
      <c r="AW117" s="328" t="s">
        <v>32</v>
      </c>
      <c r="AX117" s="500">
        <f>SUM(AW112:AZ116)</f>
        <v>309</v>
      </c>
      <c r="AY117" s="497"/>
      <c r="AZ117" s="498"/>
      <c r="BA117" s="71"/>
      <c r="BB117" s="71" t="s">
        <v>42</v>
      </c>
      <c r="BC117" s="500">
        <f>SUM(BB112:BE116)</f>
        <v>309</v>
      </c>
      <c r="BD117" s="497"/>
      <c r="BE117" s="498"/>
      <c r="BF117" s="71"/>
      <c r="BG117" s="328" t="s">
        <v>32</v>
      </c>
      <c r="BH117" s="500">
        <f>SUM(BG112:BJ116)</f>
        <v>326</v>
      </c>
      <c r="BI117" s="497"/>
      <c r="BJ117" s="498"/>
      <c r="BK117" s="71"/>
      <c r="BL117" s="71" t="s">
        <v>42</v>
      </c>
      <c r="BM117" s="500">
        <f>SUM(BL112:BO116)</f>
        <v>326</v>
      </c>
      <c r="BN117" s="497"/>
      <c r="BO117" s="498"/>
      <c r="BP117" s="71"/>
      <c r="BQ117" s="328" t="s">
        <v>32</v>
      </c>
      <c r="BR117" s="500">
        <f>SUM(BQ112:BT116)</f>
        <v>325</v>
      </c>
      <c r="BS117" s="497"/>
      <c r="BT117" s="498"/>
      <c r="BU117" s="71"/>
      <c r="BV117" s="71" t="s">
        <v>42</v>
      </c>
      <c r="BW117" s="500">
        <f>SUM(BV112:BY116)</f>
        <v>325</v>
      </c>
      <c r="BX117" s="497"/>
      <c r="BY117" s="498"/>
      <c r="BZ117" s="71"/>
      <c r="CA117" s="328" t="s">
        <v>32</v>
      </c>
      <c r="CB117" s="500">
        <f>SUM(CA112:CD116)</f>
        <v>0</v>
      </c>
      <c r="CC117" s="497"/>
      <c r="CD117" s="498"/>
      <c r="CE117" s="71"/>
      <c r="CF117" s="71" t="s">
        <v>42</v>
      </c>
      <c r="CG117" s="500">
        <f>SUM(CF112:CI116)</f>
        <v>0</v>
      </c>
      <c r="CH117" s="497"/>
      <c r="CI117" s="498"/>
      <c r="CJ117" s="71"/>
      <c r="CK117" s="328" t="s">
        <v>32</v>
      </c>
      <c r="CL117" s="500">
        <f>SUM(CK112:CN116)</f>
        <v>332</v>
      </c>
      <c r="CM117" s="497"/>
      <c r="CN117" s="498"/>
      <c r="CO117" s="71"/>
      <c r="CP117" s="71" t="s">
        <v>42</v>
      </c>
      <c r="CQ117" s="500">
        <f>SUM(CP112:CS116)</f>
        <v>332</v>
      </c>
      <c r="CR117" s="497"/>
      <c r="CS117" s="498"/>
      <c r="CT117" s="71"/>
      <c r="CU117" s="328" t="s">
        <v>32</v>
      </c>
      <c r="CV117" s="500">
        <f>SUM(CU112:CX116)</f>
        <v>323</v>
      </c>
      <c r="CW117" s="497"/>
      <c r="CX117" s="498"/>
      <c r="CY117" s="71"/>
      <c r="CZ117" s="71" t="s">
        <v>42</v>
      </c>
      <c r="DA117" s="500">
        <f>SUM(CZ112:DC116)</f>
        <v>323</v>
      </c>
      <c r="DB117" s="497"/>
      <c r="DC117" s="498"/>
      <c r="DD117" s="71"/>
      <c r="DE117" s="328" t="s">
        <v>32</v>
      </c>
      <c r="DF117" s="500">
        <f>SUM(DE112:DH116)</f>
        <v>331</v>
      </c>
      <c r="DG117" s="497"/>
      <c r="DH117" s="498"/>
      <c r="DI117" s="71"/>
      <c r="DJ117" s="71" t="s">
        <v>42</v>
      </c>
      <c r="DK117" s="500">
        <f>SUM(DJ112:DM116)</f>
        <v>331</v>
      </c>
      <c r="DL117" s="497"/>
      <c r="DM117" s="498"/>
      <c r="DN117" s="71"/>
      <c r="DO117" s="328" t="s">
        <v>32</v>
      </c>
      <c r="DP117" s="500">
        <f>SUM(DO112:DR116)</f>
        <v>338</v>
      </c>
      <c r="DQ117" s="497"/>
      <c r="DR117" s="498"/>
      <c r="DS117" s="71"/>
      <c r="DT117" s="71" t="s">
        <v>42</v>
      </c>
      <c r="DU117" s="500">
        <f>SUM(DT112:DW116)</f>
        <v>338</v>
      </c>
      <c r="DV117" s="497"/>
      <c r="DW117" s="498"/>
      <c r="DX117" s="71"/>
      <c r="DY117" s="328" t="s">
        <v>32</v>
      </c>
      <c r="DZ117" s="500">
        <f>SUM(DY112:EB116)</f>
        <v>338</v>
      </c>
      <c r="EA117" s="497"/>
      <c r="EB117" s="498"/>
      <c r="EC117" s="71"/>
      <c r="ED117" s="71" t="s">
        <v>42</v>
      </c>
      <c r="EE117" s="500">
        <f>SUM(ED112:EG116)</f>
        <v>338</v>
      </c>
      <c r="EF117" s="497"/>
      <c r="EG117" s="498"/>
      <c r="EH117" s="71"/>
      <c r="EI117" s="328" t="s">
        <v>32</v>
      </c>
      <c r="EJ117" s="500">
        <f>SUM(EI112:EL116)</f>
        <v>335</v>
      </c>
      <c r="EK117" s="497"/>
      <c r="EL117" s="498"/>
      <c r="EM117" s="71"/>
      <c r="EN117" s="71" t="s">
        <v>42</v>
      </c>
      <c r="EO117" s="500">
        <f>SUM(EN112:EQ116)</f>
        <v>335</v>
      </c>
      <c r="EP117" s="497"/>
      <c r="EQ117" s="498"/>
      <c r="ER117" s="71"/>
      <c r="ES117" s="527"/>
      <c r="ET117" s="527"/>
      <c r="EU117" s="527"/>
      <c r="EV117" s="527"/>
      <c r="EW117" s="527"/>
      <c r="EX117" s="527"/>
      <c r="EY117" s="527"/>
      <c r="EZ117" s="527"/>
      <c r="FA117" s="527"/>
      <c r="FB117" s="527"/>
      <c r="FC117" s="527"/>
      <c r="FD117" s="527"/>
      <c r="FE117" s="527"/>
      <c r="FF117" s="527"/>
      <c r="FG117" s="527"/>
      <c r="FH117" s="513" t="s">
        <v>43</v>
      </c>
      <c r="FI117" s="514"/>
      <c r="FJ117" s="514"/>
      <c r="FK117" s="515"/>
    </row>
    <row r="118" spans="1:167" ht="18" customHeight="1">
      <c r="A118" s="2"/>
      <c r="B118" s="549"/>
      <c r="C118" s="450"/>
      <c r="D118" s="550"/>
      <c r="E118" s="449"/>
      <c r="F118" s="449"/>
      <c r="G118" s="450"/>
      <c r="H118" s="343" t="s">
        <v>44</v>
      </c>
      <c r="I118" s="516">
        <f>SUM(B8:B57)</f>
        <v>33</v>
      </c>
      <c r="J118" s="517"/>
      <c r="K118" s="518" t="s">
        <v>45</v>
      </c>
      <c r="L118" s="519"/>
      <c r="M118" s="517"/>
      <c r="N118" s="520">
        <f>SUM(B60:B109)</f>
        <v>38</v>
      </c>
      <c r="O118" s="517"/>
      <c r="P118" s="518" t="s">
        <v>46</v>
      </c>
      <c r="Q118" s="519"/>
      <c r="R118" s="517"/>
      <c r="S118" s="331">
        <f>SUM(B8:B57)</f>
        <v>33</v>
      </c>
      <c r="T118" s="500" t="s">
        <v>45</v>
      </c>
      <c r="U118" s="497"/>
      <c r="V118" s="498"/>
      <c r="W118" s="521">
        <f>SUM(B60:B109)</f>
        <v>38</v>
      </c>
      <c r="X118" s="498"/>
      <c r="Y118" s="500" t="s">
        <v>46</v>
      </c>
      <c r="Z118" s="497"/>
      <c r="AA118" s="498"/>
      <c r="AB118" s="521">
        <f>SUM(B8:B57)</f>
        <v>33</v>
      </c>
      <c r="AC118" s="498"/>
      <c r="AD118" s="500" t="s">
        <v>45</v>
      </c>
      <c r="AE118" s="497"/>
      <c r="AF118" s="498"/>
      <c r="AG118" s="521">
        <f>SUM(B60:B109)</f>
        <v>38</v>
      </c>
      <c r="AH118" s="498"/>
      <c r="AI118" s="500" t="s">
        <v>46</v>
      </c>
      <c r="AJ118" s="497"/>
      <c r="AK118" s="498"/>
      <c r="AL118" s="71"/>
      <c r="AM118" s="521">
        <f>SUM(B8:B57)</f>
        <v>33</v>
      </c>
      <c r="AN118" s="498"/>
      <c r="AO118" s="500" t="s">
        <v>45</v>
      </c>
      <c r="AP118" s="497"/>
      <c r="AQ118" s="498"/>
      <c r="AR118" s="521">
        <f>SUM(B60:B109)</f>
        <v>38</v>
      </c>
      <c r="AS118" s="498"/>
      <c r="AT118" s="500" t="s">
        <v>46</v>
      </c>
      <c r="AU118" s="497"/>
      <c r="AV118" s="498"/>
      <c r="AW118" s="521">
        <f>BG118</f>
        <v>33</v>
      </c>
      <c r="AX118" s="498"/>
      <c r="AY118" s="500" t="s">
        <v>45</v>
      </c>
      <c r="AZ118" s="497"/>
      <c r="BA118" s="498"/>
      <c r="BB118" s="521">
        <f>SUM(B60:B109)</f>
        <v>38</v>
      </c>
      <c r="BC118" s="498"/>
      <c r="BD118" s="500" t="s">
        <v>46</v>
      </c>
      <c r="BE118" s="497"/>
      <c r="BF118" s="498"/>
      <c r="BG118" s="521">
        <f>SUM(B8:B57)</f>
        <v>33</v>
      </c>
      <c r="BH118" s="498"/>
      <c r="BI118" s="500" t="s">
        <v>45</v>
      </c>
      <c r="BJ118" s="497"/>
      <c r="BK118" s="498"/>
      <c r="BL118" s="521">
        <f>SUM(B60:B109)</f>
        <v>38</v>
      </c>
      <c r="BM118" s="498"/>
      <c r="BN118" s="500" t="s">
        <v>46</v>
      </c>
      <c r="BO118" s="497"/>
      <c r="BP118" s="498"/>
      <c r="BQ118" s="521">
        <f>SUM(B8:B57)</f>
        <v>33</v>
      </c>
      <c r="BR118" s="498"/>
      <c r="BS118" s="500" t="s">
        <v>45</v>
      </c>
      <c r="BT118" s="497"/>
      <c r="BU118" s="498"/>
      <c r="BV118" s="80">
        <f>SUM(B60:B109)</f>
        <v>38</v>
      </c>
      <c r="BW118" s="500" t="s">
        <v>46</v>
      </c>
      <c r="BX118" s="497"/>
      <c r="BY118" s="498"/>
      <c r="BZ118" s="71"/>
      <c r="CA118" s="521">
        <f>SUM(B8:B57)</f>
        <v>33</v>
      </c>
      <c r="CB118" s="498"/>
      <c r="CC118" s="500" t="s">
        <v>45</v>
      </c>
      <c r="CD118" s="497"/>
      <c r="CE118" s="498"/>
      <c r="CF118" s="521">
        <f>SUM(B60:B109)</f>
        <v>38</v>
      </c>
      <c r="CG118" s="498"/>
      <c r="CH118" s="500" t="s">
        <v>46</v>
      </c>
      <c r="CI118" s="497"/>
      <c r="CJ118" s="498"/>
      <c r="CK118" s="521">
        <f>SUM(B8:B57)</f>
        <v>33</v>
      </c>
      <c r="CL118" s="498"/>
      <c r="CM118" s="500" t="s">
        <v>45</v>
      </c>
      <c r="CN118" s="498"/>
      <c r="CO118" s="71"/>
      <c r="CP118" s="521">
        <f>SUM(B60:B109)</f>
        <v>38</v>
      </c>
      <c r="CQ118" s="498"/>
      <c r="CR118" s="500" t="s">
        <v>46</v>
      </c>
      <c r="CS118" s="497"/>
      <c r="CT118" s="498"/>
      <c r="CU118" s="521">
        <f>SUM(B8:B57)</f>
        <v>33</v>
      </c>
      <c r="CV118" s="498"/>
      <c r="CW118" s="500" t="s">
        <v>45</v>
      </c>
      <c r="CX118" s="497"/>
      <c r="CY118" s="498"/>
      <c r="CZ118" s="521">
        <f>SUM(B60:B109)</f>
        <v>38</v>
      </c>
      <c r="DA118" s="498"/>
      <c r="DB118" s="500" t="s">
        <v>46</v>
      </c>
      <c r="DC118" s="497"/>
      <c r="DD118" s="498"/>
      <c r="DE118" s="521">
        <f>SUM(B8:B57)</f>
        <v>33</v>
      </c>
      <c r="DF118" s="498"/>
      <c r="DG118" s="500" t="s">
        <v>45</v>
      </c>
      <c r="DH118" s="497"/>
      <c r="DI118" s="498"/>
      <c r="DJ118" s="521">
        <f>SUM(B60:B109)</f>
        <v>38</v>
      </c>
      <c r="DK118" s="498"/>
      <c r="DL118" s="500" t="s">
        <v>46</v>
      </c>
      <c r="DM118" s="497"/>
      <c r="DN118" s="498"/>
      <c r="DO118" s="521">
        <f>SUM(B8:B57)</f>
        <v>33</v>
      </c>
      <c r="DP118" s="498"/>
      <c r="DQ118" s="500" t="s">
        <v>45</v>
      </c>
      <c r="DR118" s="497"/>
      <c r="DS118" s="498"/>
      <c r="DT118" s="521">
        <f>SUM(B60:B109)</f>
        <v>38</v>
      </c>
      <c r="DU118" s="498"/>
      <c r="DV118" s="500" t="s">
        <v>46</v>
      </c>
      <c r="DW118" s="497"/>
      <c r="DX118" s="498"/>
      <c r="DY118" s="521">
        <f>SUM(B8:B57)</f>
        <v>33</v>
      </c>
      <c r="DZ118" s="498"/>
      <c r="EA118" s="500" t="s">
        <v>45</v>
      </c>
      <c r="EB118" s="497"/>
      <c r="EC118" s="498"/>
      <c r="ED118" s="521">
        <f>SUM(B60:B109)</f>
        <v>38</v>
      </c>
      <c r="EE118" s="498"/>
      <c r="EF118" s="500" t="s">
        <v>46</v>
      </c>
      <c r="EG118" s="497"/>
      <c r="EH118" s="498"/>
      <c r="EI118" s="521">
        <f>SUM(B8:B57)</f>
        <v>33</v>
      </c>
      <c r="EJ118" s="498"/>
      <c r="EK118" s="500" t="s">
        <v>45</v>
      </c>
      <c r="EL118" s="497"/>
      <c r="EM118" s="498"/>
      <c r="EN118" s="521">
        <f>SUM(B60:B109)</f>
        <v>38</v>
      </c>
      <c r="EO118" s="498"/>
      <c r="EP118" s="500" t="s">
        <v>46</v>
      </c>
      <c r="EQ118" s="497"/>
      <c r="ER118" s="498"/>
      <c r="ES118" s="337">
        <f>ROW(ET5)</f>
        <v>5</v>
      </c>
      <c r="ET118" s="337">
        <v>2</v>
      </c>
      <c r="EU118" s="337">
        <v>3</v>
      </c>
      <c r="EV118" s="337">
        <v>4</v>
      </c>
      <c r="EW118" s="337">
        <v>5</v>
      </c>
      <c r="EX118" s="337">
        <v>6</v>
      </c>
      <c r="EY118" s="337">
        <v>7</v>
      </c>
      <c r="EZ118" s="337">
        <v>8</v>
      </c>
      <c r="FA118" s="337">
        <v>9</v>
      </c>
      <c r="FB118" s="337">
        <v>10</v>
      </c>
      <c r="FC118" s="337">
        <v>11</v>
      </c>
      <c r="FD118" s="337">
        <v>12</v>
      </c>
      <c r="FE118" s="337">
        <v>13</v>
      </c>
      <c r="FF118" s="337">
        <v>14</v>
      </c>
      <c r="FG118" s="338"/>
      <c r="FH118" s="339" t="s">
        <v>45</v>
      </c>
      <c r="FI118" s="522" t="s">
        <v>46</v>
      </c>
      <c r="FJ118" s="504"/>
      <c r="FK118" s="543"/>
    </row>
    <row r="119" spans="1:167" ht="18.75" customHeight="1">
      <c r="A119" s="8"/>
      <c r="B119" s="546"/>
      <c r="C119" s="457"/>
      <c r="D119" s="546"/>
      <c r="E119" s="456"/>
      <c r="F119" s="456"/>
      <c r="G119" s="457"/>
      <c r="H119" s="344" t="s">
        <v>47</v>
      </c>
      <c r="I119" s="523">
        <f>((J117*2)/((I118+N118)*10))</f>
        <v>0.44788732394366199</v>
      </c>
      <c r="J119" s="497"/>
      <c r="K119" s="497"/>
      <c r="L119" s="497"/>
      <c r="M119" s="497"/>
      <c r="N119" s="497"/>
      <c r="O119" s="497"/>
      <c r="P119" s="497"/>
      <c r="Q119" s="498"/>
      <c r="R119" s="71"/>
      <c r="S119" s="523">
        <f>((T117*2)/((S118+W118)*10))</f>
        <v>0.73802816901408452</v>
      </c>
      <c r="T119" s="497"/>
      <c r="U119" s="497"/>
      <c r="V119" s="497"/>
      <c r="W119" s="497"/>
      <c r="X119" s="497"/>
      <c r="Y119" s="497"/>
      <c r="Z119" s="497"/>
      <c r="AA119" s="498"/>
      <c r="AB119" s="523">
        <f>((AD117*2)/((S118+W118)*10))</f>
        <v>0.60281690140845068</v>
      </c>
      <c r="AC119" s="497"/>
      <c r="AD119" s="497"/>
      <c r="AE119" s="497"/>
      <c r="AF119" s="497"/>
      <c r="AG119" s="497"/>
      <c r="AH119" s="497"/>
      <c r="AI119" s="497"/>
      <c r="AJ119" s="497"/>
      <c r="AK119" s="498"/>
      <c r="AL119" s="524">
        <f>((AO117*2)/((S118+W118)*10))</f>
        <v>0.83943661971830985</v>
      </c>
      <c r="AM119" s="497"/>
      <c r="AN119" s="497"/>
      <c r="AO119" s="497"/>
      <c r="AP119" s="497"/>
      <c r="AQ119" s="497"/>
      <c r="AR119" s="497"/>
      <c r="AS119" s="497"/>
      <c r="AT119" s="497"/>
      <c r="AU119" s="497"/>
      <c r="AV119" s="498"/>
      <c r="AW119" s="524">
        <f>((AX117*2)/((S118+W118)*10))</f>
        <v>0.87042253521126756</v>
      </c>
      <c r="AX119" s="497"/>
      <c r="AY119" s="497"/>
      <c r="AZ119" s="497"/>
      <c r="BA119" s="497"/>
      <c r="BB119" s="497"/>
      <c r="BC119" s="497"/>
      <c r="BD119" s="497"/>
      <c r="BE119" s="497"/>
      <c r="BF119" s="498"/>
      <c r="BG119" s="524">
        <f>((BH117*2)/((I118+N118)*10))</f>
        <v>0.91830985915492958</v>
      </c>
      <c r="BH119" s="497"/>
      <c r="BI119" s="497"/>
      <c r="BJ119" s="497"/>
      <c r="BK119" s="497"/>
      <c r="BL119" s="497"/>
      <c r="BM119" s="497"/>
      <c r="BN119" s="497"/>
      <c r="BO119" s="497"/>
      <c r="BP119" s="498"/>
      <c r="BQ119" s="524">
        <f>((BR117*2)/((I118+N118)*10))</f>
        <v>0.91549295774647887</v>
      </c>
      <c r="BR119" s="497"/>
      <c r="BS119" s="497"/>
      <c r="BT119" s="497"/>
      <c r="BU119" s="497"/>
      <c r="BV119" s="497"/>
      <c r="BW119" s="497"/>
      <c r="BX119" s="497"/>
      <c r="BY119" s="497"/>
      <c r="BZ119" s="498"/>
      <c r="CA119" s="524">
        <f>((CB117*2)/((I118+N118)*10))</f>
        <v>0</v>
      </c>
      <c r="CB119" s="497"/>
      <c r="CC119" s="497"/>
      <c r="CD119" s="497"/>
      <c r="CE119" s="497"/>
      <c r="CF119" s="497"/>
      <c r="CG119" s="497"/>
      <c r="CH119" s="497"/>
      <c r="CI119" s="497"/>
      <c r="CJ119" s="498"/>
      <c r="CK119" s="524">
        <f>((CL117*2)/((I118+N118)*10))</f>
        <v>0.93521126760563378</v>
      </c>
      <c r="CL119" s="497"/>
      <c r="CM119" s="497"/>
      <c r="CN119" s="497"/>
      <c r="CO119" s="497"/>
      <c r="CP119" s="497"/>
      <c r="CQ119" s="497"/>
      <c r="CR119" s="497"/>
      <c r="CS119" s="497"/>
      <c r="CT119" s="498"/>
      <c r="CU119" s="524">
        <f>((CV117*2)/((I118+N118)*10))</f>
        <v>0.90985915492957747</v>
      </c>
      <c r="CV119" s="497"/>
      <c r="CW119" s="497"/>
      <c r="CX119" s="497"/>
      <c r="CY119" s="497"/>
      <c r="CZ119" s="497"/>
      <c r="DA119" s="497"/>
      <c r="DB119" s="497"/>
      <c r="DC119" s="497"/>
      <c r="DD119" s="498"/>
      <c r="DE119" s="524">
        <f>((DF117*2)/((I118+N118)*10))</f>
        <v>0.93239436619718308</v>
      </c>
      <c r="DF119" s="497"/>
      <c r="DG119" s="497"/>
      <c r="DH119" s="497"/>
      <c r="DI119" s="497"/>
      <c r="DJ119" s="497"/>
      <c r="DK119" s="497"/>
      <c r="DL119" s="497"/>
      <c r="DM119" s="497"/>
      <c r="DN119" s="498"/>
      <c r="DO119" s="524">
        <f>((DP117*2)/((I118+N118)*10))</f>
        <v>0.95211267605633798</v>
      </c>
      <c r="DP119" s="497"/>
      <c r="DQ119" s="497"/>
      <c r="DR119" s="497"/>
      <c r="DS119" s="497"/>
      <c r="DT119" s="497"/>
      <c r="DU119" s="497"/>
      <c r="DV119" s="497"/>
      <c r="DW119" s="497"/>
      <c r="DX119" s="498"/>
      <c r="DY119" s="524">
        <f>((DZ117*2)/((I118+N118)*10))</f>
        <v>0.95211267605633798</v>
      </c>
      <c r="DZ119" s="497"/>
      <c r="EA119" s="497"/>
      <c r="EB119" s="497"/>
      <c r="EC119" s="497"/>
      <c r="ED119" s="497"/>
      <c r="EE119" s="497"/>
      <c r="EF119" s="497"/>
      <c r="EG119" s="497"/>
      <c r="EH119" s="498"/>
      <c r="EI119" s="524">
        <f>((EJ117*2)/((I118+N118)*10))</f>
        <v>0.94366197183098588</v>
      </c>
      <c r="EJ119" s="497"/>
      <c r="EK119" s="497"/>
      <c r="EL119" s="497"/>
      <c r="EM119" s="497"/>
      <c r="EN119" s="497"/>
      <c r="EO119" s="497"/>
      <c r="EP119" s="497"/>
      <c r="EQ119" s="497"/>
      <c r="ER119" s="498"/>
      <c r="ES119" s="165"/>
      <c r="ET119" s="165"/>
      <c r="EU119" s="165"/>
      <c r="EV119" s="165"/>
      <c r="EW119" s="165"/>
      <c r="EX119" s="165"/>
      <c r="EY119" s="165"/>
      <c r="EZ119" s="165"/>
      <c r="FA119" s="165"/>
      <c r="FB119" s="165"/>
      <c r="FC119" s="165"/>
      <c r="FD119" s="165"/>
      <c r="FE119" s="165"/>
      <c r="FF119" s="165"/>
      <c r="FG119" s="340"/>
      <c r="FH119" s="341">
        <f>SUM(I8:ER57)</f>
        <v>3652</v>
      </c>
      <c r="FI119" s="510">
        <f>SUM(I60:ER109)</f>
        <v>4128</v>
      </c>
      <c r="FJ119" s="511"/>
      <c r="FK119" s="544"/>
    </row>
    <row r="120" spans="1:167" ht="15.75" customHeight="1">
      <c r="D120" s="547"/>
      <c r="E120" s="548"/>
      <c r="F120" s="548"/>
      <c r="G120" s="548"/>
      <c r="I120" s="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</row>
    <row r="121" spans="1:167" ht="15.75" customHeight="1">
      <c r="D121" s="548"/>
      <c r="E121" s="548"/>
      <c r="F121" s="548"/>
      <c r="G121" s="548"/>
    </row>
    <row r="122" spans="1:167" ht="15.75" customHeight="1">
      <c r="D122" s="548"/>
      <c r="E122" s="548"/>
      <c r="F122" s="548"/>
      <c r="G122" s="548"/>
    </row>
    <row r="123" spans="1:167" ht="15.75" customHeight="1"/>
    <row r="124" spans="1:167" ht="15.75" customHeight="1"/>
    <row r="125" spans="1:167" ht="15.75" customHeight="1"/>
    <row r="126" spans="1:167" ht="15.75" customHeight="1">
      <c r="S126" s="10"/>
    </row>
    <row r="127" spans="1:167" ht="15.75" customHeight="1"/>
    <row r="128" spans="1:16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8DB3" sheet="1" objects="1" scenarios="1"/>
  <mergeCells count="440">
    <mergeCell ref="AG8:AH109"/>
    <mergeCell ref="CA8:CJ109"/>
    <mergeCell ref="FK118:FK119"/>
    <mergeCell ref="B114:C115"/>
    <mergeCell ref="D114:G115"/>
    <mergeCell ref="D120:G122"/>
    <mergeCell ref="B118:C119"/>
    <mergeCell ref="D118:G119"/>
    <mergeCell ref="A1:D4"/>
    <mergeCell ref="B111:G113"/>
    <mergeCell ref="B116:C117"/>
    <mergeCell ref="D116:G117"/>
    <mergeCell ref="FC111:FC114"/>
    <mergeCell ref="FC115:FC117"/>
    <mergeCell ref="FD111:FD114"/>
    <mergeCell ref="FD115:FD117"/>
    <mergeCell ref="FE111:FE114"/>
    <mergeCell ref="FE115:FE117"/>
    <mergeCell ref="FF111:FF114"/>
    <mergeCell ref="FF115:FF117"/>
    <mergeCell ref="FG111:FG114"/>
    <mergeCell ref="FG115:FG117"/>
    <mergeCell ref="EX111:EX114"/>
    <mergeCell ref="EX115:EX117"/>
    <mergeCell ref="EY111:EY114"/>
    <mergeCell ref="EY115:EY117"/>
    <mergeCell ref="EZ111:EZ114"/>
    <mergeCell ref="EZ115:EZ117"/>
    <mergeCell ref="FA111:FA114"/>
    <mergeCell ref="FA115:FA117"/>
    <mergeCell ref="FB111:FB114"/>
    <mergeCell ref="FB115:FB117"/>
    <mergeCell ref="ES111:ES114"/>
    <mergeCell ref="ES115:ES117"/>
    <mergeCell ref="ET111:ET114"/>
    <mergeCell ref="ET115:ET117"/>
    <mergeCell ref="EU111:EU114"/>
    <mergeCell ref="EU115:EU117"/>
    <mergeCell ref="EV111:EV114"/>
    <mergeCell ref="EV115:EV117"/>
    <mergeCell ref="EW111:EW114"/>
    <mergeCell ref="EW115:EW117"/>
    <mergeCell ref="FI118:FJ118"/>
    <mergeCell ref="I119:Q119"/>
    <mergeCell ref="S119:AA119"/>
    <mergeCell ref="AB119:AK119"/>
    <mergeCell ref="AL119:AV119"/>
    <mergeCell ref="AW119:BF119"/>
    <mergeCell ref="BG119:BP119"/>
    <mergeCell ref="BQ119:BZ119"/>
    <mergeCell ref="CA119:CJ119"/>
    <mergeCell ref="CK119:CT119"/>
    <mergeCell ref="CU119:DD119"/>
    <mergeCell ref="DE119:DN119"/>
    <mergeCell ref="DO119:DX119"/>
    <mergeCell ref="DY119:EH119"/>
    <mergeCell ref="EI119:ER119"/>
    <mergeCell ref="FI119:FJ119"/>
    <mergeCell ref="DV118:DX118"/>
    <mergeCell ref="DY118:DZ118"/>
    <mergeCell ref="EA118:EC118"/>
    <mergeCell ref="ED118:EE118"/>
    <mergeCell ref="EF118:EH118"/>
    <mergeCell ref="EI118:EJ118"/>
    <mergeCell ref="EK118:EM118"/>
    <mergeCell ref="EN118:EO118"/>
    <mergeCell ref="EP118:ER118"/>
    <mergeCell ref="CZ118:DA118"/>
    <mergeCell ref="DB118:DD118"/>
    <mergeCell ref="DE118:DF118"/>
    <mergeCell ref="DG118:DI118"/>
    <mergeCell ref="DJ118:DK118"/>
    <mergeCell ref="DL118:DN118"/>
    <mergeCell ref="DO118:DP118"/>
    <mergeCell ref="DQ118:DS118"/>
    <mergeCell ref="DT118:DU118"/>
    <mergeCell ref="CC118:CE118"/>
    <mergeCell ref="CF118:CG118"/>
    <mergeCell ref="CH118:CJ118"/>
    <mergeCell ref="CK118:CL118"/>
    <mergeCell ref="CM118:CN118"/>
    <mergeCell ref="CP118:CQ118"/>
    <mergeCell ref="CR118:CT118"/>
    <mergeCell ref="CU118:CV118"/>
    <mergeCell ref="CW118:CY118"/>
    <mergeCell ref="BD118:BF118"/>
    <mergeCell ref="BG118:BH118"/>
    <mergeCell ref="BI118:BK118"/>
    <mergeCell ref="BL118:BM118"/>
    <mergeCell ref="BN118:BP118"/>
    <mergeCell ref="BQ118:BR118"/>
    <mergeCell ref="BS118:BU118"/>
    <mergeCell ref="BW118:BY118"/>
    <mergeCell ref="CA118:CB118"/>
    <mergeCell ref="AG118:AH118"/>
    <mergeCell ref="AI118:AK118"/>
    <mergeCell ref="AM118:AN118"/>
    <mergeCell ref="AO118:AQ118"/>
    <mergeCell ref="AR118:AS118"/>
    <mergeCell ref="AT118:AV118"/>
    <mergeCell ref="AW118:AX118"/>
    <mergeCell ref="AY118:BA118"/>
    <mergeCell ref="BB118:BC118"/>
    <mergeCell ref="I118:J118"/>
    <mergeCell ref="K118:M118"/>
    <mergeCell ref="N118:O118"/>
    <mergeCell ref="P118:R118"/>
    <mergeCell ref="T118:V118"/>
    <mergeCell ref="W118:X118"/>
    <mergeCell ref="Y118:AA118"/>
    <mergeCell ref="AB118:AC118"/>
    <mergeCell ref="AD118:AF118"/>
    <mergeCell ref="DF117:DH117"/>
    <mergeCell ref="DK117:DM117"/>
    <mergeCell ref="DP117:DR117"/>
    <mergeCell ref="DU117:DW117"/>
    <mergeCell ref="DZ117:EB117"/>
    <mergeCell ref="EE117:EG117"/>
    <mergeCell ref="EJ117:EL117"/>
    <mergeCell ref="EO117:EQ117"/>
    <mergeCell ref="FH117:FK117"/>
    <mergeCell ref="EI116:EL116"/>
    <mergeCell ref="EN116:EQ116"/>
    <mergeCell ref="FH116:FJ116"/>
    <mergeCell ref="J117:L117"/>
    <mergeCell ref="O117:Q117"/>
    <mergeCell ref="T117:V117"/>
    <mergeCell ref="Y117:AA117"/>
    <mergeCell ref="AD117:AF117"/>
    <mergeCell ref="AI117:AK117"/>
    <mergeCell ref="AM117:AN117"/>
    <mergeCell ref="AO117:AQ117"/>
    <mergeCell ref="AS117:AU117"/>
    <mergeCell ref="AX117:AZ117"/>
    <mergeCell ref="BC117:BE117"/>
    <mergeCell ref="BH117:BJ117"/>
    <mergeCell ref="BM117:BO117"/>
    <mergeCell ref="BR117:BT117"/>
    <mergeCell ref="BW117:BY117"/>
    <mergeCell ref="CB117:CD117"/>
    <mergeCell ref="CG117:CI117"/>
    <mergeCell ref="CL117:CN117"/>
    <mergeCell ref="CQ117:CS117"/>
    <mergeCell ref="CV117:CX117"/>
    <mergeCell ref="DA117:DC117"/>
    <mergeCell ref="CP116:CS116"/>
    <mergeCell ref="CU116:CX116"/>
    <mergeCell ref="CZ116:DC116"/>
    <mergeCell ref="DE116:DH116"/>
    <mergeCell ref="DJ116:DM116"/>
    <mergeCell ref="DO116:DR116"/>
    <mergeCell ref="DT116:DW116"/>
    <mergeCell ref="DY116:EB116"/>
    <mergeCell ref="ED116:EG116"/>
    <mergeCell ref="DO115:DR115"/>
    <mergeCell ref="DT115:DW115"/>
    <mergeCell ref="DY115:EB115"/>
    <mergeCell ref="ED115:EG115"/>
    <mergeCell ref="EI115:EL115"/>
    <mergeCell ref="EN115:EQ115"/>
    <mergeCell ref="FH115:FJ115"/>
    <mergeCell ref="I116:L116"/>
    <mergeCell ref="N116:Q116"/>
    <mergeCell ref="S116:V116"/>
    <mergeCell ref="X116:AA116"/>
    <mergeCell ref="AC116:AF116"/>
    <mergeCell ref="AH116:AK116"/>
    <mergeCell ref="AM116:AP116"/>
    <mergeCell ref="AR116:AU116"/>
    <mergeCell ref="AW116:AZ116"/>
    <mergeCell ref="BB116:BE116"/>
    <mergeCell ref="BG116:BJ116"/>
    <mergeCell ref="BL116:BO116"/>
    <mergeCell ref="BQ116:BT116"/>
    <mergeCell ref="BV116:BY116"/>
    <mergeCell ref="CA116:CD116"/>
    <mergeCell ref="CF116:CI116"/>
    <mergeCell ref="CK116:CN116"/>
    <mergeCell ref="EN114:EQ114"/>
    <mergeCell ref="FH114:FJ114"/>
    <mergeCell ref="I115:L115"/>
    <mergeCell ref="N115:Q115"/>
    <mergeCell ref="S115:V115"/>
    <mergeCell ref="X115:AA115"/>
    <mergeCell ref="AC115:AF115"/>
    <mergeCell ref="AH115:AK115"/>
    <mergeCell ref="AM115:AP115"/>
    <mergeCell ref="AR115:AU115"/>
    <mergeCell ref="AW115:AZ115"/>
    <mergeCell ref="BB115:BE115"/>
    <mergeCell ref="BG115:BJ115"/>
    <mergeCell ref="BL115:BO115"/>
    <mergeCell ref="BQ115:BT115"/>
    <mergeCell ref="BV115:BY115"/>
    <mergeCell ref="CA115:CD115"/>
    <mergeCell ref="CF115:CI115"/>
    <mergeCell ref="CK115:CN115"/>
    <mergeCell ref="CP115:CS115"/>
    <mergeCell ref="CU115:CX115"/>
    <mergeCell ref="CZ115:DC115"/>
    <mergeCell ref="DE115:DH115"/>
    <mergeCell ref="DJ115:DM115"/>
    <mergeCell ref="CU114:CX114"/>
    <mergeCell ref="CZ114:DC114"/>
    <mergeCell ref="DE114:DH114"/>
    <mergeCell ref="DJ114:DM114"/>
    <mergeCell ref="DO114:DR114"/>
    <mergeCell ref="DT114:DW114"/>
    <mergeCell ref="DY114:EB114"/>
    <mergeCell ref="ED114:EG114"/>
    <mergeCell ref="EI114:EL114"/>
    <mergeCell ref="DT113:DW113"/>
    <mergeCell ref="DY113:EB113"/>
    <mergeCell ref="ED113:EG113"/>
    <mergeCell ref="EI113:EL113"/>
    <mergeCell ref="EN113:EQ113"/>
    <mergeCell ref="FH113:FK113"/>
    <mergeCell ref="I114:L114"/>
    <mergeCell ref="N114:Q114"/>
    <mergeCell ref="S114:V114"/>
    <mergeCell ref="X114:AA114"/>
    <mergeCell ref="AC114:AF114"/>
    <mergeCell ref="AH114:AK114"/>
    <mergeCell ref="AM114:AP114"/>
    <mergeCell ref="AR114:AU114"/>
    <mergeCell ref="AW114:AZ114"/>
    <mergeCell ref="BB114:BE114"/>
    <mergeCell ref="BG114:BJ114"/>
    <mergeCell ref="BL114:BO114"/>
    <mergeCell ref="BQ114:BT114"/>
    <mergeCell ref="BV114:BY114"/>
    <mergeCell ref="CA114:CD114"/>
    <mergeCell ref="CF114:CI114"/>
    <mergeCell ref="CK114:CN114"/>
    <mergeCell ref="CP114:CS114"/>
    <mergeCell ref="FH112:FJ112"/>
    <mergeCell ref="I113:L113"/>
    <mergeCell ref="N113:Q113"/>
    <mergeCell ref="S113:V113"/>
    <mergeCell ref="X113:AA113"/>
    <mergeCell ref="AC113:AF113"/>
    <mergeCell ref="AH113:AK113"/>
    <mergeCell ref="AM113:AP113"/>
    <mergeCell ref="AR113:AU113"/>
    <mergeCell ref="AW113:AZ113"/>
    <mergeCell ref="BB113:BE113"/>
    <mergeCell ref="BG113:BJ113"/>
    <mergeCell ref="BL113:BO113"/>
    <mergeCell ref="BQ113:BT113"/>
    <mergeCell ref="BV113:BY113"/>
    <mergeCell ref="CA113:CD113"/>
    <mergeCell ref="CF113:CI113"/>
    <mergeCell ref="CK113:CN113"/>
    <mergeCell ref="CP113:CS113"/>
    <mergeCell ref="CU113:CX113"/>
    <mergeCell ref="CZ113:DC113"/>
    <mergeCell ref="DE113:DH113"/>
    <mergeCell ref="DJ113:DM113"/>
    <mergeCell ref="DO113:DR113"/>
    <mergeCell ref="CZ112:DC112"/>
    <mergeCell ref="DE112:DH112"/>
    <mergeCell ref="DJ112:DM112"/>
    <mergeCell ref="DO112:DR112"/>
    <mergeCell ref="DT112:DW112"/>
    <mergeCell ref="DY112:EB112"/>
    <mergeCell ref="ED112:EG112"/>
    <mergeCell ref="EI112:EL112"/>
    <mergeCell ref="EN112:EQ112"/>
    <mergeCell ref="DT111:DW111"/>
    <mergeCell ref="DY111:EB111"/>
    <mergeCell ref="ED111:EG111"/>
    <mergeCell ref="EI111:EL111"/>
    <mergeCell ref="EN111:EQ111"/>
    <mergeCell ref="I112:L112"/>
    <mergeCell ref="N112:Q112"/>
    <mergeCell ref="S112:V112"/>
    <mergeCell ref="X112:AA112"/>
    <mergeCell ref="AC112:AF112"/>
    <mergeCell ref="AH112:AK112"/>
    <mergeCell ref="AM112:AP112"/>
    <mergeCell ref="AR112:AU112"/>
    <mergeCell ref="AW112:AZ112"/>
    <mergeCell ref="BB112:BE112"/>
    <mergeCell ref="BG112:BJ112"/>
    <mergeCell ref="BL112:BO112"/>
    <mergeCell ref="BQ112:BT112"/>
    <mergeCell ref="BV112:BY112"/>
    <mergeCell ref="CA112:CD112"/>
    <mergeCell ref="CF112:CI112"/>
    <mergeCell ref="CK112:CN112"/>
    <mergeCell ref="CP112:CS112"/>
    <mergeCell ref="CU112:CX112"/>
    <mergeCell ref="CA111:CD111"/>
    <mergeCell ref="CF111:CI111"/>
    <mergeCell ref="CK111:CN111"/>
    <mergeCell ref="CP111:CS111"/>
    <mergeCell ref="CU111:CX111"/>
    <mergeCell ref="CZ111:DC111"/>
    <mergeCell ref="DE111:DH111"/>
    <mergeCell ref="DJ111:DM111"/>
    <mergeCell ref="DO111:DR111"/>
    <mergeCell ref="AH111:AK111"/>
    <mergeCell ref="AM111:AP111"/>
    <mergeCell ref="AR111:AU111"/>
    <mergeCell ref="AW111:AZ111"/>
    <mergeCell ref="BB111:BE111"/>
    <mergeCell ref="BG111:BJ111"/>
    <mergeCell ref="BL111:BO111"/>
    <mergeCell ref="BQ111:BT111"/>
    <mergeCell ref="BV111:BY111"/>
    <mergeCell ref="G106:H106"/>
    <mergeCell ref="G107:H107"/>
    <mergeCell ref="G108:H108"/>
    <mergeCell ref="G109:H109"/>
    <mergeCell ref="I111:L111"/>
    <mergeCell ref="N111:Q111"/>
    <mergeCell ref="S111:V111"/>
    <mergeCell ref="X111:AA111"/>
    <mergeCell ref="AC111:AF111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E1:FK1"/>
    <mergeCell ref="E2:FK2"/>
    <mergeCell ref="E3:FK3"/>
    <mergeCell ref="E4:FK4"/>
    <mergeCell ref="C5:X5"/>
    <mergeCell ref="Y5:FK5"/>
    <mergeCell ref="G6:H6"/>
    <mergeCell ref="I6:R6"/>
    <mergeCell ref="S6:AB6"/>
    <mergeCell ref="AC6:AL6"/>
    <mergeCell ref="AM6:AV6"/>
    <mergeCell ref="AW6:BF6"/>
    <mergeCell ref="BG6:BP6"/>
    <mergeCell ref="BQ6:BZ6"/>
    <mergeCell ref="CA6:CJ6"/>
    <mergeCell ref="CK6:CT6"/>
    <mergeCell ref="CU6:DD6"/>
    <mergeCell ref="DE6:DN6"/>
    <mergeCell ref="DO6:DX6"/>
    <mergeCell ref="DY6:EH6"/>
    <mergeCell ref="EI6:ER6"/>
    <mergeCell ref="ES6:FF6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1000"/>
  <sheetViews>
    <sheetView topLeftCell="CV105" zoomScaleNormal="100" workbookViewId="0">
      <selection activeCell="ES118" sqref="ES118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7.7109375" customWidth="1"/>
    <col min="4" max="4" width="36.140625" customWidth="1"/>
    <col min="5" max="5" width="10.28515625" customWidth="1"/>
    <col min="6" max="6" width="6.140625" customWidth="1"/>
    <col min="7" max="7" width="5.140625" customWidth="1"/>
    <col min="8" max="8" width="7" customWidth="1"/>
    <col min="9" max="9" width="2.28515625" customWidth="1"/>
    <col min="10" max="13" width="1.85546875" customWidth="1"/>
    <col min="14" max="14" width="2.28515625" customWidth="1"/>
    <col min="15" max="16" width="2.140625" customWidth="1"/>
    <col min="17" max="18" width="2.28515625" customWidth="1"/>
    <col min="19" max="19" width="4.42578125" customWidth="1"/>
    <col min="20" max="20" width="2.28515625" customWidth="1"/>
    <col min="21" max="21" width="2.42578125" customWidth="1"/>
    <col min="22" max="22" width="2.28515625" customWidth="1"/>
    <col min="23" max="23" width="2.140625" customWidth="1"/>
    <col min="24" max="24" width="2.7109375" customWidth="1"/>
    <col min="25" max="25" width="2.42578125" customWidth="1"/>
    <col min="26" max="26" width="2.5703125" customWidth="1"/>
    <col min="27" max="27" width="2.42578125" customWidth="1"/>
    <col min="28" max="28" width="2.7109375" customWidth="1"/>
    <col min="29" max="29" width="2.42578125" customWidth="1"/>
    <col min="30" max="30" width="2.140625" customWidth="1"/>
    <col min="31" max="31" width="2.28515625" customWidth="1"/>
    <col min="32" max="32" width="2.5703125" customWidth="1"/>
    <col min="33" max="33" width="2.42578125" customWidth="1"/>
    <col min="34" max="34" width="2.5703125" customWidth="1"/>
    <col min="35" max="35" width="2.140625" customWidth="1"/>
    <col min="36" max="36" width="2.7109375" customWidth="1"/>
    <col min="37" max="37" width="2.42578125" customWidth="1"/>
    <col min="38" max="38" width="2.28515625" customWidth="1"/>
    <col min="39" max="39" width="2.42578125" customWidth="1"/>
    <col min="40" max="40" width="2.5703125" customWidth="1"/>
    <col min="41" max="41" width="1.85546875" customWidth="1"/>
    <col min="42" max="43" width="2.140625" customWidth="1"/>
    <col min="44" max="44" width="2" customWidth="1"/>
    <col min="45" max="45" width="2.42578125" customWidth="1"/>
    <col min="46" max="46" width="2.28515625" customWidth="1"/>
    <col min="47" max="47" width="2.140625" customWidth="1"/>
    <col min="48" max="48" width="2.42578125" customWidth="1"/>
    <col min="49" max="49" width="2.5703125" customWidth="1"/>
    <col min="50" max="51" width="2" customWidth="1"/>
    <col min="52" max="52" width="2.28515625" customWidth="1"/>
    <col min="53" max="53" width="2.140625" customWidth="1"/>
    <col min="54" max="54" width="2.28515625" customWidth="1"/>
    <col min="55" max="56" width="2" customWidth="1"/>
    <col min="57" max="57" width="2.140625" customWidth="1"/>
    <col min="58" max="58" width="2.42578125" customWidth="1"/>
    <col min="59" max="59" width="2" customWidth="1"/>
    <col min="60" max="60" width="2.28515625" customWidth="1"/>
    <col min="61" max="61" width="2.42578125" customWidth="1"/>
    <col min="62" max="62" width="2.140625" customWidth="1"/>
    <col min="63" max="63" width="2.7109375" customWidth="1"/>
    <col min="64" max="67" width="2.28515625" customWidth="1"/>
    <col min="68" max="68" width="2.5703125" customWidth="1"/>
    <col min="69" max="69" width="2.85546875" customWidth="1"/>
    <col min="70" max="70" width="2.28515625" customWidth="1"/>
    <col min="71" max="71" width="2.140625" customWidth="1"/>
    <col min="72" max="72" width="2.7109375" customWidth="1"/>
    <col min="73" max="73" width="2.85546875" customWidth="1"/>
    <col min="74" max="74" width="3.42578125" customWidth="1"/>
    <col min="75" max="75" width="2.140625" customWidth="1"/>
    <col min="76" max="76" width="2.42578125" customWidth="1"/>
    <col min="77" max="77" width="2.5703125" customWidth="1"/>
    <col min="78" max="79" width="2.42578125" customWidth="1"/>
    <col min="80" max="80" width="2.7109375" customWidth="1"/>
    <col min="81" max="81" width="2" customWidth="1"/>
    <col min="82" max="82" width="2.140625" customWidth="1"/>
    <col min="83" max="83" width="1.85546875" customWidth="1"/>
    <col min="84" max="84" width="2.42578125" customWidth="1"/>
    <col min="85" max="85" width="1.7109375" customWidth="1"/>
    <col min="86" max="86" width="2.140625" customWidth="1"/>
    <col min="87" max="88" width="2.28515625" customWidth="1"/>
    <col min="89" max="89" width="2.5703125" customWidth="1"/>
    <col min="90" max="90" width="2" customWidth="1"/>
    <col min="91" max="91" width="2.140625" customWidth="1"/>
    <col min="92" max="92" width="2.42578125" customWidth="1"/>
    <col min="93" max="94" width="2" customWidth="1"/>
    <col min="95" max="95" width="1.85546875" customWidth="1"/>
    <col min="96" max="96" width="2" customWidth="1"/>
    <col min="97" max="97" width="2.140625" customWidth="1"/>
    <col min="98" max="98" width="2.5703125" customWidth="1"/>
    <col min="99" max="99" width="2.42578125" customWidth="1"/>
    <col min="100" max="100" width="3" customWidth="1"/>
    <col min="101" max="101" width="2.7109375" customWidth="1"/>
    <col min="102" max="102" width="2.28515625" customWidth="1"/>
    <col min="103" max="103" width="1.85546875" customWidth="1"/>
    <col min="104" max="104" width="2.7109375" customWidth="1"/>
    <col min="105" max="105" width="2.140625" customWidth="1"/>
    <col min="106" max="106" width="2" customWidth="1"/>
    <col min="107" max="107" width="2.140625" customWidth="1"/>
    <col min="108" max="108" width="2.28515625" customWidth="1"/>
    <col min="109" max="109" width="2.42578125" customWidth="1"/>
    <col min="110" max="110" width="2.5703125" customWidth="1"/>
    <col min="111" max="111" width="2.28515625" customWidth="1"/>
    <col min="112" max="112" width="2.140625" customWidth="1"/>
    <col min="113" max="115" width="2" customWidth="1"/>
    <col min="116" max="116" width="2.28515625" customWidth="1"/>
    <col min="117" max="118" width="2.7109375" customWidth="1"/>
    <col min="119" max="119" width="2.28515625" customWidth="1"/>
    <col min="120" max="120" width="2" customWidth="1"/>
    <col min="121" max="121" width="1.85546875" customWidth="1"/>
    <col min="122" max="122" width="2" customWidth="1"/>
    <col min="123" max="123" width="2.28515625" customWidth="1"/>
    <col min="124" max="124" width="2.5703125" customWidth="1"/>
    <col min="125" max="125" width="2" customWidth="1"/>
    <col min="126" max="126" width="2.42578125" customWidth="1"/>
    <col min="127" max="127" width="2.140625" customWidth="1"/>
    <col min="128" max="128" width="3.140625" customWidth="1"/>
    <col min="129" max="129" width="2.42578125" customWidth="1"/>
    <col min="130" max="130" width="1.85546875" customWidth="1"/>
    <col min="131" max="131" width="2.42578125" customWidth="1"/>
    <col min="132" max="132" width="1.85546875" customWidth="1"/>
    <col min="133" max="133" width="2.140625" customWidth="1"/>
    <col min="134" max="134" width="2" customWidth="1"/>
    <col min="135" max="135" width="2.28515625" customWidth="1"/>
    <col min="136" max="136" width="2.5703125" customWidth="1"/>
    <col min="137" max="137" width="1.85546875" customWidth="1"/>
    <col min="138" max="138" width="2.28515625" customWidth="1"/>
    <col min="139" max="139" width="3" customWidth="1"/>
    <col min="140" max="140" width="2.42578125" customWidth="1"/>
    <col min="141" max="141" width="2.140625" customWidth="1"/>
    <col min="142" max="142" width="2" customWidth="1"/>
    <col min="143" max="143" width="2.5703125" customWidth="1"/>
    <col min="144" max="144" width="2.28515625" customWidth="1"/>
    <col min="145" max="145" width="2.85546875" customWidth="1"/>
    <col min="146" max="146" width="2.28515625" customWidth="1"/>
    <col min="147" max="148" width="2.140625" customWidth="1"/>
    <col min="149" max="150" width="3.5703125" customWidth="1"/>
    <col min="151" max="151" width="2.85546875" customWidth="1"/>
    <col min="152" max="152" width="2.5703125" customWidth="1"/>
    <col min="153" max="153" width="2.85546875" customWidth="1"/>
    <col min="154" max="154" width="3" customWidth="1"/>
    <col min="155" max="155" width="3.140625" customWidth="1"/>
    <col min="156" max="156" width="2.85546875" customWidth="1"/>
    <col min="157" max="158" width="3" customWidth="1"/>
    <col min="159" max="159" width="2.85546875" customWidth="1"/>
    <col min="160" max="161" width="3" customWidth="1"/>
    <col min="162" max="162" width="3.140625" customWidth="1"/>
    <col min="163" max="163" width="5.7109375" customWidth="1"/>
    <col min="164" max="164" width="9.140625" customWidth="1"/>
    <col min="165" max="165" width="6.42578125" customWidth="1"/>
    <col min="166" max="166" width="8.5703125" customWidth="1"/>
    <col min="167" max="167" width="3.42578125" customWidth="1"/>
  </cols>
  <sheetData>
    <row r="1" spans="1:167" ht="53.25" customHeight="1">
      <c r="A1" s="549"/>
      <c r="B1" s="449"/>
      <c r="C1" s="449"/>
      <c r="D1" s="449"/>
      <c r="E1" s="557" t="s">
        <v>0</v>
      </c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558"/>
      <c r="AG1" s="558"/>
      <c r="AH1" s="558"/>
      <c r="AI1" s="558"/>
      <c r="AJ1" s="558"/>
      <c r="AK1" s="558"/>
      <c r="AL1" s="558"/>
      <c r="AM1" s="558"/>
      <c r="AN1" s="558"/>
      <c r="AO1" s="558"/>
      <c r="AP1" s="558"/>
      <c r="AQ1" s="558"/>
      <c r="AR1" s="558"/>
      <c r="AS1" s="558"/>
      <c r="AT1" s="558"/>
      <c r="AU1" s="558"/>
      <c r="AV1" s="558"/>
      <c r="AW1" s="558"/>
      <c r="AX1" s="558"/>
      <c r="AY1" s="558"/>
      <c r="AZ1" s="558"/>
      <c r="BA1" s="558"/>
      <c r="BB1" s="558"/>
      <c r="BC1" s="558"/>
      <c r="BD1" s="558"/>
      <c r="BE1" s="558"/>
      <c r="BF1" s="558"/>
      <c r="BG1" s="558"/>
      <c r="BH1" s="558"/>
      <c r="BI1" s="558"/>
      <c r="BJ1" s="558"/>
      <c r="BK1" s="558"/>
      <c r="BL1" s="558"/>
      <c r="BM1" s="558"/>
      <c r="BN1" s="558"/>
      <c r="BO1" s="558"/>
      <c r="BP1" s="558"/>
      <c r="BQ1" s="558"/>
      <c r="BR1" s="558"/>
      <c r="BS1" s="558"/>
      <c r="BT1" s="558"/>
      <c r="BU1" s="558"/>
      <c r="BV1" s="558"/>
      <c r="BW1" s="558"/>
      <c r="BX1" s="558"/>
      <c r="BY1" s="558"/>
      <c r="BZ1" s="558"/>
      <c r="CA1" s="558"/>
      <c r="CB1" s="558"/>
      <c r="CC1" s="558"/>
      <c r="CD1" s="558"/>
      <c r="CE1" s="558"/>
      <c r="CF1" s="558"/>
      <c r="CG1" s="558"/>
      <c r="CH1" s="558"/>
      <c r="CI1" s="558"/>
      <c r="CJ1" s="558"/>
      <c r="CK1" s="558"/>
      <c r="CL1" s="558"/>
      <c r="CM1" s="558"/>
      <c r="CN1" s="558"/>
      <c r="CO1" s="558"/>
      <c r="CP1" s="558"/>
      <c r="CQ1" s="558"/>
      <c r="CR1" s="558"/>
      <c r="CS1" s="558"/>
      <c r="CT1" s="558"/>
      <c r="CU1" s="558"/>
      <c r="CV1" s="558"/>
      <c r="CW1" s="558"/>
      <c r="CX1" s="558"/>
      <c r="CY1" s="558"/>
      <c r="CZ1" s="558"/>
      <c r="DA1" s="558"/>
      <c r="DB1" s="558"/>
      <c r="DC1" s="558"/>
      <c r="DD1" s="558"/>
      <c r="DE1" s="558"/>
      <c r="DF1" s="558"/>
      <c r="DG1" s="558"/>
      <c r="DH1" s="558"/>
      <c r="DI1" s="558"/>
      <c r="DJ1" s="558"/>
      <c r="DK1" s="558"/>
      <c r="DL1" s="558"/>
      <c r="DM1" s="558"/>
      <c r="DN1" s="558"/>
      <c r="DO1" s="558"/>
      <c r="DP1" s="558"/>
      <c r="DQ1" s="558"/>
      <c r="DR1" s="558"/>
      <c r="DS1" s="558"/>
      <c r="DT1" s="558"/>
      <c r="DU1" s="558"/>
      <c r="DV1" s="558"/>
      <c r="DW1" s="558"/>
      <c r="DX1" s="558"/>
      <c r="DY1" s="558"/>
      <c r="DZ1" s="558"/>
      <c r="EA1" s="558"/>
      <c r="EB1" s="558"/>
      <c r="EC1" s="558"/>
      <c r="ED1" s="558"/>
      <c r="EE1" s="558"/>
      <c r="EF1" s="558"/>
      <c r="EG1" s="558"/>
      <c r="EH1" s="558"/>
      <c r="EI1" s="558"/>
      <c r="EJ1" s="558"/>
      <c r="EK1" s="558"/>
      <c r="EL1" s="558"/>
      <c r="EM1" s="558"/>
      <c r="EN1" s="558"/>
      <c r="EO1" s="558"/>
      <c r="EP1" s="558"/>
      <c r="EQ1" s="558"/>
      <c r="ER1" s="558"/>
      <c r="ES1" s="558"/>
      <c r="ET1" s="558"/>
      <c r="EU1" s="558"/>
      <c r="EV1" s="558"/>
      <c r="EW1" s="558"/>
      <c r="EX1" s="558"/>
      <c r="EY1" s="558"/>
      <c r="EZ1" s="558"/>
      <c r="FA1" s="558"/>
      <c r="FB1" s="558"/>
      <c r="FC1" s="558"/>
      <c r="FD1" s="558"/>
      <c r="FE1" s="558"/>
      <c r="FF1" s="558"/>
      <c r="FG1" s="558"/>
      <c r="FH1" s="558"/>
      <c r="FI1" s="558"/>
      <c r="FJ1" s="558"/>
      <c r="FK1" s="559"/>
    </row>
    <row r="2" spans="1:167" ht="21.75" customHeight="1">
      <c r="A2" s="551"/>
      <c r="B2" s="548"/>
      <c r="C2" s="548"/>
      <c r="D2" s="548"/>
      <c r="E2" s="451" t="s">
        <v>1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  <c r="AL2" s="452"/>
      <c r="AM2" s="452"/>
      <c r="AN2" s="452"/>
      <c r="AO2" s="452"/>
      <c r="AP2" s="452"/>
      <c r="AQ2" s="452"/>
      <c r="AR2" s="452"/>
      <c r="AS2" s="452"/>
      <c r="AT2" s="452"/>
      <c r="AU2" s="452"/>
      <c r="AV2" s="452"/>
      <c r="AW2" s="452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2"/>
      <c r="BI2" s="452"/>
      <c r="BJ2" s="452"/>
      <c r="BK2" s="452"/>
      <c r="BL2" s="452"/>
      <c r="BM2" s="452"/>
      <c r="BN2" s="452"/>
      <c r="BO2" s="452"/>
      <c r="BP2" s="452"/>
      <c r="BQ2" s="452"/>
      <c r="BR2" s="452"/>
      <c r="BS2" s="452"/>
      <c r="BT2" s="452"/>
      <c r="BU2" s="452"/>
      <c r="BV2" s="452"/>
      <c r="BW2" s="452"/>
      <c r="BX2" s="452"/>
      <c r="BY2" s="452"/>
      <c r="BZ2" s="452"/>
      <c r="CA2" s="452"/>
      <c r="CB2" s="452"/>
      <c r="CC2" s="452"/>
      <c r="CD2" s="452"/>
      <c r="CE2" s="452"/>
      <c r="CF2" s="452"/>
      <c r="CG2" s="452"/>
      <c r="CH2" s="452"/>
      <c r="CI2" s="452"/>
      <c r="CJ2" s="452"/>
      <c r="CK2" s="452"/>
      <c r="CL2" s="452"/>
      <c r="CM2" s="452"/>
      <c r="CN2" s="452"/>
      <c r="CO2" s="452"/>
      <c r="CP2" s="452"/>
      <c r="CQ2" s="452"/>
      <c r="CR2" s="452"/>
      <c r="CS2" s="452"/>
      <c r="CT2" s="452"/>
      <c r="CU2" s="452"/>
      <c r="CV2" s="452"/>
      <c r="CW2" s="452"/>
      <c r="CX2" s="452"/>
      <c r="CY2" s="452"/>
      <c r="CZ2" s="452"/>
      <c r="DA2" s="452"/>
      <c r="DB2" s="452"/>
      <c r="DC2" s="452"/>
      <c r="DD2" s="452"/>
      <c r="DE2" s="452"/>
      <c r="DF2" s="452"/>
      <c r="DG2" s="452"/>
      <c r="DH2" s="452"/>
      <c r="DI2" s="452"/>
      <c r="DJ2" s="452"/>
      <c r="DK2" s="452"/>
      <c r="DL2" s="452"/>
      <c r="DM2" s="452"/>
      <c r="DN2" s="452"/>
      <c r="DO2" s="452"/>
      <c r="DP2" s="452"/>
      <c r="DQ2" s="452"/>
      <c r="DR2" s="452"/>
      <c r="DS2" s="452"/>
      <c r="DT2" s="452"/>
      <c r="DU2" s="452"/>
      <c r="DV2" s="452"/>
      <c r="DW2" s="452"/>
      <c r="DX2" s="452"/>
      <c r="DY2" s="452"/>
      <c r="DZ2" s="452"/>
      <c r="EA2" s="452"/>
      <c r="EB2" s="452"/>
      <c r="EC2" s="452"/>
      <c r="ED2" s="452"/>
      <c r="EE2" s="452"/>
      <c r="EF2" s="452"/>
      <c r="EG2" s="452"/>
      <c r="EH2" s="452"/>
      <c r="EI2" s="452"/>
      <c r="EJ2" s="452"/>
      <c r="EK2" s="452"/>
      <c r="EL2" s="452"/>
      <c r="EM2" s="452"/>
      <c r="EN2" s="452"/>
      <c r="EO2" s="452"/>
      <c r="EP2" s="452"/>
      <c r="EQ2" s="452"/>
      <c r="ER2" s="452"/>
      <c r="ES2" s="452"/>
      <c r="ET2" s="452"/>
      <c r="EU2" s="452"/>
      <c r="EV2" s="452"/>
      <c r="EW2" s="452"/>
      <c r="EX2" s="452"/>
      <c r="EY2" s="452"/>
      <c r="EZ2" s="452"/>
      <c r="FA2" s="452"/>
      <c r="FB2" s="452"/>
      <c r="FC2" s="452"/>
      <c r="FD2" s="452"/>
      <c r="FE2" s="452"/>
      <c r="FF2" s="452"/>
      <c r="FG2" s="452"/>
      <c r="FH2" s="452"/>
      <c r="FI2" s="452"/>
      <c r="FJ2" s="452"/>
      <c r="FK2" s="453"/>
    </row>
    <row r="3" spans="1:167" ht="21.75" customHeight="1">
      <c r="A3" s="551"/>
      <c r="B3" s="548"/>
      <c r="C3" s="548"/>
      <c r="D3" s="548"/>
      <c r="E3" s="454" t="s">
        <v>2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  <c r="BJ3" s="452"/>
      <c r="BK3" s="452"/>
      <c r="BL3" s="452"/>
      <c r="BM3" s="452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  <c r="BY3" s="452"/>
      <c r="BZ3" s="452"/>
      <c r="CA3" s="452"/>
      <c r="CB3" s="452"/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  <c r="DJ3" s="452"/>
      <c r="DK3" s="452"/>
      <c r="DL3" s="452"/>
      <c r="DM3" s="452"/>
      <c r="DN3" s="452"/>
      <c r="DO3" s="452"/>
      <c r="DP3" s="452"/>
      <c r="DQ3" s="452"/>
      <c r="DR3" s="452"/>
      <c r="DS3" s="452"/>
      <c r="DT3" s="452"/>
      <c r="DU3" s="452"/>
      <c r="DV3" s="452"/>
      <c r="DW3" s="452"/>
      <c r="DX3" s="452"/>
      <c r="DY3" s="452"/>
      <c r="DZ3" s="452"/>
      <c r="EA3" s="452"/>
      <c r="EB3" s="452"/>
      <c r="EC3" s="452"/>
      <c r="ED3" s="452"/>
      <c r="EE3" s="452"/>
      <c r="EF3" s="452"/>
      <c r="EG3" s="452"/>
      <c r="EH3" s="452"/>
      <c r="EI3" s="452"/>
      <c r="EJ3" s="452"/>
      <c r="EK3" s="452"/>
      <c r="EL3" s="452"/>
      <c r="EM3" s="452"/>
      <c r="EN3" s="452"/>
      <c r="EO3" s="452"/>
      <c r="EP3" s="452"/>
      <c r="EQ3" s="452"/>
      <c r="ER3" s="452"/>
      <c r="ES3" s="452"/>
      <c r="ET3" s="452"/>
      <c r="EU3" s="452"/>
      <c r="EV3" s="452"/>
      <c r="EW3" s="452"/>
      <c r="EX3" s="452"/>
      <c r="EY3" s="452"/>
      <c r="EZ3" s="452"/>
      <c r="FA3" s="452"/>
      <c r="FB3" s="452"/>
      <c r="FC3" s="452"/>
      <c r="FD3" s="452"/>
      <c r="FE3" s="452"/>
      <c r="FF3" s="452"/>
      <c r="FG3" s="452"/>
      <c r="FH3" s="452"/>
      <c r="FI3" s="452"/>
      <c r="FJ3" s="452"/>
      <c r="FK3" s="453"/>
    </row>
    <row r="4" spans="1:167" ht="35.25" customHeight="1" thickBot="1">
      <c r="A4" s="551"/>
      <c r="B4" s="548"/>
      <c r="C4" s="548"/>
      <c r="D4" s="548"/>
      <c r="E4" s="560" t="s">
        <v>3</v>
      </c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D4" s="456"/>
      <c r="BE4" s="456"/>
      <c r="BF4" s="456"/>
      <c r="BG4" s="456"/>
      <c r="BH4" s="456"/>
      <c r="BI4" s="456"/>
      <c r="BJ4" s="456"/>
      <c r="BK4" s="456"/>
      <c r="BL4" s="456"/>
      <c r="BM4" s="456"/>
      <c r="BN4" s="456"/>
      <c r="BO4" s="456"/>
      <c r="BP4" s="456"/>
      <c r="BQ4" s="456"/>
      <c r="BR4" s="456"/>
      <c r="BS4" s="456"/>
      <c r="BT4" s="456"/>
      <c r="BU4" s="456"/>
      <c r="BV4" s="456"/>
      <c r="BW4" s="456"/>
      <c r="BX4" s="456"/>
      <c r="BY4" s="456"/>
      <c r="BZ4" s="456"/>
      <c r="CA4" s="456"/>
      <c r="CB4" s="456"/>
      <c r="CC4" s="456"/>
      <c r="CD4" s="456"/>
      <c r="CE4" s="456"/>
      <c r="CF4" s="456"/>
      <c r="CG4" s="456"/>
      <c r="CH4" s="456"/>
      <c r="CI4" s="456"/>
      <c r="CJ4" s="456"/>
      <c r="CK4" s="456"/>
      <c r="CL4" s="456"/>
      <c r="CM4" s="456"/>
      <c r="CN4" s="456"/>
      <c r="CO4" s="456"/>
      <c r="CP4" s="456"/>
      <c r="CQ4" s="456"/>
      <c r="CR4" s="456"/>
      <c r="CS4" s="456"/>
      <c r="CT4" s="456"/>
      <c r="CU4" s="456"/>
      <c r="CV4" s="456"/>
      <c r="CW4" s="456"/>
      <c r="CX4" s="456"/>
      <c r="CY4" s="456"/>
      <c r="CZ4" s="456"/>
      <c r="DA4" s="456"/>
      <c r="DB4" s="456"/>
      <c r="DC4" s="456"/>
      <c r="DD4" s="456"/>
      <c r="DE4" s="456"/>
      <c r="DF4" s="456"/>
      <c r="DG4" s="456"/>
      <c r="DH4" s="456"/>
      <c r="DI4" s="456"/>
      <c r="DJ4" s="456"/>
      <c r="DK4" s="456"/>
      <c r="DL4" s="456"/>
      <c r="DM4" s="456"/>
      <c r="DN4" s="456"/>
      <c r="DO4" s="456"/>
      <c r="DP4" s="456"/>
      <c r="DQ4" s="456"/>
      <c r="DR4" s="456"/>
      <c r="DS4" s="456"/>
      <c r="DT4" s="456"/>
      <c r="DU4" s="456"/>
      <c r="DV4" s="456"/>
      <c r="DW4" s="456"/>
      <c r="DX4" s="456"/>
      <c r="DY4" s="456"/>
      <c r="DZ4" s="456"/>
      <c r="EA4" s="456"/>
      <c r="EB4" s="456"/>
      <c r="EC4" s="456"/>
      <c r="ED4" s="456"/>
      <c r="EE4" s="456"/>
      <c r="EF4" s="456"/>
      <c r="EG4" s="456"/>
      <c r="EH4" s="456"/>
      <c r="EI4" s="456"/>
      <c r="EJ4" s="456"/>
      <c r="EK4" s="456"/>
      <c r="EL4" s="456"/>
      <c r="EM4" s="456"/>
      <c r="EN4" s="456"/>
      <c r="EO4" s="456"/>
      <c r="EP4" s="456"/>
      <c r="EQ4" s="456"/>
      <c r="ER4" s="456"/>
      <c r="ES4" s="456"/>
      <c r="ET4" s="456"/>
      <c r="EU4" s="456"/>
      <c r="EV4" s="456"/>
      <c r="EW4" s="456"/>
      <c r="EX4" s="456"/>
      <c r="EY4" s="456"/>
      <c r="EZ4" s="456"/>
      <c r="FA4" s="456"/>
      <c r="FB4" s="456"/>
      <c r="FC4" s="456"/>
      <c r="FD4" s="456"/>
      <c r="FE4" s="456"/>
      <c r="FF4" s="456"/>
      <c r="FG4" s="456"/>
      <c r="FH4" s="456"/>
      <c r="FI4" s="456"/>
      <c r="FJ4" s="456"/>
      <c r="FK4" s="457"/>
    </row>
    <row r="5" spans="1:167" ht="19.5" customHeight="1">
      <c r="A5" s="1"/>
      <c r="B5" s="169"/>
      <c r="C5" s="458" t="s">
        <v>93</v>
      </c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60"/>
      <c r="Y5" s="461"/>
      <c r="Z5" s="459"/>
      <c r="AA5" s="459"/>
      <c r="AB5" s="459"/>
      <c r="AC5" s="459"/>
      <c r="AD5" s="459"/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9"/>
      <c r="AQ5" s="459"/>
      <c r="AR5" s="459"/>
      <c r="AS5" s="459"/>
      <c r="AT5" s="459"/>
      <c r="AU5" s="459"/>
      <c r="AV5" s="459"/>
      <c r="AW5" s="459"/>
      <c r="AX5" s="459"/>
      <c r="AY5" s="459"/>
      <c r="AZ5" s="459"/>
      <c r="BA5" s="459"/>
      <c r="BB5" s="459"/>
      <c r="BC5" s="459"/>
      <c r="BD5" s="459"/>
      <c r="BE5" s="459"/>
      <c r="BF5" s="459"/>
      <c r="BG5" s="459"/>
      <c r="BH5" s="459"/>
      <c r="BI5" s="459"/>
      <c r="BJ5" s="459"/>
      <c r="BK5" s="459"/>
      <c r="BL5" s="459"/>
      <c r="BM5" s="459"/>
      <c r="BN5" s="459"/>
      <c r="BO5" s="459"/>
      <c r="BP5" s="459"/>
      <c r="BQ5" s="459"/>
      <c r="BR5" s="459"/>
      <c r="BS5" s="459"/>
      <c r="BT5" s="459"/>
      <c r="BU5" s="459"/>
      <c r="BV5" s="459"/>
      <c r="BW5" s="459"/>
      <c r="BX5" s="459"/>
      <c r="BY5" s="459"/>
      <c r="BZ5" s="459"/>
      <c r="CA5" s="459"/>
      <c r="CB5" s="459"/>
      <c r="CC5" s="459"/>
      <c r="CD5" s="459"/>
      <c r="CE5" s="459"/>
      <c r="CF5" s="459"/>
      <c r="CG5" s="459"/>
      <c r="CH5" s="459"/>
      <c r="CI5" s="459"/>
      <c r="CJ5" s="459"/>
      <c r="CK5" s="459"/>
      <c r="CL5" s="459"/>
      <c r="CM5" s="459"/>
      <c r="CN5" s="459"/>
      <c r="CO5" s="459"/>
      <c r="CP5" s="459"/>
      <c r="CQ5" s="459"/>
      <c r="CR5" s="459"/>
      <c r="CS5" s="459"/>
      <c r="CT5" s="459"/>
      <c r="CU5" s="459"/>
      <c r="CV5" s="459"/>
      <c r="CW5" s="459"/>
      <c r="CX5" s="459"/>
      <c r="CY5" s="459"/>
      <c r="CZ5" s="459"/>
      <c r="DA5" s="459"/>
      <c r="DB5" s="459"/>
      <c r="DC5" s="459"/>
      <c r="DD5" s="459"/>
      <c r="DE5" s="459"/>
      <c r="DF5" s="459"/>
      <c r="DG5" s="459"/>
      <c r="DH5" s="459"/>
      <c r="DI5" s="459"/>
      <c r="DJ5" s="459"/>
      <c r="DK5" s="459"/>
      <c r="DL5" s="459"/>
      <c r="DM5" s="459"/>
      <c r="DN5" s="459"/>
      <c r="DO5" s="459"/>
      <c r="DP5" s="459"/>
      <c r="DQ5" s="459"/>
      <c r="DR5" s="459"/>
      <c r="DS5" s="459"/>
      <c r="DT5" s="459"/>
      <c r="DU5" s="459"/>
      <c r="DV5" s="459"/>
      <c r="DW5" s="459"/>
      <c r="DX5" s="459"/>
      <c r="DY5" s="459"/>
      <c r="DZ5" s="459"/>
      <c r="EA5" s="459"/>
      <c r="EB5" s="459"/>
      <c r="EC5" s="459"/>
      <c r="ED5" s="459"/>
      <c r="EE5" s="459"/>
      <c r="EF5" s="459"/>
      <c r="EG5" s="459"/>
      <c r="EH5" s="459"/>
      <c r="EI5" s="459"/>
      <c r="EJ5" s="459"/>
      <c r="EK5" s="459"/>
      <c r="EL5" s="459"/>
      <c r="EM5" s="459"/>
      <c r="EN5" s="459"/>
      <c r="EO5" s="459"/>
      <c r="EP5" s="459"/>
      <c r="EQ5" s="459"/>
      <c r="ER5" s="459"/>
      <c r="ES5" s="459"/>
      <c r="ET5" s="459"/>
      <c r="EU5" s="459"/>
      <c r="EV5" s="459"/>
      <c r="EW5" s="459"/>
      <c r="EX5" s="459"/>
      <c r="EY5" s="459"/>
      <c r="EZ5" s="459"/>
      <c r="FA5" s="459"/>
      <c r="FB5" s="459"/>
      <c r="FC5" s="459"/>
      <c r="FD5" s="459"/>
      <c r="FE5" s="459"/>
      <c r="FF5" s="459"/>
      <c r="FG5" s="459"/>
      <c r="FH5" s="459"/>
      <c r="FI5" s="459"/>
      <c r="FJ5" s="459"/>
      <c r="FK5" s="460"/>
    </row>
    <row r="6" spans="1:167" ht="45" customHeight="1">
      <c r="A6" s="1"/>
      <c r="B6" s="159" t="s">
        <v>4</v>
      </c>
      <c r="C6" s="160" t="s">
        <v>5</v>
      </c>
      <c r="D6" s="161" t="s">
        <v>6</v>
      </c>
      <c r="E6" s="162" t="s">
        <v>7</v>
      </c>
      <c r="F6" s="163" t="s">
        <v>8</v>
      </c>
      <c r="G6" s="462" t="s">
        <v>9</v>
      </c>
      <c r="H6" s="460"/>
      <c r="I6" s="561" t="s">
        <v>180</v>
      </c>
      <c r="J6" s="562"/>
      <c r="K6" s="562"/>
      <c r="L6" s="562"/>
      <c r="M6" s="562"/>
      <c r="N6" s="562"/>
      <c r="O6" s="562"/>
      <c r="P6" s="562"/>
      <c r="Q6" s="562"/>
      <c r="R6" s="563"/>
      <c r="S6" s="564" t="s">
        <v>220</v>
      </c>
      <c r="T6" s="475"/>
      <c r="U6" s="475"/>
      <c r="V6" s="475"/>
      <c r="W6" s="475"/>
      <c r="X6" s="475"/>
      <c r="Y6" s="475"/>
      <c r="Z6" s="475"/>
      <c r="AA6" s="475"/>
      <c r="AB6" s="476"/>
      <c r="AC6" s="482" t="s">
        <v>222</v>
      </c>
      <c r="AD6" s="483"/>
      <c r="AE6" s="483"/>
      <c r="AF6" s="483"/>
      <c r="AG6" s="483"/>
      <c r="AH6" s="483"/>
      <c r="AI6" s="483"/>
      <c r="AJ6" s="483"/>
      <c r="AK6" s="483"/>
      <c r="AL6" s="484"/>
      <c r="AM6" s="481" t="s">
        <v>221</v>
      </c>
      <c r="AN6" s="459"/>
      <c r="AO6" s="459"/>
      <c r="AP6" s="459"/>
      <c r="AQ6" s="459"/>
      <c r="AR6" s="459"/>
      <c r="AS6" s="459"/>
      <c r="AT6" s="459"/>
      <c r="AU6" s="459"/>
      <c r="AV6" s="460"/>
      <c r="AW6" s="565" t="s">
        <v>178</v>
      </c>
      <c r="AX6" s="566"/>
      <c r="AY6" s="566"/>
      <c r="AZ6" s="566"/>
      <c r="BA6" s="566"/>
      <c r="BB6" s="566"/>
      <c r="BC6" s="566"/>
      <c r="BD6" s="566"/>
      <c r="BE6" s="566"/>
      <c r="BF6" s="567"/>
      <c r="BG6" s="481" t="s">
        <v>223</v>
      </c>
      <c r="BH6" s="459"/>
      <c r="BI6" s="459"/>
      <c r="BJ6" s="459"/>
      <c r="BK6" s="459"/>
      <c r="BL6" s="459"/>
      <c r="BM6" s="459"/>
      <c r="BN6" s="459"/>
      <c r="BO6" s="459"/>
      <c r="BP6" s="460"/>
      <c r="BQ6" s="481" t="s">
        <v>179</v>
      </c>
      <c r="BR6" s="459"/>
      <c r="BS6" s="459"/>
      <c r="BT6" s="459"/>
      <c r="BU6" s="459"/>
      <c r="BV6" s="459"/>
      <c r="BW6" s="459"/>
      <c r="BX6" s="459"/>
      <c r="BY6" s="459"/>
      <c r="BZ6" s="460"/>
      <c r="CA6" s="568" t="s">
        <v>13</v>
      </c>
      <c r="CB6" s="459"/>
      <c r="CC6" s="459"/>
      <c r="CD6" s="459"/>
      <c r="CE6" s="459"/>
      <c r="CF6" s="459"/>
      <c r="CG6" s="459"/>
      <c r="CH6" s="459"/>
      <c r="CI6" s="459"/>
      <c r="CJ6" s="460"/>
      <c r="CK6" s="568" t="s">
        <v>14</v>
      </c>
      <c r="CL6" s="459"/>
      <c r="CM6" s="459"/>
      <c r="CN6" s="459"/>
      <c r="CO6" s="459"/>
      <c r="CP6" s="459"/>
      <c r="CQ6" s="459"/>
      <c r="CR6" s="459"/>
      <c r="CS6" s="459"/>
      <c r="CT6" s="460"/>
      <c r="CU6" s="568" t="s">
        <v>15</v>
      </c>
      <c r="CV6" s="459"/>
      <c r="CW6" s="459"/>
      <c r="CX6" s="459"/>
      <c r="CY6" s="459"/>
      <c r="CZ6" s="459"/>
      <c r="DA6" s="459"/>
      <c r="DB6" s="459"/>
      <c r="DC6" s="459"/>
      <c r="DD6" s="460"/>
      <c r="DE6" s="568" t="s">
        <v>16</v>
      </c>
      <c r="DF6" s="459"/>
      <c r="DG6" s="459"/>
      <c r="DH6" s="459"/>
      <c r="DI6" s="459"/>
      <c r="DJ6" s="459"/>
      <c r="DK6" s="459"/>
      <c r="DL6" s="459"/>
      <c r="DM6" s="459"/>
      <c r="DN6" s="460"/>
      <c r="DO6" s="568" t="s">
        <v>17</v>
      </c>
      <c r="DP6" s="459"/>
      <c r="DQ6" s="459"/>
      <c r="DR6" s="459"/>
      <c r="DS6" s="459"/>
      <c r="DT6" s="459"/>
      <c r="DU6" s="459"/>
      <c r="DV6" s="459"/>
      <c r="DW6" s="459"/>
      <c r="DX6" s="460"/>
      <c r="DY6" s="568" t="s">
        <v>18</v>
      </c>
      <c r="DZ6" s="459"/>
      <c r="EA6" s="459"/>
      <c r="EB6" s="459"/>
      <c r="EC6" s="459"/>
      <c r="ED6" s="459"/>
      <c r="EE6" s="459"/>
      <c r="EF6" s="459"/>
      <c r="EG6" s="459"/>
      <c r="EH6" s="460"/>
      <c r="EI6" s="568" t="s">
        <v>19</v>
      </c>
      <c r="EJ6" s="459"/>
      <c r="EK6" s="459"/>
      <c r="EL6" s="459"/>
      <c r="EM6" s="459"/>
      <c r="EN6" s="459"/>
      <c r="EO6" s="459"/>
      <c r="EP6" s="459"/>
      <c r="EQ6" s="459"/>
      <c r="ER6" s="460"/>
      <c r="ES6" s="488" t="s">
        <v>181</v>
      </c>
      <c r="ET6" s="489"/>
      <c r="EU6" s="489"/>
      <c r="EV6" s="489"/>
      <c r="EW6" s="489"/>
      <c r="EX6" s="489"/>
      <c r="EY6" s="489"/>
      <c r="EZ6" s="489"/>
      <c r="FA6" s="489"/>
      <c r="FB6" s="489"/>
      <c r="FC6" s="489"/>
      <c r="FD6" s="489"/>
      <c r="FE6" s="489"/>
      <c r="FF6" s="490"/>
      <c r="FG6" s="189" t="s">
        <v>5</v>
      </c>
      <c r="FH6" s="190" t="s">
        <v>21</v>
      </c>
      <c r="FI6" s="191" t="s">
        <v>22</v>
      </c>
      <c r="FJ6" s="192" t="s">
        <v>23</v>
      </c>
      <c r="FK6" s="193"/>
    </row>
    <row r="7" spans="1:167" ht="18" customHeight="1" thickBot="1">
      <c r="A7" s="2"/>
      <c r="B7" s="180"/>
      <c r="C7" s="181"/>
      <c r="D7" s="179" t="s">
        <v>24</v>
      </c>
      <c r="E7" s="19"/>
      <c r="F7" s="20"/>
      <c r="G7" s="569"/>
      <c r="H7" s="570"/>
      <c r="I7" s="208">
        <v>1</v>
      </c>
      <c r="J7" s="208">
        <v>1</v>
      </c>
      <c r="K7" s="208">
        <v>1</v>
      </c>
      <c r="L7" s="208">
        <v>1</v>
      </c>
      <c r="M7" s="208">
        <v>1</v>
      </c>
      <c r="N7" s="208">
        <v>1</v>
      </c>
      <c r="O7" s="208">
        <v>1</v>
      </c>
      <c r="P7" s="208">
        <v>1</v>
      </c>
      <c r="Q7" s="208">
        <v>1</v>
      </c>
      <c r="R7" s="208">
        <v>1</v>
      </c>
      <c r="S7" s="208">
        <v>1</v>
      </c>
      <c r="T7" s="208">
        <v>1</v>
      </c>
      <c r="U7" s="208">
        <v>1</v>
      </c>
      <c r="V7" s="208">
        <v>1</v>
      </c>
      <c r="W7" s="208">
        <v>1</v>
      </c>
      <c r="X7" s="208">
        <v>1</v>
      </c>
      <c r="Y7" s="208">
        <v>1</v>
      </c>
      <c r="Z7" s="208">
        <v>1</v>
      </c>
      <c r="AA7" s="208">
        <v>1</v>
      </c>
      <c r="AB7" s="208">
        <v>1</v>
      </c>
      <c r="AC7" s="208">
        <v>1</v>
      </c>
      <c r="AD7" s="208">
        <v>1</v>
      </c>
      <c r="AE7" s="208">
        <v>1</v>
      </c>
      <c r="AF7" s="208">
        <v>1</v>
      </c>
      <c r="AG7" s="208">
        <v>0</v>
      </c>
      <c r="AH7" s="208">
        <v>0</v>
      </c>
      <c r="AI7" s="208">
        <v>1</v>
      </c>
      <c r="AJ7" s="208">
        <v>1</v>
      </c>
      <c r="AK7" s="208">
        <v>1</v>
      </c>
      <c r="AL7" s="208">
        <v>1</v>
      </c>
      <c r="AM7" s="208">
        <v>1</v>
      </c>
      <c r="AN7" s="208">
        <v>1</v>
      </c>
      <c r="AO7" s="208">
        <v>1</v>
      </c>
      <c r="AP7" s="208">
        <v>1</v>
      </c>
      <c r="AQ7" s="208">
        <v>1</v>
      </c>
      <c r="AR7" s="208">
        <v>1</v>
      </c>
      <c r="AS7" s="208">
        <v>1</v>
      </c>
      <c r="AT7" s="208">
        <v>1</v>
      </c>
      <c r="AU7" s="208">
        <v>1</v>
      </c>
      <c r="AV7" s="208">
        <v>1</v>
      </c>
      <c r="AW7" s="194">
        <v>1</v>
      </c>
      <c r="AX7" s="194">
        <v>1</v>
      </c>
      <c r="AY7" s="194">
        <v>1</v>
      </c>
      <c r="AZ7" s="22">
        <v>1</v>
      </c>
      <c r="BA7" s="194">
        <v>1</v>
      </c>
      <c r="BB7" s="194">
        <v>1</v>
      </c>
      <c r="BC7" s="22">
        <v>1</v>
      </c>
      <c r="BD7" s="22">
        <v>1</v>
      </c>
      <c r="BE7" s="22">
        <v>1</v>
      </c>
      <c r="BF7" s="22">
        <v>1</v>
      </c>
      <c r="BG7" s="208">
        <v>1</v>
      </c>
      <c r="BH7" s="208">
        <v>1</v>
      </c>
      <c r="BI7" s="208">
        <v>1</v>
      </c>
      <c r="BJ7" s="208">
        <v>1</v>
      </c>
      <c r="BK7" s="208">
        <v>1</v>
      </c>
      <c r="BL7" s="208">
        <v>1</v>
      </c>
      <c r="BM7" s="208">
        <v>1</v>
      </c>
      <c r="BN7" s="208">
        <v>1</v>
      </c>
      <c r="BO7" s="208">
        <v>1</v>
      </c>
      <c r="BP7" s="208">
        <v>1</v>
      </c>
      <c r="BQ7" s="208">
        <v>1</v>
      </c>
      <c r="BR7" s="208">
        <v>1</v>
      </c>
      <c r="BS7" s="208">
        <v>1</v>
      </c>
      <c r="BT7" s="208">
        <v>1</v>
      </c>
      <c r="BU7" s="208">
        <v>1</v>
      </c>
      <c r="BV7" s="208">
        <v>1</v>
      </c>
      <c r="BW7" s="208">
        <v>1</v>
      </c>
      <c r="BX7" s="208">
        <v>1</v>
      </c>
      <c r="BY7" s="208">
        <v>1</v>
      </c>
      <c r="BZ7" s="208">
        <v>1</v>
      </c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08">
        <v>1</v>
      </c>
      <c r="CL7" s="208">
        <v>1</v>
      </c>
      <c r="CM7" s="208">
        <v>1</v>
      </c>
      <c r="CN7" s="208">
        <v>1</v>
      </c>
      <c r="CO7" s="208">
        <v>1</v>
      </c>
      <c r="CP7" s="208">
        <v>1</v>
      </c>
      <c r="CQ7" s="208">
        <v>1</v>
      </c>
      <c r="CR7" s="208">
        <v>1</v>
      </c>
      <c r="CS7" s="208">
        <v>1</v>
      </c>
      <c r="CT7" s="208">
        <v>1</v>
      </c>
      <c r="CU7" s="208">
        <v>1</v>
      </c>
      <c r="CV7" s="208">
        <v>1</v>
      </c>
      <c r="CW7" s="208">
        <v>1</v>
      </c>
      <c r="CX7" s="208">
        <v>1</v>
      </c>
      <c r="CY7" s="208">
        <v>1</v>
      </c>
      <c r="CZ7" s="208">
        <v>1</v>
      </c>
      <c r="DA7" s="208">
        <v>1</v>
      </c>
      <c r="DB7" s="208">
        <v>1</v>
      </c>
      <c r="DC7" s="208">
        <v>1</v>
      </c>
      <c r="DD7" s="208">
        <v>1</v>
      </c>
      <c r="DE7" s="208">
        <v>1</v>
      </c>
      <c r="DF7" s="208">
        <v>1</v>
      </c>
      <c r="DG7" s="208">
        <v>1</v>
      </c>
      <c r="DH7" s="208">
        <v>1</v>
      </c>
      <c r="DI7" s="208">
        <v>1</v>
      </c>
      <c r="DJ7" s="208">
        <v>1</v>
      </c>
      <c r="DK7" s="208">
        <v>1</v>
      </c>
      <c r="DL7" s="208">
        <v>1</v>
      </c>
      <c r="DM7" s="208">
        <v>1</v>
      </c>
      <c r="DN7" s="208">
        <v>1</v>
      </c>
      <c r="DO7" s="208">
        <v>1</v>
      </c>
      <c r="DP7" s="208">
        <v>1</v>
      </c>
      <c r="DQ7" s="208">
        <v>1</v>
      </c>
      <c r="DR7" s="208">
        <v>1</v>
      </c>
      <c r="DS7" s="208">
        <v>1</v>
      </c>
      <c r="DT7" s="208">
        <v>1</v>
      </c>
      <c r="DU7" s="208">
        <v>1</v>
      </c>
      <c r="DV7" s="208">
        <v>1</v>
      </c>
      <c r="DW7" s="208">
        <v>1</v>
      </c>
      <c r="DX7" s="208">
        <v>1</v>
      </c>
      <c r="DY7" s="208">
        <v>1</v>
      </c>
      <c r="DZ7" s="208">
        <v>1</v>
      </c>
      <c r="EA7" s="208">
        <v>1</v>
      </c>
      <c r="EB7" s="208">
        <v>1</v>
      </c>
      <c r="EC7" s="208">
        <v>1</v>
      </c>
      <c r="ED7" s="208">
        <v>1</v>
      </c>
      <c r="EE7" s="208">
        <v>1</v>
      </c>
      <c r="EF7" s="208">
        <v>1</v>
      </c>
      <c r="EG7" s="208">
        <v>1</v>
      </c>
      <c r="EH7" s="208">
        <v>1</v>
      </c>
      <c r="EI7" s="208">
        <v>1</v>
      </c>
      <c r="EJ7" s="208">
        <v>1</v>
      </c>
      <c r="EK7" s="208">
        <v>1</v>
      </c>
      <c r="EL7" s="208">
        <v>1</v>
      </c>
      <c r="EM7" s="208">
        <v>1</v>
      </c>
      <c r="EN7" s="208">
        <v>1</v>
      </c>
      <c r="EO7" s="208">
        <v>1</v>
      </c>
      <c r="EP7" s="309">
        <v>1</v>
      </c>
      <c r="EQ7" s="309">
        <v>1</v>
      </c>
      <c r="ER7" s="208">
        <v>1</v>
      </c>
      <c r="ES7" s="199"/>
      <c r="ET7" s="199"/>
      <c r="EU7" s="199"/>
      <c r="EV7" s="199"/>
      <c r="EW7" s="199"/>
      <c r="EX7" s="199"/>
      <c r="EY7" s="199"/>
      <c r="EZ7" s="199"/>
      <c r="FA7" s="199"/>
      <c r="FB7" s="199"/>
      <c r="FC7" s="199"/>
      <c r="FD7" s="199"/>
      <c r="FE7" s="199"/>
      <c r="FF7" s="199"/>
      <c r="FG7" s="200"/>
      <c r="FH7" s="25"/>
      <c r="FI7" s="24"/>
      <c r="FJ7" s="26"/>
      <c r="FK7" s="7"/>
    </row>
    <row r="8" spans="1:167" ht="15" customHeight="1">
      <c r="A8" s="2"/>
      <c r="B8" s="3">
        <f t="shared" ref="B8:B57" si="0">IF(ISTEXT(D8),1,0)</f>
        <v>1</v>
      </c>
      <c r="C8" s="182">
        <f t="shared" ref="C8:C57" si="1">ROW(D1)</f>
        <v>1</v>
      </c>
      <c r="D8" s="183" t="s">
        <v>94</v>
      </c>
      <c r="E8" s="203"/>
      <c r="F8" s="203">
        <v>14</v>
      </c>
      <c r="G8" s="571">
        <v>45915</v>
      </c>
      <c r="H8" s="572"/>
      <c r="I8" s="209">
        <v>0</v>
      </c>
      <c r="J8" s="210">
        <v>0</v>
      </c>
      <c r="K8" s="210">
        <v>1</v>
      </c>
      <c r="L8" s="210">
        <v>1</v>
      </c>
      <c r="M8" s="210">
        <v>1</v>
      </c>
      <c r="N8" s="210">
        <v>1</v>
      </c>
      <c r="O8" s="210">
        <v>1</v>
      </c>
      <c r="P8" s="210">
        <v>1</v>
      </c>
      <c r="Q8" s="210">
        <v>1</v>
      </c>
      <c r="R8" s="211">
        <v>1</v>
      </c>
      <c r="S8" s="220">
        <v>1</v>
      </c>
      <c r="T8" s="221">
        <v>1</v>
      </c>
      <c r="U8" s="221">
        <v>1</v>
      </c>
      <c r="V8" s="221">
        <v>1</v>
      </c>
      <c r="W8" s="221">
        <v>1</v>
      </c>
      <c r="X8" s="221">
        <v>1</v>
      </c>
      <c r="Y8" s="243">
        <v>1</v>
      </c>
      <c r="Z8" s="251">
        <v>1</v>
      </c>
      <c r="AA8" s="252">
        <v>1</v>
      </c>
      <c r="AB8" s="222">
        <v>1</v>
      </c>
      <c r="AC8" s="259">
        <v>1</v>
      </c>
      <c r="AD8" s="260">
        <v>1</v>
      </c>
      <c r="AE8" s="260">
        <v>1</v>
      </c>
      <c r="AF8" s="260">
        <v>1</v>
      </c>
      <c r="AG8" s="580"/>
      <c r="AH8" s="581"/>
      <c r="AI8" s="260">
        <v>1</v>
      </c>
      <c r="AJ8" s="260">
        <v>1</v>
      </c>
      <c r="AK8" s="260">
        <v>1</v>
      </c>
      <c r="AL8" s="261">
        <v>1</v>
      </c>
      <c r="AM8" s="233">
        <v>1</v>
      </c>
      <c r="AN8" s="269">
        <v>1</v>
      </c>
      <c r="AO8" s="234">
        <v>1</v>
      </c>
      <c r="AP8" s="234">
        <v>1</v>
      </c>
      <c r="AQ8" s="234">
        <v>1</v>
      </c>
      <c r="AR8" s="234">
        <v>1</v>
      </c>
      <c r="AS8" s="234">
        <v>1</v>
      </c>
      <c r="AT8" s="234">
        <v>1</v>
      </c>
      <c r="AU8" s="234">
        <v>1</v>
      </c>
      <c r="AV8" s="270">
        <v>1</v>
      </c>
      <c r="AW8" s="275">
        <v>1</v>
      </c>
      <c r="AX8" s="276">
        <v>1</v>
      </c>
      <c r="AY8" s="276">
        <v>1</v>
      </c>
      <c r="AZ8" s="125">
        <v>1</v>
      </c>
      <c r="BA8" s="276">
        <v>1</v>
      </c>
      <c r="BB8" s="276">
        <v>1</v>
      </c>
      <c r="BC8" s="276">
        <v>1</v>
      </c>
      <c r="BD8" s="125">
        <v>1</v>
      </c>
      <c r="BE8" s="276">
        <v>1</v>
      </c>
      <c r="BF8" s="279">
        <v>1</v>
      </c>
      <c r="BG8" s="209">
        <v>1</v>
      </c>
      <c r="BH8" s="210">
        <v>1</v>
      </c>
      <c r="BI8" s="210">
        <v>1</v>
      </c>
      <c r="BJ8" s="210">
        <v>1</v>
      </c>
      <c r="BK8" s="210">
        <v>1</v>
      </c>
      <c r="BL8" s="210">
        <v>1</v>
      </c>
      <c r="BM8" s="210">
        <v>1</v>
      </c>
      <c r="BN8" s="210">
        <v>1</v>
      </c>
      <c r="BO8" s="210">
        <v>1</v>
      </c>
      <c r="BP8" s="211">
        <v>1</v>
      </c>
      <c r="BQ8" s="282">
        <v>1</v>
      </c>
      <c r="BR8" s="283">
        <v>1</v>
      </c>
      <c r="BS8" s="283">
        <v>1</v>
      </c>
      <c r="BT8" s="283">
        <v>1</v>
      </c>
      <c r="BU8" s="283">
        <v>1</v>
      </c>
      <c r="BV8" s="283">
        <v>1</v>
      </c>
      <c r="BW8" s="283">
        <v>1</v>
      </c>
      <c r="BX8" s="283">
        <v>1</v>
      </c>
      <c r="BY8" s="283">
        <v>1</v>
      </c>
      <c r="BZ8" s="284">
        <v>1</v>
      </c>
      <c r="CA8" s="586"/>
      <c r="CB8" s="587"/>
      <c r="CC8" s="587"/>
      <c r="CD8" s="587"/>
      <c r="CE8" s="587"/>
      <c r="CF8" s="587"/>
      <c r="CG8" s="587"/>
      <c r="CH8" s="587"/>
      <c r="CI8" s="587"/>
      <c r="CJ8" s="587"/>
      <c r="CK8" s="285">
        <v>1</v>
      </c>
      <c r="CL8" s="286">
        <v>1</v>
      </c>
      <c r="CM8" s="286">
        <v>1</v>
      </c>
      <c r="CN8" s="286">
        <v>1</v>
      </c>
      <c r="CO8" s="286">
        <v>1</v>
      </c>
      <c r="CP8" s="286">
        <v>1</v>
      </c>
      <c r="CQ8" s="286">
        <v>1</v>
      </c>
      <c r="CR8" s="286">
        <v>1</v>
      </c>
      <c r="CS8" s="286">
        <v>1</v>
      </c>
      <c r="CT8" s="287">
        <v>1</v>
      </c>
      <c r="CU8" s="291">
        <v>1</v>
      </c>
      <c r="CV8" s="292">
        <v>1</v>
      </c>
      <c r="CW8" s="292">
        <v>1</v>
      </c>
      <c r="CX8" s="292">
        <v>1</v>
      </c>
      <c r="CY8" s="292">
        <v>1</v>
      </c>
      <c r="CZ8" s="292">
        <v>1</v>
      </c>
      <c r="DA8" s="292">
        <v>1</v>
      </c>
      <c r="DB8" s="292">
        <v>1</v>
      </c>
      <c r="DC8" s="293">
        <v>1</v>
      </c>
      <c r="DD8" s="294">
        <v>1</v>
      </c>
      <c r="DE8" s="303">
        <v>1</v>
      </c>
      <c r="DF8" s="304">
        <v>1</v>
      </c>
      <c r="DG8" s="304">
        <v>1</v>
      </c>
      <c r="DH8" s="304">
        <v>1</v>
      </c>
      <c r="DI8" s="304">
        <v>1</v>
      </c>
      <c r="DJ8" s="304">
        <v>1</v>
      </c>
      <c r="DK8" s="304">
        <v>1</v>
      </c>
      <c r="DL8" s="304">
        <v>1</v>
      </c>
      <c r="DM8" s="304">
        <v>1</v>
      </c>
      <c r="DN8" s="305">
        <v>1</v>
      </c>
      <c r="DO8" s="282">
        <v>1</v>
      </c>
      <c r="DP8" s="283">
        <v>1</v>
      </c>
      <c r="DQ8" s="283">
        <v>1</v>
      </c>
      <c r="DR8" s="283">
        <v>1</v>
      </c>
      <c r="DS8" s="283">
        <v>1</v>
      </c>
      <c r="DT8" s="283">
        <v>1</v>
      </c>
      <c r="DU8" s="283">
        <v>1</v>
      </c>
      <c r="DV8" s="283">
        <v>1</v>
      </c>
      <c r="DW8" s="283">
        <v>1</v>
      </c>
      <c r="DX8" s="284">
        <v>1</v>
      </c>
      <c r="DY8" s="310">
        <v>1</v>
      </c>
      <c r="DZ8" s="311">
        <v>1</v>
      </c>
      <c r="EA8" s="311">
        <v>1</v>
      </c>
      <c r="EB8" s="311">
        <v>1</v>
      </c>
      <c r="EC8" s="311">
        <v>1</v>
      </c>
      <c r="ED8" s="311">
        <v>1</v>
      </c>
      <c r="EE8" s="311">
        <v>1</v>
      </c>
      <c r="EF8" s="311">
        <v>1</v>
      </c>
      <c r="EG8" s="311">
        <v>1</v>
      </c>
      <c r="EH8" s="312">
        <v>1</v>
      </c>
      <c r="EI8" s="285">
        <v>1</v>
      </c>
      <c r="EJ8" s="286">
        <v>1</v>
      </c>
      <c r="EK8" s="286">
        <v>1</v>
      </c>
      <c r="EL8" s="286">
        <v>1</v>
      </c>
      <c r="EM8" s="286">
        <v>1</v>
      </c>
      <c r="EN8" s="286">
        <v>1</v>
      </c>
      <c r="EO8" s="286">
        <v>1</v>
      </c>
      <c r="EP8" s="286">
        <v>1</v>
      </c>
      <c r="EQ8" s="286">
        <v>1</v>
      </c>
      <c r="ER8" s="287">
        <v>1</v>
      </c>
      <c r="ES8" s="316">
        <f t="shared" ref="ES8:ES56" si="2">SUM(I8:R8)</f>
        <v>8</v>
      </c>
      <c r="ET8" s="317">
        <f t="shared" ref="ET8:ET30" si="3">SUM(S8:AB8)</f>
        <v>10</v>
      </c>
      <c r="EU8" s="317">
        <f t="shared" ref="EU8:EU30" si="4">SUM(AC8:AL8)</f>
        <v>8</v>
      </c>
      <c r="EV8" s="317">
        <f t="shared" ref="EV8:EV30" si="5">SUM(AM8:AV8)</f>
        <v>10</v>
      </c>
      <c r="EW8" s="317">
        <f>SUM(BG8:BP8)</f>
        <v>10</v>
      </c>
      <c r="EX8" s="317">
        <f>SUM(BQ8:BZ8)</f>
        <v>10</v>
      </c>
      <c r="EY8" s="317">
        <f t="shared" ref="EY8:EY30" si="6">SUM(BQ8:BZ8)</f>
        <v>10</v>
      </c>
      <c r="EZ8" s="317">
        <f t="shared" ref="EZ8:EZ30" si="7">SUM(CA8:CJ8)</f>
        <v>0</v>
      </c>
      <c r="FA8" s="317">
        <f t="shared" ref="FA8:FA30" si="8">SUM(CK8:CT8)</f>
        <v>10</v>
      </c>
      <c r="FB8" s="317">
        <f t="shared" ref="FB8:FB30" si="9">SUM(CU8:DD8)</f>
        <v>10</v>
      </c>
      <c r="FC8" s="317">
        <f t="shared" ref="FC8:FC30" si="10">SUM(DE8:DN8)</f>
        <v>10</v>
      </c>
      <c r="FD8" s="317">
        <f t="shared" ref="FD8:FD30" si="11">SUM(DO8:DX8)</f>
        <v>10</v>
      </c>
      <c r="FE8" s="317">
        <f t="shared" ref="FE8:FE56" si="12">SUM(DY8:EH8)</f>
        <v>10</v>
      </c>
      <c r="FF8" s="317">
        <f t="shared" ref="FF8:FF56" si="13">SUM(EI8:ER8)</f>
        <v>10</v>
      </c>
      <c r="FG8" s="318">
        <v>1</v>
      </c>
      <c r="FH8" s="319">
        <f t="shared" ref="FH8:FH56" si="14">SUM(ES8:FF8)</f>
        <v>126</v>
      </c>
      <c r="FI8" s="319">
        <f>SUM(I7:ER7)-SUM(ES8:FF8)</f>
        <v>2</v>
      </c>
      <c r="FJ8" s="319">
        <f t="shared" ref="FJ8:FJ56" si="15">SUM(FH8:FI8)</f>
        <v>128</v>
      </c>
      <c r="FK8" s="7"/>
    </row>
    <row r="9" spans="1:167" ht="15" customHeight="1">
      <c r="A9" s="2"/>
      <c r="B9" s="3">
        <f t="shared" si="0"/>
        <v>1</v>
      </c>
      <c r="C9" s="182">
        <f t="shared" si="1"/>
        <v>2</v>
      </c>
      <c r="D9" s="183" t="s">
        <v>95</v>
      </c>
      <c r="E9" s="203"/>
      <c r="F9" s="203">
        <v>15</v>
      </c>
      <c r="G9" s="571">
        <v>45915</v>
      </c>
      <c r="H9" s="572"/>
      <c r="I9" s="212">
        <v>0</v>
      </c>
      <c r="J9" s="206">
        <v>0</v>
      </c>
      <c r="K9" s="206">
        <v>0</v>
      </c>
      <c r="L9" s="206">
        <v>0</v>
      </c>
      <c r="M9" s="206">
        <v>0</v>
      </c>
      <c r="N9" s="206">
        <v>0</v>
      </c>
      <c r="O9" s="206">
        <v>0</v>
      </c>
      <c r="P9" s="206">
        <v>0</v>
      </c>
      <c r="Q9" s="206">
        <v>0</v>
      </c>
      <c r="R9" s="213">
        <v>0</v>
      </c>
      <c r="S9" s="223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44">
        <v>0</v>
      </c>
      <c r="Z9" s="245">
        <v>0</v>
      </c>
      <c r="AA9" s="246">
        <v>0</v>
      </c>
      <c r="AB9" s="225">
        <v>0</v>
      </c>
      <c r="AC9" s="262">
        <v>1</v>
      </c>
      <c r="AD9" s="177">
        <v>1</v>
      </c>
      <c r="AE9" s="177">
        <v>1</v>
      </c>
      <c r="AF9" s="177">
        <v>1</v>
      </c>
      <c r="AG9" s="582"/>
      <c r="AH9" s="583"/>
      <c r="AI9" s="177">
        <v>1</v>
      </c>
      <c r="AJ9" s="177">
        <v>1</v>
      </c>
      <c r="AK9" s="177">
        <v>1</v>
      </c>
      <c r="AL9" s="263">
        <v>1</v>
      </c>
      <c r="AM9" s="235">
        <v>1</v>
      </c>
      <c r="AN9" s="271">
        <v>1</v>
      </c>
      <c r="AO9" s="236">
        <v>1</v>
      </c>
      <c r="AP9" s="236">
        <v>1</v>
      </c>
      <c r="AQ9" s="236">
        <v>1</v>
      </c>
      <c r="AR9" s="236">
        <v>1</v>
      </c>
      <c r="AS9" s="236">
        <v>1</v>
      </c>
      <c r="AT9" s="236">
        <v>1</v>
      </c>
      <c r="AU9" s="236">
        <v>1</v>
      </c>
      <c r="AV9" s="272">
        <v>1</v>
      </c>
      <c r="AW9" s="277">
        <v>1</v>
      </c>
      <c r="AX9" s="278">
        <v>1</v>
      </c>
      <c r="AY9" s="278">
        <v>1</v>
      </c>
      <c r="AZ9" s="127">
        <v>1</v>
      </c>
      <c r="BA9" s="278">
        <v>1</v>
      </c>
      <c r="BB9" s="278">
        <v>1</v>
      </c>
      <c r="BC9" s="278">
        <v>1</v>
      </c>
      <c r="BD9" s="127">
        <v>1</v>
      </c>
      <c r="BE9" s="278">
        <v>1</v>
      </c>
      <c r="BF9" s="280">
        <v>1</v>
      </c>
      <c r="BG9" s="212">
        <v>1</v>
      </c>
      <c r="BH9" s="206">
        <v>1</v>
      </c>
      <c r="BI9" s="206">
        <v>1</v>
      </c>
      <c r="BJ9" s="206">
        <v>1</v>
      </c>
      <c r="BK9" s="206">
        <v>1</v>
      </c>
      <c r="BL9" s="206">
        <v>1</v>
      </c>
      <c r="BM9" s="206">
        <v>1</v>
      </c>
      <c r="BN9" s="206">
        <v>1</v>
      </c>
      <c r="BO9" s="206">
        <v>1</v>
      </c>
      <c r="BP9" s="213">
        <v>1</v>
      </c>
      <c r="BQ9" s="226">
        <v>1</v>
      </c>
      <c r="BR9" s="227">
        <v>1</v>
      </c>
      <c r="BS9" s="227">
        <v>1</v>
      </c>
      <c r="BT9" s="227">
        <v>1</v>
      </c>
      <c r="BU9" s="227">
        <v>1</v>
      </c>
      <c r="BV9" s="227">
        <v>1</v>
      </c>
      <c r="BW9" s="227">
        <v>0</v>
      </c>
      <c r="BX9" s="227">
        <v>0</v>
      </c>
      <c r="BY9" s="227">
        <v>0</v>
      </c>
      <c r="BZ9" s="228">
        <v>0</v>
      </c>
      <c r="CA9" s="537"/>
      <c r="CB9" s="538"/>
      <c r="CC9" s="538"/>
      <c r="CD9" s="538"/>
      <c r="CE9" s="538"/>
      <c r="CF9" s="538"/>
      <c r="CG9" s="538"/>
      <c r="CH9" s="538"/>
      <c r="CI9" s="538"/>
      <c r="CJ9" s="538"/>
      <c r="CK9" s="237">
        <v>1</v>
      </c>
      <c r="CL9" s="238">
        <v>1</v>
      </c>
      <c r="CM9" s="238">
        <v>1</v>
      </c>
      <c r="CN9" s="238">
        <v>1</v>
      </c>
      <c r="CO9" s="238">
        <v>1</v>
      </c>
      <c r="CP9" s="238">
        <v>1</v>
      </c>
      <c r="CQ9" s="238">
        <v>1</v>
      </c>
      <c r="CR9" s="238">
        <v>1</v>
      </c>
      <c r="CS9" s="238">
        <v>1</v>
      </c>
      <c r="CT9" s="273">
        <v>1</v>
      </c>
      <c r="CU9" s="295">
        <v>1</v>
      </c>
      <c r="CV9" s="296">
        <v>1</v>
      </c>
      <c r="CW9" s="296">
        <v>1</v>
      </c>
      <c r="CX9" s="296">
        <v>1</v>
      </c>
      <c r="CY9" s="296">
        <v>1</v>
      </c>
      <c r="CZ9" s="296">
        <v>1</v>
      </c>
      <c r="DA9" s="296">
        <v>1</v>
      </c>
      <c r="DB9" s="296">
        <v>1</v>
      </c>
      <c r="DC9" s="297">
        <v>1</v>
      </c>
      <c r="DD9" s="298">
        <v>1</v>
      </c>
      <c r="DE9" s="214">
        <v>1</v>
      </c>
      <c r="DF9" s="207">
        <v>1</v>
      </c>
      <c r="DG9" s="207">
        <v>1</v>
      </c>
      <c r="DH9" s="207">
        <v>1</v>
      </c>
      <c r="DI9" s="207">
        <v>1</v>
      </c>
      <c r="DJ9" s="207">
        <v>1</v>
      </c>
      <c r="DK9" s="207">
        <v>1</v>
      </c>
      <c r="DL9" s="207">
        <v>1</v>
      </c>
      <c r="DM9" s="207">
        <v>1</v>
      </c>
      <c r="DN9" s="215">
        <v>1</v>
      </c>
      <c r="DO9" s="226">
        <v>1</v>
      </c>
      <c r="DP9" s="227">
        <v>1</v>
      </c>
      <c r="DQ9" s="227">
        <v>1</v>
      </c>
      <c r="DR9" s="227">
        <v>1</v>
      </c>
      <c r="DS9" s="227">
        <v>1</v>
      </c>
      <c r="DT9" s="227">
        <v>1</v>
      </c>
      <c r="DU9" s="227">
        <v>1</v>
      </c>
      <c r="DV9" s="227">
        <v>1</v>
      </c>
      <c r="DW9" s="227">
        <v>1</v>
      </c>
      <c r="DX9" s="228">
        <v>1</v>
      </c>
      <c r="DY9" s="90">
        <v>1</v>
      </c>
      <c r="DZ9" s="91">
        <v>1</v>
      </c>
      <c r="EA9" s="91">
        <v>1</v>
      </c>
      <c r="EB9" s="91">
        <v>1</v>
      </c>
      <c r="EC9" s="91">
        <v>1</v>
      </c>
      <c r="ED9" s="91">
        <v>1</v>
      </c>
      <c r="EE9" s="91">
        <v>1</v>
      </c>
      <c r="EF9" s="91">
        <v>1</v>
      </c>
      <c r="EG9" s="91">
        <v>1</v>
      </c>
      <c r="EH9" s="92">
        <v>1</v>
      </c>
      <c r="EI9" s="237">
        <v>1</v>
      </c>
      <c r="EJ9" s="238">
        <v>1</v>
      </c>
      <c r="EK9" s="238">
        <v>1</v>
      </c>
      <c r="EL9" s="238">
        <v>1</v>
      </c>
      <c r="EM9" s="238">
        <v>1</v>
      </c>
      <c r="EN9" s="238">
        <v>1</v>
      </c>
      <c r="EO9" s="238">
        <v>1</v>
      </c>
      <c r="EP9" s="238">
        <v>1</v>
      </c>
      <c r="EQ9" s="238">
        <v>1</v>
      </c>
      <c r="ER9" s="273">
        <v>1</v>
      </c>
      <c r="ES9" s="316">
        <f t="shared" si="2"/>
        <v>0</v>
      </c>
      <c r="ET9" s="317">
        <f t="shared" si="3"/>
        <v>0</v>
      </c>
      <c r="EU9" s="317">
        <f t="shared" si="4"/>
        <v>8</v>
      </c>
      <c r="EV9" s="317">
        <f t="shared" si="5"/>
        <v>10</v>
      </c>
      <c r="EW9" s="317">
        <f t="shared" ref="EW9:EW56" si="16">SUM(BG9:BP9)</f>
        <v>10</v>
      </c>
      <c r="EX9" s="317">
        <f t="shared" ref="EX9:EX30" si="17">SUM(BG9:BP9)</f>
        <v>10</v>
      </c>
      <c r="EY9" s="317">
        <f t="shared" si="6"/>
        <v>6</v>
      </c>
      <c r="EZ9" s="317">
        <f t="shared" si="7"/>
        <v>0</v>
      </c>
      <c r="FA9" s="317">
        <f t="shared" si="8"/>
        <v>10</v>
      </c>
      <c r="FB9" s="317">
        <f t="shared" si="9"/>
        <v>10</v>
      </c>
      <c r="FC9" s="317">
        <f t="shared" si="10"/>
        <v>10</v>
      </c>
      <c r="FD9" s="317">
        <f t="shared" si="11"/>
        <v>10</v>
      </c>
      <c r="FE9" s="317">
        <f t="shared" si="12"/>
        <v>10</v>
      </c>
      <c r="FF9" s="317">
        <f t="shared" si="13"/>
        <v>10</v>
      </c>
      <c r="FG9" s="318">
        <v>2</v>
      </c>
      <c r="FH9" s="319">
        <f t="shared" si="14"/>
        <v>104</v>
      </c>
      <c r="FI9" s="319">
        <f>SUM(I7:ER7)-SUM(ES9:FF9)</f>
        <v>24</v>
      </c>
      <c r="FJ9" s="319">
        <f t="shared" si="15"/>
        <v>128</v>
      </c>
      <c r="FK9" s="7"/>
    </row>
    <row r="10" spans="1:167" ht="15" customHeight="1">
      <c r="A10" s="2"/>
      <c r="B10" s="3">
        <f t="shared" si="0"/>
        <v>1</v>
      </c>
      <c r="C10" s="182">
        <f t="shared" si="1"/>
        <v>3</v>
      </c>
      <c r="D10" s="183" t="s">
        <v>96</v>
      </c>
      <c r="E10" s="203"/>
      <c r="F10" s="204">
        <v>18</v>
      </c>
      <c r="G10" s="573">
        <v>45915</v>
      </c>
      <c r="H10" s="572"/>
      <c r="I10" s="212">
        <v>0</v>
      </c>
      <c r="J10" s="206">
        <v>0</v>
      </c>
      <c r="K10" s="206">
        <v>0</v>
      </c>
      <c r="L10" s="206">
        <v>0</v>
      </c>
      <c r="M10" s="206">
        <v>1</v>
      </c>
      <c r="N10" s="206">
        <v>1</v>
      </c>
      <c r="O10" s="206">
        <v>1</v>
      </c>
      <c r="P10" s="206">
        <v>1</v>
      </c>
      <c r="Q10" s="206">
        <v>1</v>
      </c>
      <c r="R10" s="213">
        <v>1</v>
      </c>
      <c r="S10" s="223">
        <v>1</v>
      </c>
      <c r="T10" s="224">
        <v>1</v>
      </c>
      <c r="U10" s="224">
        <v>1</v>
      </c>
      <c r="V10" s="224">
        <v>1</v>
      </c>
      <c r="W10" s="224">
        <v>1</v>
      </c>
      <c r="X10" s="224">
        <v>1</v>
      </c>
      <c r="Y10" s="244">
        <v>1</v>
      </c>
      <c r="Z10" s="245">
        <v>1</v>
      </c>
      <c r="AA10" s="246">
        <v>1</v>
      </c>
      <c r="AB10" s="225">
        <v>1</v>
      </c>
      <c r="AC10" s="262">
        <v>1</v>
      </c>
      <c r="AD10" s="177">
        <v>1</v>
      </c>
      <c r="AE10" s="177">
        <v>1</v>
      </c>
      <c r="AF10" s="177">
        <v>1</v>
      </c>
      <c r="AG10" s="582"/>
      <c r="AH10" s="583"/>
      <c r="AI10" s="177">
        <v>1</v>
      </c>
      <c r="AJ10" s="177">
        <v>1</v>
      </c>
      <c r="AK10" s="177">
        <v>1</v>
      </c>
      <c r="AL10" s="263">
        <v>1</v>
      </c>
      <c r="AM10" s="235">
        <v>1</v>
      </c>
      <c r="AN10" s="271">
        <v>1</v>
      </c>
      <c r="AO10" s="236">
        <v>1</v>
      </c>
      <c r="AP10" s="236">
        <v>1</v>
      </c>
      <c r="AQ10" s="236">
        <v>1</v>
      </c>
      <c r="AR10" s="236">
        <v>1</v>
      </c>
      <c r="AS10" s="236">
        <v>1</v>
      </c>
      <c r="AT10" s="236">
        <v>1</v>
      </c>
      <c r="AU10" s="236">
        <v>1</v>
      </c>
      <c r="AV10" s="272">
        <v>1</v>
      </c>
      <c r="AW10" s="277">
        <v>1</v>
      </c>
      <c r="AX10" s="278">
        <v>1</v>
      </c>
      <c r="AY10" s="278">
        <v>1</v>
      </c>
      <c r="AZ10" s="127">
        <v>1</v>
      </c>
      <c r="BA10" s="278">
        <v>1</v>
      </c>
      <c r="BB10" s="278">
        <v>1</v>
      </c>
      <c r="BC10" s="278">
        <v>1</v>
      </c>
      <c r="BD10" s="127">
        <v>1</v>
      </c>
      <c r="BE10" s="278">
        <v>1</v>
      </c>
      <c r="BF10" s="280">
        <v>1</v>
      </c>
      <c r="BG10" s="212">
        <v>1</v>
      </c>
      <c r="BH10" s="206">
        <v>1</v>
      </c>
      <c r="BI10" s="206">
        <v>1</v>
      </c>
      <c r="BJ10" s="206">
        <v>1</v>
      </c>
      <c r="BK10" s="206">
        <v>1</v>
      </c>
      <c r="BL10" s="206">
        <v>1</v>
      </c>
      <c r="BM10" s="206">
        <v>1</v>
      </c>
      <c r="BN10" s="206">
        <v>1</v>
      </c>
      <c r="BO10" s="206">
        <v>1</v>
      </c>
      <c r="BP10" s="213">
        <v>1</v>
      </c>
      <c r="BQ10" s="226">
        <v>1</v>
      </c>
      <c r="BR10" s="227">
        <v>1</v>
      </c>
      <c r="BS10" s="227">
        <v>1</v>
      </c>
      <c r="BT10" s="227">
        <v>1</v>
      </c>
      <c r="BU10" s="227">
        <v>1</v>
      </c>
      <c r="BV10" s="227">
        <v>1</v>
      </c>
      <c r="BW10" s="227">
        <v>1</v>
      </c>
      <c r="BX10" s="227">
        <v>1</v>
      </c>
      <c r="BY10" s="227">
        <v>1</v>
      </c>
      <c r="BZ10" s="228">
        <v>1</v>
      </c>
      <c r="CA10" s="537"/>
      <c r="CB10" s="538"/>
      <c r="CC10" s="538"/>
      <c r="CD10" s="538"/>
      <c r="CE10" s="538"/>
      <c r="CF10" s="538"/>
      <c r="CG10" s="538"/>
      <c r="CH10" s="538"/>
      <c r="CI10" s="538"/>
      <c r="CJ10" s="538"/>
      <c r="CK10" s="237">
        <v>1</v>
      </c>
      <c r="CL10" s="238">
        <v>1</v>
      </c>
      <c r="CM10" s="238">
        <v>1</v>
      </c>
      <c r="CN10" s="238">
        <v>1</v>
      </c>
      <c r="CO10" s="238">
        <v>1</v>
      </c>
      <c r="CP10" s="238">
        <v>1</v>
      </c>
      <c r="CQ10" s="238">
        <v>1</v>
      </c>
      <c r="CR10" s="238">
        <v>1</v>
      </c>
      <c r="CS10" s="238">
        <v>1</v>
      </c>
      <c r="CT10" s="273">
        <v>1</v>
      </c>
      <c r="CU10" s="295">
        <v>1</v>
      </c>
      <c r="CV10" s="296">
        <v>1</v>
      </c>
      <c r="CW10" s="296">
        <v>1</v>
      </c>
      <c r="CX10" s="296">
        <v>1</v>
      </c>
      <c r="CY10" s="296">
        <v>1</v>
      </c>
      <c r="CZ10" s="296">
        <v>1</v>
      </c>
      <c r="DA10" s="296">
        <v>1</v>
      </c>
      <c r="DB10" s="296">
        <v>1</v>
      </c>
      <c r="DC10" s="297">
        <v>1</v>
      </c>
      <c r="DD10" s="298">
        <v>1</v>
      </c>
      <c r="DE10" s="214">
        <v>1</v>
      </c>
      <c r="DF10" s="207">
        <v>1</v>
      </c>
      <c r="DG10" s="207">
        <v>1</v>
      </c>
      <c r="DH10" s="207">
        <v>1</v>
      </c>
      <c r="DI10" s="207">
        <v>1</v>
      </c>
      <c r="DJ10" s="207">
        <v>1</v>
      </c>
      <c r="DK10" s="207">
        <v>1</v>
      </c>
      <c r="DL10" s="207">
        <v>1</v>
      </c>
      <c r="DM10" s="207">
        <v>1</v>
      </c>
      <c r="DN10" s="215">
        <v>1</v>
      </c>
      <c r="DO10" s="226">
        <v>1</v>
      </c>
      <c r="DP10" s="227">
        <v>1</v>
      </c>
      <c r="DQ10" s="227">
        <v>1</v>
      </c>
      <c r="DR10" s="227">
        <v>1</v>
      </c>
      <c r="DS10" s="227">
        <v>1</v>
      </c>
      <c r="DT10" s="227">
        <v>1</v>
      </c>
      <c r="DU10" s="227">
        <v>1</v>
      </c>
      <c r="DV10" s="227">
        <v>1</v>
      </c>
      <c r="DW10" s="227">
        <v>1</v>
      </c>
      <c r="DX10" s="228">
        <v>1</v>
      </c>
      <c r="DY10" s="90">
        <v>1</v>
      </c>
      <c r="DZ10" s="91">
        <v>1</v>
      </c>
      <c r="EA10" s="91">
        <v>1</v>
      </c>
      <c r="EB10" s="91">
        <v>1</v>
      </c>
      <c r="EC10" s="91">
        <v>1</v>
      </c>
      <c r="ED10" s="91">
        <v>1</v>
      </c>
      <c r="EE10" s="91">
        <v>1</v>
      </c>
      <c r="EF10" s="91">
        <v>1</v>
      </c>
      <c r="EG10" s="91">
        <v>1</v>
      </c>
      <c r="EH10" s="92">
        <v>1</v>
      </c>
      <c r="EI10" s="237">
        <v>1</v>
      </c>
      <c r="EJ10" s="238">
        <v>1</v>
      </c>
      <c r="EK10" s="238">
        <v>1</v>
      </c>
      <c r="EL10" s="238">
        <v>1</v>
      </c>
      <c r="EM10" s="238">
        <v>1</v>
      </c>
      <c r="EN10" s="238">
        <v>1</v>
      </c>
      <c r="EO10" s="238">
        <v>1</v>
      </c>
      <c r="EP10" s="238">
        <v>1</v>
      </c>
      <c r="EQ10" s="238">
        <v>1</v>
      </c>
      <c r="ER10" s="273">
        <v>1</v>
      </c>
      <c r="ES10" s="316">
        <f t="shared" si="2"/>
        <v>6</v>
      </c>
      <c r="ET10" s="317">
        <f t="shared" si="3"/>
        <v>10</v>
      </c>
      <c r="EU10" s="317">
        <f t="shared" si="4"/>
        <v>8</v>
      </c>
      <c r="EV10" s="317">
        <f t="shared" si="5"/>
        <v>10</v>
      </c>
      <c r="EW10" s="317">
        <f t="shared" si="16"/>
        <v>10</v>
      </c>
      <c r="EX10" s="317">
        <f t="shared" si="17"/>
        <v>10</v>
      </c>
      <c r="EY10" s="317">
        <f t="shared" si="6"/>
        <v>10</v>
      </c>
      <c r="EZ10" s="317">
        <f t="shared" si="7"/>
        <v>0</v>
      </c>
      <c r="FA10" s="317">
        <f t="shared" si="8"/>
        <v>10</v>
      </c>
      <c r="FB10" s="317">
        <f t="shared" si="9"/>
        <v>10</v>
      </c>
      <c r="FC10" s="317">
        <f t="shared" si="10"/>
        <v>10</v>
      </c>
      <c r="FD10" s="317">
        <f t="shared" si="11"/>
        <v>10</v>
      </c>
      <c r="FE10" s="317">
        <f t="shared" si="12"/>
        <v>10</v>
      </c>
      <c r="FF10" s="317">
        <f t="shared" si="13"/>
        <v>10</v>
      </c>
      <c r="FG10" s="318">
        <v>3</v>
      </c>
      <c r="FH10" s="319">
        <f t="shared" si="14"/>
        <v>124</v>
      </c>
      <c r="FI10" s="319">
        <f>SUM(I7:ER7)-SUM(ES10:FF10)</f>
        <v>4</v>
      </c>
      <c r="FJ10" s="319">
        <f t="shared" si="15"/>
        <v>128</v>
      </c>
      <c r="FK10" s="7"/>
    </row>
    <row r="11" spans="1:167" ht="15" customHeight="1">
      <c r="A11" s="2"/>
      <c r="B11" s="3">
        <f t="shared" si="0"/>
        <v>1</v>
      </c>
      <c r="C11" s="182">
        <f t="shared" si="1"/>
        <v>4</v>
      </c>
      <c r="D11" s="183" t="s">
        <v>97</v>
      </c>
      <c r="E11" s="203"/>
      <c r="F11" s="203">
        <v>16</v>
      </c>
      <c r="G11" s="571">
        <v>45915</v>
      </c>
      <c r="H11" s="572"/>
      <c r="I11" s="212">
        <v>1</v>
      </c>
      <c r="J11" s="206">
        <v>1</v>
      </c>
      <c r="K11" s="206">
        <v>1</v>
      </c>
      <c r="L11" s="206">
        <v>1</v>
      </c>
      <c r="M11" s="206">
        <v>1</v>
      </c>
      <c r="N11" s="206">
        <v>1</v>
      </c>
      <c r="O11" s="206">
        <v>1</v>
      </c>
      <c r="P11" s="206">
        <v>1</v>
      </c>
      <c r="Q11" s="206">
        <v>1</v>
      </c>
      <c r="R11" s="213">
        <v>1</v>
      </c>
      <c r="S11" s="223">
        <v>1</v>
      </c>
      <c r="T11" s="224">
        <v>1</v>
      </c>
      <c r="U11" s="224">
        <v>1</v>
      </c>
      <c r="V11" s="224">
        <v>1</v>
      </c>
      <c r="W11" s="224">
        <v>1</v>
      </c>
      <c r="X11" s="224">
        <v>1</v>
      </c>
      <c r="Y11" s="244">
        <v>1</v>
      </c>
      <c r="Z11" s="245">
        <v>1</v>
      </c>
      <c r="AA11" s="246">
        <v>1</v>
      </c>
      <c r="AB11" s="225">
        <v>1</v>
      </c>
      <c r="AC11" s="262">
        <v>1</v>
      </c>
      <c r="AD11" s="177">
        <v>1</v>
      </c>
      <c r="AE11" s="177">
        <v>1</v>
      </c>
      <c r="AF11" s="177">
        <v>1</v>
      </c>
      <c r="AG11" s="582"/>
      <c r="AH11" s="583"/>
      <c r="AI11" s="177">
        <v>1</v>
      </c>
      <c r="AJ11" s="177">
        <v>1</v>
      </c>
      <c r="AK11" s="177">
        <v>0</v>
      </c>
      <c r="AL11" s="263">
        <v>0</v>
      </c>
      <c r="AM11" s="235">
        <v>1</v>
      </c>
      <c r="AN11" s="271">
        <v>1</v>
      </c>
      <c r="AO11" s="236">
        <v>1</v>
      </c>
      <c r="AP11" s="236">
        <v>1</v>
      </c>
      <c r="AQ11" s="236">
        <v>1</v>
      </c>
      <c r="AR11" s="236">
        <v>1</v>
      </c>
      <c r="AS11" s="236">
        <v>0</v>
      </c>
      <c r="AT11" s="236">
        <v>0</v>
      </c>
      <c r="AU11" s="236">
        <v>0</v>
      </c>
      <c r="AV11" s="272">
        <v>0</v>
      </c>
      <c r="AW11" s="277">
        <v>1</v>
      </c>
      <c r="AX11" s="278">
        <v>1</v>
      </c>
      <c r="AY11" s="278">
        <v>1</v>
      </c>
      <c r="AZ11" s="127">
        <v>1</v>
      </c>
      <c r="BA11" s="278">
        <v>1</v>
      </c>
      <c r="BB11" s="278">
        <v>1</v>
      </c>
      <c r="BC11" s="278">
        <v>1</v>
      </c>
      <c r="BD11" s="127">
        <v>1</v>
      </c>
      <c r="BE11" s="278">
        <v>1</v>
      </c>
      <c r="BF11" s="280">
        <v>1</v>
      </c>
      <c r="BG11" s="212">
        <v>1</v>
      </c>
      <c r="BH11" s="206">
        <v>1</v>
      </c>
      <c r="BI11" s="206">
        <v>1</v>
      </c>
      <c r="BJ11" s="206">
        <v>1</v>
      </c>
      <c r="BK11" s="206">
        <v>1</v>
      </c>
      <c r="BL11" s="206">
        <v>1</v>
      </c>
      <c r="BM11" s="206">
        <v>1</v>
      </c>
      <c r="BN11" s="206">
        <v>1</v>
      </c>
      <c r="BO11" s="206">
        <v>1</v>
      </c>
      <c r="BP11" s="213">
        <v>1</v>
      </c>
      <c r="BQ11" s="226">
        <v>1</v>
      </c>
      <c r="BR11" s="227">
        <v>1</v>
      </c>
      <c r="BS11" s="227">
        <v>1</v>
      </c>
      <c r="BT11" s="227">
        <v>1</v>
      </c>
      <c r="BU11" s="227">
        <v>1</v>
      </c>
      <c r="BV11" s="227">
        <v>1</v>
      </c>
      <c r="BW11" s="227">
        <v>1</v>
      </c>
      <c r="BX11" s="227">
        <v>1</v>
      </c>
      <c r="BY11" s="227">
        <v>1</v>
      </c>
      <c r="BZ11" s="228">
        <v>1</v>
      </c>
      <c r="CA11" s="537"/>
      <c r="CB11" s="538"/>
      <c r="CC11" s="538"/>
      <c r="CD11" s="538"/>
      <c r="CE11" s="538"/>
      <c r="CF11" s="538"/>
      <c r="CG11" s="538"/>
      <c r="CH11" s="538"/>
      <c r="CI11" s="538"/>
      <c r="CJ11" s="538"/>
      <c r="CK11" s="237">
        <v>1</v>
      </c>
      <c r="CL11" s="238">
        <v>1</v>
      </c>
      <c r="CM11" s="238">
        <v>1</v>
      </c>
      <c r="CN11" s="238">
        <v>1</v>
      </c>
      <c r="CO11" s="238">
        <v>1</v>
      </c>
      <c r="CP11" s="238">
        <v>1</v>
      </c>
      <c r="CQ11" s="238">
        <v>1</v>
      </c>
      <c r="CR11" s="238">
        <v>1</v>
      </c>
      <c r="CS11" s="238">
        <v>1</v>
      </c>
      <c r="CT11" s="273">
        <v>1</v>
      </c>
      <c r="CU11" s="295">
        <v>1</v>
      </c>
      <c r="CV11" s="296">
        <v>1</v>
      </c>
      <c r="CW11" s="296">
        <v>1</v>
      </c>
      <c r="CX11" s="296">
        <v>1</v>
      </c>
      <c r="CY11" s="296">
        <v>1</v>
      </c>
      <c r="CZ11" s="296">
        <v>1</v>
      </c>
      <c r="DA11" s="296">
        <v>1</v>
      </c>
      <c r="DB11" s="296">
        <v>1</v>
      </c>
      <c r="DC11" s="297">
        <v>1</v>
      </c>
      <c r="DD11" s="298">
        <v>1</v>
      </c>
      <c r="DE11" s="214">
        <v>1</v>
      </c>
      <c r="DF11" s="207">
        <v>1</v>
      </c>
      <c r="DG11" s="207">
        <v>1</v>
      </c>
      <c r="DH11" s="207">
        <v>1</v>
      </c>
      <c r="DI11" s="207">
        <v>1</v>
      </c>
      <c r="DJ11" s="207">
        <v>1</v>
      </c>
      <c r="DK11" s="207">
        <v>1</v>
      </c>
      <c r="DL11" s="207">
        <v>1</v>
      </c>
      <c r="DM11" s="207">
        <v>1</v>
      </c>
      <c r="DN11" s="215">
        <v>1</v>
      </c>
      <c r="DO11" s="226">
        <v>1</v>
      </c>
      <c r="DP11" s="227">
        <v>1</v>
      </c>
      <c r="DQ11" s="227">
        <v>1</v>
      </c>
      <c r="DR11" s="227">
        <v>1</v>
      </c>
      <c r="DS11" s="227">
        <v>1</v>
      </c>
      <c r="DT11" s="227">
        <v>1</v>
      </c>
      <c r="DU11" s="227">
        <v>1</v>
      </c>
      <c r="DV11" s="227">
        <v>1</v>
      </c>
      <c r="DW11" s="227">
        <v>1</v>
      </c>
      <c r="DX11" s="228">
        <v>1</v>
      </c>
      <c r="DY11" s="90">
        <v>1</v>
      </c>
      <c r="DZ11" s="91">
        <v>1</v>
      </c>
      <c r="EA11" s="91">
        <v>1</v>
      </c>
      <c r="EB11" s="91">
        <v>1</v>
      </c>
      <c r="EC11" s="91">
        <v>1</v>
      </c>
      <c r="ED11" s="91">
        <v>1</v>
      </c>
      <c r="EE11" s="91">
        <v>1</v>
      </c>
      <c r="EF11" s="91">
        <v>1</v>
      </c>
      <c r="EG11" s="91">
        <v>1</v>
      </c>
      <c r="EH11" s="92">
        <v>1</v>
      </c>
      <c r="EI11" s="237">
        <v>1</v>
      </c>
      <c r="EJ11" s="238">
        <v>1</v>
      </c>
      <c r="EK11" s="238">
        <v>1</v>
      </c>
      <c r="EL11" s="238">
        <v>1</v>
      </c>
      <c r="EM11" s="238">
        <v>1</v>
      </c>
      <c r="EN11" s="238">
        <v>1</v>
      </c>
      <c r="EO11" s="238">
        <v>1</v>
      </c>
      <c r="EP11" s="238">
        <v>1</v>
      </c>
      <c r="EQ11" s="238">
        <v>1</v>
      </c>
      <c r="ER11" s="273">
        <v>1</v>
      </c>
      <c r="ES11" s="316">
        <f t="shared" si="2"/>
        <v>10</v>
      </c>
      <c r="ET11" s="317">
        <f t="shared" si="3"/>
        <v>10</v>
      </c>
      <c r="EU11" s="317">
        <f t="shared" si="4"/>
        <v>6</v>
      </c>
      <c r="EV11" s="317">
        <f t="shared" si="5"/>
        <v>6</v>
      </c>
      <c r="EW11" s="317">
        <f t="shared" si="16"/>
        <v>10</v>
      </c>
      <c r="EX11" s="317">
        <f t="shared" si="17"/>
        <v>10</v>
      </c>
      <c r="EY11" s="317">
        <f t="shared" si="6"/>
        <v>10</v>
      </c>
      <c r="EZ11" s="317">
        <f t="shared" si="7"/>
        <v>0</v>
      </c>
      <c r="FA11" s="317">
        <f t="shared" si="8"/>
        <v>10</v>
      </c>
      <c r="FB11" s="317">
        <f t="shared" si="9"/>
        <v>10</v>
      </c>
      <c r="FC11" s="317">
        <f t="shared" si="10"/>
        <v>10</v>
      </c>
      <c r="FD11" s="317">
        <f t="shared" si="11"/>
        <v>10</v>
      </c>
      <c r="FE11" s="317">
        <f t="shared" si="12"/>
        <v>10</v>
      </c>
      <c r="FF11" s="317">
        <f t="shared" si="13"/>
        <v>10</v>
      </c>
      <c r="FG11" s="318">
        <f t="shared" ref="FG11:FG56" si="18">ROW(FG9)</f>
        <v>9</v>
      </c>
      <c r="FH11" s="319">
        <f t="shared" si="14"/>
        <v>122</v>
      </c>
      <c r="FI11" s="319">
        <f>SUM(I7:ER7)-SUM(ES11:FF11)</f>
        <v>6</v>
      </c>
      <c r="FJ11" s="319">
        <f t="shared" si="15"/>
        <v>128</v>
      </c>
      <c r="FK11" s="7"/>
    </row>
    <row r="12" spans="1:167" ht="15" customHeight="1">
      <c r="A12" s="2"/>
      <c r="B12" s="3">
        <f t="shared" si="0"/>
        <v>1</v>
      </c>
      <c r="C12" s="182">
        <f t="shared" si="1"/>
        <v>5</v>
      </c>
      <c r="D12" s="183" t="s">
        <v>98</v>
      </c>
      <c r="E12" s="203"/>
      <c r="F12" s="203">
        <v>15</v>
      </c>
      <c r="G12" s="571">
        <v>45915</v>
      </c>
      <c r="H12" s="572"/>
      <c r="I12" s="212">
        <v>1</v>
      </c>
      <c r="J12" s="206">
        <v>1</v>
      </c>
      <c r="K12" s="206">
        <v>1</v>
      </c>
      <c r="L12" s="206">
        <v>1</v>
      </c>
      <c r="M12" s="206">
        <v>1</v>
      </c>
      <c r="N12" s="206">
        <v>1</v>
      </c>
      <c r="O12" s="206">
        <v>1</v>
      </c>
      <c r="P12" s="206">
        <v>1</v>
      </c>
      <c r="Q12" s="206">
        <v>1</v>
      </c>
      <c r="R12" s="213">
        <v>1</v>
      </c>
      <c r="S12" s="223">
        <v>1</v>
      </c>
      <c r="T12" s="224">
        <v>1</v>
      </c>
      <c r="U12" s="224">
        <v>1</v>
      </c>
      <c r="V12" s="224">
        <v>1</v>
      </c>
      <c r="W12" s="224">
        <v>1</v>
      </c>
      <c r="X12" s="224">
        <v>1</v>
      </c>
      <c r="Y12" s="244">
        <v>1</v>
      </c>
      <c r="Z12" s="245">
        <v>1</v>
      </c>
      <c r="AA12" s="246">
        <v>1</v>
      </c>
      <c r="AB12" s="225">
        <v>1</v>
      </c>
      <c r="AC12" s="262">
        <v>1</v>
      </c>
      <c r="AD12" s="177">
        <v>1</v>
      </c>
      <c r="AE12" s="177">
        <v>1</v>
      </c>
      <c r="AF12" s="177">
        <v>1</v>
      </c>
      <c r="AG12" s="582"/>
      <c r="AH12" s="583"/>
      <c r="AI12" s="177">
        <v>1</v>
      </c>
      <c r="AJ12" s="177">
        <v>1</v>
      </c>
      <c r="AK12" s="177">
        <v>1</v>
      </c>
      <c r="AL12" s="263">
        <v>1</v>
      </c>
      <c r="AM12" s="235">
        <v>1</v>
      </c>
      <c r="AN12" s="271">
        <v>1</v>
      </c>
      <c r="AO12" s="236">
        <v>1</v>
      </c>
      <c r="AP12" s="236">
        <v>1</v>
      </c>
      <c r="AQ12" s="236">
        <v>1</v>
      </c>
      <c r="AR12" s="236">
        <v>1</v>
      </c>
      <c r="AS12" s="236">
        <v>1</v>
      </c>
      <c r="AT12" s="236">
        <v>1</v>
      </c>
      <c r="AU12" s="236">
        <v>1</v>
      </c>
      <c r="AV12" s="272">
        <v>1</v>
      </c>
      <c r="AW12" s="277">
        <v>1</v>
      </c>
      <c r="AX12" s="278">
        <v>1</v>
      </c>
      <c r="AY12" s="278">
        <v>1</v>
      </c>
      <c r="AZ12" s="127">
        <v>1</v>
      </c>
      <c r="BA12" s="278">
        <v>1</v>
      </c>
      <c r="BB12" s="278">
        <v>1</v>
      </c>
      <c r="BC12" s="278">
        <v>1</v>
      </c>
      <c r="BD12" s="127">
        <v>1</v>
      </c>
      <c r="BE12" s="278">
        <v>1</v>
      </c>
      <c r="BF12" s="280">
        <v>1</v>
      </c>
      <c r="BG12" s="212">
        <v>1</v>
      </c>
      <c r="BH12" s="206">
        <v>1</v>
      </c>
      <c r="BI12" s="206">
        <v>1</v>
      </c>
      <c r="BJ12" s="206">
        <v>1</v>
      </c>
      <c r="BK12" s="206">
        <v>1</v>
      </c>
      <c r="BL12" s="206">
        <v>1</v>
      </c>
      <c r="BM12" s="206">
        <v>1</v>
      </c>
      <c r="BN12" s="206">
        <v>1</v>
      </c>
      <c r="BO12" s="206">
        <v>1</v>
      </c>
      <c r="BP12" s="213">
        <v>1</v>
      </c>
      <c r="BQ12" s="226">
        <v>1</v>
      </c>
      <c r="BR12" s="227">
        <v>1</v>
      </c>
      <c r="BS12" s="227">
        <v>1</v>
      </c>
      <c r="BT12" s="227">
        <v>1</v>
      </c>
      <c r="BU12" s="227">
        <v>1</v>
      </c>
      <c r="BV12" s="227">
        <v>1</v>
      </c>
      <c r="BW12" s="227">
        <v>1</v>
      </c>
      <c r="BX12" s="227">
        <v>1</v>
      </c>
      <c r="BY12" s="227">
        <v>1</v>
      </c>
      <c r="BZ12" s="228">
        <v>1</v>
      </c>
      <c r="CA12" s="537"/>
      <c r="CB12" s="538"/>
      <c r="CC12" s="538"/>
      <c r="CD12" s="538"/>
      <c r="CE12" s="538"/>
      <c r="CF12" s="538"/>
      <c r="CG12" s="538"/>
      <c r="CH12" s="538"/>
      <c r="CI12" s="538"/>
      <c r="CJ12" s="538"/>
      <c r="CK12" s="237">
        <v>1</v>
      </c>
      <c r="CL12" s="238">
        <v>1</v>
      </c>
      <c r="CM12" s="238">
        <v>1</v>
      </c>
      <c r="CN12" s="238">
        <v>1</v>
      </c>
      <c r="CO12" s="238">
        <v>1</v>
      </c>
      <c r="CP12" s="238">
        <v>1</v>
      </c>
      <c r="CQ12" s="238">
        <v>1</v>
      </c>
      <c r="CR12" s="238">
        <v>1</v>
      </c>
      <c r="CS12" s="238">
        <v>1</v>
      </c>
      <c r="CT12" s="273">
        <v>1</v>
      </c>
      <c r="CU12" s="295">
        <v>1</v>
      </c>
      <c r="CV12" s="296">
        <v>1</v>
      </c>
      <c r="CW12" s="296">
        <v>1</v>
      </c>
      <c r="CX12" s="296">
        <v>1</v>
      </c>
      <c r="CY12" s="296">
        <v>1</v>
      </c>
      <c r="CZ12" s="296">
        <v>1</v>
      </c>
      <c r="DA12" s="296">
        <v>1</v>
      </c>
      <c r="DB12" s="296">
        <v>1</v>
      </c>
      <c r="DC12" s="297">
        <v>1</v>
      </c>
      <c r="DD12" s="298">
        <v>1</v>
      </c>
      <c r="DE12" s="214">
        <v>1</v>
      </c>
      <c r="DF12" s="207">
        <v>1</v>
      </c>
      <c r="DG12" s="207">
        <v>1</v>
      </c>
      <c r="DH12" s="207">
        <v>1</v>
      </c>
      <c r="DI12" s="207">
        <v>1</v>
      </c>
      <c r="DJ12" s="207">
        <v>1</v>
      </c>
      <c r="DK12" s="207">
        <v>1</v>
      </c>
      <c r="DL12" s="207">
        <v>1</v>
      </c>
      <c r="DM12" s="207">
        <v>1</v>
      </c>
      <c r="DN12" s="215">
        <v>1</v>
      </c>
      <c r="DO12" s="226">
        <v>1</v>
      </c>
      <c r="DP12" s="227">
        <v>1</v>
      </c>
      <c r="DQ12" s="227">
        <v>1</v>
      </c>
      <c r="DR12" s="227">
        <v>1</v>
      </c>
      <c r="DS12" s="227">
        <v>1</v>
      </c>
      <c r="DT12" s="227">
        <v>1</v>
      </c>
      <c r="DU12" s="227">
        <v>1</v>
      </c>
      <c r="DV12" s="227">
        <v>1</v>
      </c>
      <c r="DW12" s="227">
        <v>1</v>
      </c>
      <c r="DX12" s="228">
        <v>1</v>
      </c>
      <c r="DY12" s="90">
        <v>1</v>
      </c>
      <c r="DZ12" s="91">
        <v>1</v>
      </c>
      <c r="EA12" s="91">
        <v>1</v>
      </c>
      <c r="EB12" s="91">
        <v>1</v>
      </c>
      <c r="EC12" s="91">
        <v>1</v>
      </c>
      <c r="ED12" s="91">
        <v>1</v>
      </c>
      <c r="EE12" s="91">
        <v>1</v>
      </c>
      <c r="EF12" s="91">
        <v>1</v>
      </c>
      <c r="EG12" s="91">
        <v>1</v>
      </c>
      <c r="EH12" s="92">
        <v>1</v>
      </c>
      <c r="EI12" s="237">
        <v>1</v>
      </c>
      <c r="EJ12" s="238">
        <v>1</v>
      </c>
      <c r="EK12" s="238">
        <v>1</v>
      </c>
      <c r="EL12" s="238">
        <v>1</v>
      </c>
      <c r="EM12" s="238">
        <v>1</v>
      </c>
      <c r="EN12" s="238">
        <v>1</v>
      </c>
      <c r="EO12" s="238">
        <v>1</v>
      </c>
      <c r="EP12" s="238">
        <v>1</v>
      </c>
      <c r="EQ12" s="238">
        <v>1</v>
      </c>
      <c r="ER12" s="273">
        <v>1</v>
      </c>
      <c r="ES12" s="316">
        <f t="shared" si="2"/>
        <v>10</v>
      </c>
      <c r="ET12" s="317">
        <f t="shared" si="3"/>
        <v>10</v>
      </c>
      <c r="EU12" s="317">
        <f t="shared" si="4"/>
        <v>8</v>
      </c>
      <c r="EV12" s="317">
        <f t="shared" si="5"/>
        <v>10</v>
      </c>
      <c r="EW12" s="317">
        <f t="shared" si="16"/>
        <v>10</v>
      </c>
      <c r="EX12" s="317">
        <f t="shared" si="17"/>
        <v>10</v>
      </c>
      <c r="EY12" s="317">
        <f t="shared" si="6"/>
        <v>10</v>
      </c>
      <c r="EZ12" s="317">
        <f t="shared" si="7"/>
        <v>0</v>
      </c>
      <c r="FA12" s="317">
        <f t="shared" si="8"/>
        <v>10</v>
      </c>
      <c r="FB12" s="317">
        <f t="shared" si="9"/>
        <v>10</v>
      </c>
      <c r="FC12" s="317">
        <f t="shared" si="10"/>
        <v>10</v>
      </c>
      <c r="FD12" s="317">
        <f t="shared" si="11"/>
        <v>10</v>
      </c>
      <c r="FE12" s="317">
        <f t="shared" si="12"/>
        <v>10</v>
      </c>
      <c r="FF12" s="317">
        <f t="shared" si="13"/>
        <v>10</v>
      </c>
      <c r="FG12" s="318">
        <f t="shared" si="18"/>
        <v>10</v>
      </c>
      <c r="FH12" s="319">
        <f t="shared" si="14"/>
        <v>128</v>
      </c>
      <c r="FI12" s="319">
        <f>SUM(I7:ER7)-SUM(ES12:FF12)</f>
        <v>0</v>
      </c>
      <c r="FJ12" s="319">
        <f t="shared" si="15"/>
        <v>128</v>
      </c>
      <c r="FK12" s="7"/>
    </row>
    <row r="13" spans="1:167" ht="15" customHeight="1">
      <c r="A13" s="2"/>
      <c r="B13" s="3">
        <f t="shared" si="0"/>
        <v>1</v>
      </c>
      <c r="C13" s="182">
        <f t="shared" si="1"/>
        <v>6</v>
      </c>
      <c r="D13" s="183" t="s">
        <v>99</v>
      </c>
      <c r="E13" s="203"/>
      <c r="F13" s="203">
        <v>15</v>
      </c>
      <c r="G13" s="571">
        <v>45915</v>
      </c>
      <c r="H13" s="572"/>
      <c r="I13" s="212">
        <v>0</v>
      </c>
      <c r="J13" s="206">
        <v>0</v>
      </c>
      <c r="K13" s="206">
        <v>1</v>
      </c>
      <c r="L13" s="206">
        <v>1</v>
      </c>
      <c r="M13" s="206">
        <v>1</v>
      </c>
      <c r="N13" s="206">
        <v>1</v>
      </c>
      <c r="O13" s="206">
        <v>1</v>
      </c>
      <c r="P13" s="206">
        <v>1</v>
      </c>
      <c r="Q13" s="206">
        <v>1</v>
      </c>
      <c r="R13" s="213">
        <v>1</v>
      </c>
      <c r="S13" s="223">
        <v>1</v>
      </c>
      <c r="T13" s="224">
        <v>1</v>
      </c>
      <c r="U13" s="224">
        <v>1</v>
      </c>
      <c r="V13" s="224">
        <v>1</v>
      </c>
      <c r="W13" s="224">
        <v>1</v>
      </c>
      <c r="X13" s="224">
        <v>1</v>
      </c>
      <c r="Y13" s="244">
        <v>1</v>
      </c>
      <c r="Z13" s="245">
        <v>1</v>
      </c>
      <c r="AA13" s="246">
        <v>1</v>
      </c>
      <c r="AB13" s="225">
        <v>1</v>
      </c>
      <c r="AC13" s="262">
        <v>1</v>
      </c>
      <c r="AD13" s="177">
        <v>1</v>
      </c>
      <c r="AE13" s="177">
        <v>1</v>
      </c>
      <c r="AF13" s="177">
        <v>1</v>
      </c>
      <c r="AG13" s="582"/>
      <c r="AH13" s="583"/>
      <c r="AI13" s="177">
        <v>0</v>
      </c>
      <c r="AJ13" s="177">
        <v>0</v>
      </c>
      <c r="AK13" s="177">
        <v>1</v>
      </c>
      <c r="AL13" s="263">
        <v>1</v>
      </c>
      <c r="AM13" s="235">
        <v>1</v>
      </c>
      <c r="AN13" s="271">
        <v>1</v>
      </c>
      <c r="AO13" s="236">
        <v>1</v>
      </c>
      <c r="AP13" s="236">
        <v>1</v>
      </c>
      <c r="AQ13" s="236">
        <v>1</v>
      </c>
      <c r="AR13" s="236">
        <v>1</v>
      </c>
      <c r="AS13" s="236">
        <v>1</v>
      </c>
      <c r="AT13" s="236">
        <v>1</v>
      </c>
      <c r="AU13" s="236">
        <v>1</v>
      </c>
      <c r="AV13" s="272">
        <v>1</v>
      </c>
      <c r="AW13" s="277">
        <v>1</v>
      </c>
      <c r="AX13" s="278">
        <v>1</v>
      </c>
      <c r="AY13" s="278">
        <v>1</v>
      </c>
      <c r="AZ13" s="127">
        <v>1</v>
      </c>
      <c r="BA13" s="278">
        <v>1</v>
      </c>
      <c r="BB13" s="278">
        <v>1</v>
      </c>
      <c r="BC13" s="278">
        <v>1</v>
      </c>
      <c r="BD13" s="127">
        <v>1</v>
      </c>
      <c r="BE13" s="278">
        <v>1</v>
      </c>
      <c r="BF13" s="280">
        <v>1</v>
      </c>
      <c r="BG13" s="212">
        <v>1</v>
      </c>
      <c r="BH13" s="206">
        <v>1</v>
      </c>
      <c r="BI13" s="206">
        <v>1</v>
      </c>
      <c r="BJ13" s="206">
        <v>1</v>
      </c>
      <c r="BK13" s="206">
        <v>0</v>
      </c>
      <c r="BL13" s="206">
        <v>0</v>
      </c>
      <c r="BM13" s="206">
        <v>0</v>
      </c>
      <c r="BN13" s="206">
        <v>0</v>
      </c>
      <c r="BO13" s="206">
        <v>0</v>
      </c>
      <c r="BP13" s="213">
        <v>0</v>
      </c>
      <c r="BQ13" s="226">
        <v>1</v>
      </c>
      <c r="BR13" s="227">
        <v>1</v>
      </c>
      <c r="BS13" s="227">
        <v>1</v>
      </c>
      <c r="BT13" s="227">
        <v>1</v>
      </c>
      <c r="BU13" s="227">
        <v>1</v>
      </c>
      <c r="BV13" s="227">
        <v>1</v>
      </c>
      <c r="BW13" s="227">
        <v>1</v>
      </c>
      <c r="BX13" s="227">
        <v>1</v>
      </c>
      <c r="BY13" s="227">
        <v>1</v>
      </c>
      <c r="BZ13" s="228">
        <v>1</v>
      </c>
      <c r="CA13" s="537"/>
      <c r="CB13" s="538"/>
      <c r="CC13" s="538"/>
      <c r="CD13" s="538"/>
      <c r="CE13" s="538"/>
      <c r="CF13" s="538"/>
      <c r="CG13" s="538"/>
      <c r="CH13" s="538"/>
      <c r="CI13" s="538"/>
      <c r="CJ13" s="538"/>
      <c r="CK13" s="237">
        <v>1</v>
      </c>
      <c r="CL13" s="238">
        <v>1</v>
      </c>
      <c r="CM13" s="238">
        <v>1</v>
      </c>
      <c r="CN13" s="238">
        <v>1</v>
      </c>
      <c r="CO13" s="238">
        <v>1</v>
      </c>
      <c r="CP13" s="238">
        <v>1</v>
      </c>
      <c r="CQ13" s="238">
        <v>1</v>
      </c>
      <c r="CR13" s="238">
        <v>1</v>
      </c>
      <c r="CS13" s="238">
        <v>1</v>
      </c>
      <c r="CT13" s="273">
        <v>1</v>
      </c>
      <c r="CU13" s="295">
        <v>1</v>
      </c>
      <c r="CV13" s="296">
        <v>1</v>
      </c>
      <c r="CW13" s="296">
        <v>1</v>
      </c>
      <c r="CX13" s="296">
        <v>1</v>
      </c>
      <c r="CY13" s="296">
        <v>1</v>
      </c>
      <c r="CZ13" s="296">
        <v>1</v>
      </c>
      <c r="DA13" s="296">
        <v>1</v>
      </c>
      <c r="DB13" s="296">
        <v>1</v>
      </c>
      <c r="DC13" s="297">
        <v>1</v>
      </c>
      <c r="DD13" s="298">
        <v>1</v>
      </c>
      <c r="DE13" s="214">
        <v>1</v>
      </c>
      <c r="DF13" s="207">
        <v>1</v>
      </c>
      <c r="DG13" s="207">
        <v>1</v>
      </c>
      <c r="DH13" s="207">
        <v>1</v>
      </c>
      <c r="DI13" s="207">
        <v>1</v>
      </c>
      <c r="DJ13" s="207">
        <v>1</v>
      </c>
      <c r="DK13" s="207">
        <v>1</v>
      </c>
      <c r="DL13" s="207">
        <v>1</v>
      </c>
      <c r="DM13" s="207">
        <v>1</v>
      </c>
      <c r="DN13" s="215">
        <v>1</v>
      </c>
      <c r="DO13" s="226">
        <v>1</v>
      </c>
      <c r="DP13" s="227">
        <v>1</v>
      </c>
      <c r="DQ13" s="227">
        <v>1</v>
      </c>
      <c r="DR13" s="227">
        <v>1</v>
      </c>
      <c r="DS13" s="227">
        <v>1</v>
      </c>
      <c r="DT13" s="227">
        <v>1</v>
      </c>
      <c r="DU13" s="227">
        <v>1</v>
      </c>
      <c r="DV13" s="227">
        <v>1</v>
      </c>
      <c r="DW13" s="227">
        <v>1</v>
      </c>
      <c r="DX13" s="228">
        <v>1</v>
      </c>
      <c r="DY13" s="90">
        <v>1</v>
      </c>
      <c r="DZ13" s="91">
        <v>1</v>
      </c>
      <c r="EA13" s="91">
        <v>1</v>
      </c>
      <c r="EB13" s="91">
        <v>1</v>
      </c>
      <c r="EC13" s="91">
        <v>1</v>
      </c>
      <c r="ED13" s="91">
        <v>1</v>
      </c>
      <c r="EE13" s="91">
        <v>1</v>
      </c>
      <c r="EF13" s="91">
        <v>1</v>
      </c>
      <c r="EG13" s="91">
        <v>1</v>
      </c>
      <c r="EH13" s="92">
        <v>1</v>
      </c>
      <c r="EI13" s="237">
        <v>1</v>
      </c>
      <c r="EJ13" s="238">
        <v>1</v>
      </c>
      <c r="EK13" s="238">
        <v>1</v>
      </c>
      <c r="EL13" s="238">
        <v>1</v>
      </c>
      <c r="EM13" s="238">
        <v>1</v>
      </c>
      <c r="EN13" s="238">
        <v>1</v>
      </c>
      <c r="EO13" s="238">
        <v>1</v>
      </c>
      <c r="EP13" s="238">
        <v>1</v>
      </c>
      <c r="EQ13" s="238">
        <v>1</v>
      </c>
      <c r="ER13" s="273">
        <v>1</v>
      </c>
      <c r="ES13" s="316">
        <f t="shared" si="2"/>
        <v>8</v>
      </c>
      <c r="ET13" s="317">
        <f t="shared" si="3"/>
        <v>10</v>
      </c>
      <c r="EU13" s="317">
        <f t="shared" si="4"/>
        <v>6</v>
      </c>
      <c r="EV13" s="317">
        <f t="shared" si="5"/>
        <v>10</v>
      </c>
      <c r="EW13" s="317">
        <f t="shared" si="16"/>
        <v>4</v>
      </c>
      <c r="EX13" s="317">
        <f t="shared" si="17"/>
        <v>4</v>
      </c>
      <c r="EY13" s="317">
        <f t="shared" si="6"/>
        <v>10</v>
      </c>
      <c r="EZ13" s="317">
        <f t="shared" si="7"/>
        <v>0</v>
      </c>
      <c r="FA13" s="317">
        <f t="shared" si="8"/>
        <v>10</v>
      </c>
      <c r="FB13" s="317">
        <f t="shared" si="9"/>
        <v>10</v>
      </c>
      <c r="FC13" s="317">
        <f t="shared" si="10"/>
        <v>10</v>
      </c>
      <c r="FD13" s="317">
        <f t="shared" si="11"/>
        <v>10</v>
      </c>
      <c r="FE13" s="317">
        <f t="shared" si="12"/>
        <v>10</v>
      </c>
      <c r="FF13" s="317">
        <f t="shared" si="13"/>
        <v>10</v>
      </c>
      <c r="FG13" s="318">
        <f t="shared" si="18"/>
        <v>11</v>
      </c>
      <c r="FH13" s="319">
        <f t="shared" si="14"/>
        <v>112</v>
      </c>
      <c r="FI13" s="319">
        <f>SUM(I7:ER7)-SUM(ES13:FF13)</f>
        <v>16</v>
      </c>
      <c r="FJ13" s="319">
        <f t="shared" si="15"/>
        <v>128</v>
      </c>
      <c r="FK13" s="7"/>
    </row>
    <row r="14" spans="1:167" ht="15" customHeight="1">
      <c r="A14" s="2"/>
      <c r="B14" s="3">
        <f t="shared" si="0"/>
        <v>1</v>
      </c>
      <c r="C14" s="182">
        <f t="shared" si="1"/>
        <v>7</v>
      </c>
      <c r="D14" s="183" t="s">
        <v>209</v>
      </c>
      <c r="E14" s="203"/>
      <c r="F14" s="203">
        <v>15</v>
      </c>
      <c r="G14" s="571">
        <v>45915</v>
      </c>
      <c r="H14" s="572"/>
      <c r="I14" s="212">
        <v>0</v>
      </c>
      <c r="J14" s="206">
        <v>0</v>
      </c>
      <c r="K14" s="206">
        <v>0</v>
      </c>
      <c r="L14" s="206">
        <v>0</v>
      </c>
      <c r="M14" s="206">
        <v>0</v>
      </c>
      <c r="N14" s="206">
        <v>0</v>
      </c>
      <c r="O14" s="206">
        <v>0</v>
      </c>
      <c r="P14" s="206">
        <v>0</v>
      </c>
      <c r="Q14" s="206">
        <v>0</v>
      </c>
      <c r="R14" s="213">
        <v>0</v>
      </c>
      <c r="S14" s="223">
        <v>1</v>
      </c>
      <c r="T14" s="224">
        <v>1</v>
      </c>
      <c r="U14" s="224">
        <v>1</v>
      </c>
      <c r="V14" s="224">
        <v>1</v>
      </c>
      <c r="W14" s="224">
        <v>1</v>
      </c>
      <c r="X14" s="224">
        <v>1</v>
      </c>
      <c r="Y14" s="244">
        <v>1</v>
      </c>
      <c r="Z14" s="245">
        <v>1</v>
      </c>
      <c r="AA14" s="246">
        <v>1</v>
      </c>
      <c r="AB14" s="225">
        <v>1</v>
      </c>
      <c r="AC14" s="262">
        <v>1</v>
      </c>
      <c r="AD14" s="177">
        <v>1</v>
      </c>
      <c r="AE14" s="177">
        <v>1</v>
      </c>
      <c r="AF14" s="177">
        <v>1</v>
      </c>
      <c r="AG14" s="582"/>
      <c r="AH14" s="583"/>
      <c r="AI14" s="177">
        <v>1</v>
      </c>
      <c r="AJ14" s="177">
        <v>1</v>
      </c>
      <c r="AK14" s="177">
        <v>1</v>
      </c>
      <c r="AL14" s="263">
        <v>1</v>
      </c>
      <c r="AM14" s="235">
        <v>1</v>
      </c>
      <c r="AN14" s="271">
        <v>1</v>
      </c>
      <c r="AO14" s="236">
        <v>1</v>
      </c>
      <c r="AP14" s="236">
        <v>1</v>
      </c>
      <c r="AQ14" s="236">
        <v>1</v>
      </c>
      <c r="AR14" s="236">
        <v>1</v>
      </c>
      <c r="AS14" s="236">
        <v>1</v>
      </c>
      <c r="AT14" s="236">
        <v>1</v>
      </c>
      <c r="AU14" s="236">
        <v>1</v>
      </c>
      <c r="AV14" s="272">
        <v>1</v>
      </c>
      <c r="AW14" s="277">
        <v>1</v>
      </c>
      <c r="AX14" s="278">
        <v>1</v>
      </c>
      <c r="AY14" s="278">
        <v>1</v>
      </c>
      <c r="AZ14" s="127">
        <v>1</v>
      </c>
      <c r="BA14" s="278">
        <v>1</v>
      </c>
      <c r="BB14" s="278">
        <v>1</v>
      </c>
      <c r="BC14" s="278">
        <v>1</v>
      </c>
      <c r="BD14" s="127">
        <v>1</v>
      </c>
      <c r="BE14" s="278">
        <v>1</v>
      </c>
      <c r="BF14" s="280">
        <v>1</v>
      </c>
      <c r="BG14" s="212">
        <v>1</v>
      </c>
      <c r="BH14" s="206">
        <v>1</v>
      </c>
      <c r="BI14" s="206">
        <v>1</v>
      </c>
      <c r="BJ14" s="206">
        <v>1</v>
      </c>
      <c r="BK14" s="206">
        <v>1</v>
      </c>
      <c r="BL14" s="206">
        <v>1</v>
      </c>
      <c r="BM14" s="206">
        <v>1</v>
      </c>
      <c r="BN14" s="206">
        <v>1</v>
      </c>
      <c r="BO14" s="206">
        <v>1</v>
      </c>
      <c r="BP14" s="213">
        <v>1</v>
      </c>
      <c r="BQ14" s="226">
        <v>0</v>
      </c>
      <c r="BR14" s="227">
        <v>0</v>
      </c>
      <c r="BS14" s="227">
        <v>1</v>
      </c>
      <c r="BT14" s="227">
        <v>1</v>
      </c>
      <c r="BU14" s="227">
        <v>1</v>
      </c>
      <c r="BV14" s="227">
        <v>1</v>
      </c>
      <c r="BW14" s="227">
        <v>1</v>
      </c>
      <c r="BX14" s="227">
        <v>1</v>
      </c>
      <c r="BY14" s="227">
        <v>1</v>
      </c>
      <c r="BZ14" s="228">
        <v>1</v>
      </c>
      <c r="CA14" s="537"/>
      <c r="CB14" s="538"/>
      <c r="CC14" s="538"/>
      <c r="CD14" s="538"/>
      <c r="CE14" s="538"/>
      <c r="CF14" s="538"/>
      <c r="CG14" s="538"/>
      <c r="CH14" s="538"/>
      <c r="CI14" s="538"/>
      <c r="CJ14" s="538"/>
      <c r="CK14" s="237">
        <v>1</v>
      </c>
      <c r="CL14" s="238">
        <v>1</v>
      </c>
      <c r="CM14" s="238">
        <v>1</v>
      </c>
      <c r="CN14" s="238">
        <v>1</v>
      </c>
      <c r="CO14" s="238">
        <v>1</v>
      </c>
      <c r="CP14" s="238">
        <v>1</v>
      </c>
      <c r="CQ14" s="238">
        <v>1</v>
      </c>
      <c r="CR14" s="238">
        <v>1</v>
      </c>
      <c r="CS14" s="238">
        <v>1</v>
      </c>
      <c r="CT14" s="273">
        <v>1</v>
      </c>
      <c r="CU14" s="295">
        <v>1</v>
      </c>
      <c r="CV14" s="296">
        <v>1</v>
      </c>
      <c r="CW14" s="296">
        <v>1</v>
      </c>
      <c r="CX14" s="296">
        <v>1</v>
      </c>
      <c r="CY14" s="296">
        <v>1</v>
      </c>
      <c r="CZ14" s="296">
        <v>1</v>
      </c>
      <c r="DA14" s="296">
        <v>1</v>
      </c>
      <c r="DB14" s="296">
        <v>1</v>
      </c>
      <c r="DC14" s="297">
        <v>1</v>
      </c>
      <c r="DD14" s="298">
        <v>1</v>
      </c>
      <c r="DE14" s="214">
        <v>1</v>
      </c>
      <c r="DF14" s="207">
        <v>1</v>
      </c>
      <c r="DG14" s="207">
        <v>1</v>
      </c>
      <c r="DH14" s="207">
        <v>1</v>
      </c>
      <c r="DI14" s="207">
        <v>1</v>
      </c>
      <c r="DJ14" s="207">
        <v>1</v>
      </c>
      <c r="DK14" s="207">
        <v>1</v>
      </c>
      <c r="DL14" s="207">
        <v>1</v>
      </c>
      <c r="DM14" s="207">
        <v>1</v>
      </c>
      <c r="DN14" s="215">
        <v>1</v>
      </c>
      <c r="DO14" s="226">
        <v>1</v>
      </c>
      <c r="DP14" s="227">
        <v>1</v>
      </c>
      <c r="DQ14" s="227">
        <v>1</v>
      </c>
      <c r="DR14" s="227">
        <v>1</v>
      </c>
      <c r="DS14" s="227">
        <v>1</v>
      </c>
      <c r="DT14" s="227">
        <v>1</v>
      </c>
      <c r="DU14" s="227">
        <v>1</v>
      </c>
      <c r="DV14" s="227">
        <v>1</v>
      </c>
      <c r="DW14" s="227">
        <v>1</v>
      </c>
      <c r="DX14" s="228">
        <v>1</v>
      </c>
      <c r="DY14" s="90">
        <v>1</v>
      </c>
      <c r="DZ14" s="91">
        <v>1</v>
      </c>
      <c r="EA14" s="91">
        <v>1</v>
      </c>
      <c r="EB14" s="91">
        <v>1</v>
      </c>
      <c r="EC14" s="91">
        <v>1</v>
      </c>
      <c r="ED14" s="91">
        <v>1</v>
      </c>
      <c r="EE14" s="91">
        <v>1</v>
      </c>
      <c r="EF14" s="91">
        <v>1</v>
      </c>
      <c r="EG14" s="91">
        <v>1</v>
      </c>
      <c r="EH14" s="92">
        <v>1</v>
      </c>
      <c r="EI14" s="237">
        <v>1</v>
      </c>
      <c r="EJ14" s="238">
        <v>1</v>
      </c>
      <c r="EK14" s="238">
        <v>1</v>
      </c>
      <c r="EL14" s="238">
        <v>1</v>
      </c>
      <c r="EM14" s="238">
        <v>1</v>
      </c>
      <c r="EN14" s="238">
        <v>1</v>
      </c>
      <c r="EO14" s="238">
        <v>1</v>
      </c>
      <c r="EP14" s="238">
        <v>1</v>
      </c>
      <c r="EQ14" s="238">
        <v>1</v>
      </c>
      <c r="ER14" s="273">
        <v>1</v>
      </c>
      <c r="ES14" s="316">
        <f t="shared" si="2"/>
        <v>0</v>
      </c>
      <c r="ET14" s="317">
        <f t="shared" si="3"/>
        <v>10</v>
      </c>
      <c r="EU14" s="317">
        <f t="shared" si="4"/>
        <v>8</v>
      </c>
      <c r="EV14" s="317">
        <f t="shared" si="5"/>
        <v>10</v>
      </c>
      <c r="EW14" s="317">
        <f t="shared" si="16"/>
        <v>10</v>
      </c>
      <c r="EX14" s="317">
        <f t="shared" si="17"/>
        <v>10</v>
      </c>
      <c r="EY14" s="317">
        <f t="shared" si="6"/>
        <v>8</v>
      </c>
      <c r="EZ14" s="317">
        <f t="shared" si="7"/>
        <v>0</v>
      </c>
      <c r="FA14" s="317">
        <f t="shared" si="8"/>
        <v>10</v>
      </c>
      <c r="FB14" s="317">
        <f t="shared" si="9"/>
        <v>10</v>
      </c>
      <c r="FC14" s="317">
        <f t="shared" si="10"/>
        <v>10</v>
      </c>
      <c r="FD14" s="317">
        <f t="shared" si="11"/>
        <v>10</v>
      </c>
      <c r="FE14" s="317">
        <f t="shared" si="12"/>
        <v>10</v>
      </c>
      <c r="FF14" s="317">
        <f t="shared" si="13"/>
        <v>10</v>
      </c>
      <c r="FG14" s="318">
        <f t="shared" si="18"/>
        <v>12</v>
      </c>
      <c r="FH14" s="319">
        <f t="shared" si="14"/>
        <v>116</v>
      </c>
      <c r="FI14" s="319">
        <f>SUM(I7:ER7)-SUM(ES14:FF14)</f>
        <v>12</v>
      </c>
      <c r="FJ14" s="319">
        <f t="shared" si="15"/>
        <v>128</v>
      </c>
      <c r="FK14" s="7"/>
    </row>
    <row r="15" spans="1:167" ht="15" customHeight="1">
      <c r="A15" s="2"/>
      <c r="B15" s="3">
        <f t="shared" si="0"/>
        <v>1</v>
      </c>
      <c r="C15" s="182">
        <f t="shared" si="1"/>
        <v>8</v>
      </c>
      <c r="D15" s="183" t="s">
        <v>208</v>
      </c>
      <c r="E15" s="203"/>
      <c r="F15" s="203">
        <v>14</v>
      </c>
      <c r="G15" s="571">
        <v>45915</v>
      </c>
      <c r="H15" s="572"/>
      <c r="I15" s="212">
        <v>1</v>
      </c>
      <c r="J15" s="206">
        <v>1</v>
      </c>
      <c r="K15" s="206">
        <v>1</v>
      </c>
      <c r="L15" s="206">
        <v>1</v>
      </c>
      <c r="M15" s="206">
        <v>1</v>
      </c>
      <c r="N15" s="206">
        <v>1</v>
      </c>
      <c r="O15" s="206">
        <v>1</v>
      </c>
      <c r="P15" s="206">
        <v>1</v>
      </c>
      <c r="Q15" s="206">
        <v>0</v>
      </c>
      <c r="R15" s="213">
        <v>0</v>
      </c>
      <c r="S15" s="223">
        <v>1</v>
      </c>
      <c r="T15" s="224">
        <v>1</v>
      </c>
      <c r="U15" s="224">
        <v>1</v>
      </c>
      <c r="V15" s="224">
        <v>1</v>
      </c>
      <c r="W15" s="224">
        <v>1</v>
      </c>
      <c r="X15" s="224">
        <v>1</v>
      </c>
      <c r="Y15" s="244">
        <v>1</v>
      </c>
      <c r="Z15" s="245">
        <v>1</v>
      </c>
      <c r="AA15" s="246">
        <v>1</v>
      </c>
      <c r="AB15" s="225">
        <v>1</v>
      </c>
      <c r="AC15" s="262">
        <v>1</v>
      </c>
      <c r="AD15" s="177">
        <v>1</v>
      </c>
      <c r="AE15" s="177">
        <v>1</v>
      </c>
      <c r="AF15" s="177">
        <v>1</v>
      </c>
      <c r="AG15" s="582"/>
      <c r="AH15" s="583"/>
      <c r="AI15" s="177">
        <v>1</v>
      </c>
      <c r="AJ15" s="177">
        <v>1</v>
      </c>
      <c r="AK15" s="177">
        <v>1</v>
      </c>
      <c r="AL15" s="263">
        <v>1</v>
      </c>
      <c r="AM15" s="235">
        <v>1</v>
      </c>
      <c r="AN15" s="271">
        <v>1</v>
      </c>
      <c r="AO15" s="236">
        <v>1</v>
      </c>
      <c r="AP15" s="236">
        <v>1</v>
      </c>
      <c r="AQ15" s="236">
        <v>1</v>
      </c>
      <c r="AR15" s="236">
        <v>1</v>
      </c>
      <c r="AS15" s="236">
        <v>1</v>
      </c>
      <c r="AT15" s="236">
        <v>1</v>
      </c>
      <c r="AU15" s="236">
        <v>1</v>
      </c>
      <c r="AV15" s="272">
        <v>1</v>
      </c>
      <c r="AW15" s="277">
        <v>1</v>
      </c>
      <c r="AX15" s="278">
        <v>1</v>
      </c>
      <c r="AY15" s="278">
        <v>1</v>
      </c>
      <c r="AZ15" s="127">
        <v>1</v>
      </c>
      <c r="BA15" s="278">
        <v>1</v>
      </c>
      <c r="BB15" s="278">
        <v>1</v>
      </c>
      <c r="BC15" s="278">
        <v>1</v>
      </c>
      <c r="BD15" s="127">
        <v>1</v>
      </c>
      <c r="BE15" s="278">
        <v>1</v>
      </c>
      <c r="BF15" s="280">
        <v>1</v>
      </c>
      <c r="BG15" s="212">
        <v>1</v>
      </c>
      <c r="BH15" s="206">
        <v>1</v>
      </c>
      <c r="BI15" s="206">
        <v>0</v>
      </c>
      <c r="BJ15" s="206">
        <v>0</v>
      </c>
      <c r="BK15" s="206">
        <v>0</v>
      </c>
      <c r="BL15" s="206">
        <v>0</v>
      </c>
      <c r="BM15" s="206">
        <v>0</v>
      </c>
      <c r="BN15" s="206">
        <v>0</v>
      </c>
      <c r="BO15" s="207">
        <v>0</v>
      </c>
      <c r="BP15" s="215">
        <v>0</v>
      </c>
      <c r="BQ15" s="226">
        <v>1</v>
      </c>
      <c r="BR15" s="227">
        <v>1</v>
      </c>
      <c r="BS15" s="227">
        <v>1</v>
      </c>
      <c r="BT15" s="227">
        <v>1</v>
      </c>
      <c r="BU15" s="227">
        <v>1</v>
      </c>
      <c r="BV15" s="227">
        <v>1</v>
      </c>
      <c r="BW15" s="227">
        <v>1</v>
      </c>
      <c r="BX15" s="227">
        <v>1</v>
      </c>
      <c r="BY15" s="227">
        <v>1</v>
      </c>
      <c r="BZ15" s="228">
        <v>1</v>
      </c>
      <c r="CA15" s="537"/>
      <c r="CB15" s="538"/>
      <c r="CC15" s="538"/>
      <c r="CD15" s="538"/>
      <c r="CE15" s="538"/>
      <c r="CF15" s="538"/>
      <c r="CG15" s="538"/>
      <c r="CH15" s="538"/>
      <c r="CI15" s="538"/>
      <c r="CJ15" s="538"/>
      <c r="CK15" s="237">
        <v>1</v>
      </c>
      <c r="CL15" s="238">
        <v>1</v>
      </c>
      <c r="CM15" s="238">
        <v>1</v>
      </c>
      <c r="CN15" s="238">
        <v>1</v>
      </c>
      <c r="CO15" s="238">
        <v>1</v>
      </c>
      <c r="CP15" s="238">
        <v>1</v>
      </c>
      <c r="CQ15" s="238">
        <v>1</v>
      </c>
      <c r="CR15" s="238">
        <v>1</v>
      </c>
      <c r="CS15" s="238">
        <v>1</v>
      </c>
      <c r="CT15" s="273">
        <v>1</v>
      </c>
      <c r="CU15" s="295">
        <v>1</v>
      </c>
      <c r="CV15" s="296">
        <v>1</v>
      </c>
      <c r="CW15" s="296">
        <v>1</v>
      </c>
      <c r="CX15" s="296">
        <v>1</v>
      </c>
      <c r="CY15" s="296">
        <v>1</v>
      </c>
      <c r="CZ15" s="296">
        <v>1</v>
      </c>
      <c r="DA15" s="296">
        <v>1</v>
      </c>
      <c r="DB15" s="296">
        <v>1</v>
      </c>
      <c r="DC15" s="297">
        <v>1</v>
      </c>
      <c r="DD15" s="298">
        <v>1</v>
      </c>
      <c r="DE15" s="214">
        <v>1</v>
      </c>
      <c r="DF15" s="207">
        <v>1</v>
      </c>
      <c r="DG15" s="207">
        <v>1</v>
      </c>
      <c r="DH15" s="207">
        <v>1</v>
      </c>
      <c r="DI15" s="207">
        <v>1</v>
      </c>
      <c r="DJ15" s="207">
        <v>1</v>
      </c>
      <c r="DK15" s="207">
        <v>1</v>
      </c>
      <c r="DL15" s="207">
        <v>1</v>
      </c>
      <c r="DM15" s="207">
        <v>1</v>
      </c>
      <c r="DN15" s="215">
        <v>1</v>
      </c>
      <c r="DO15" s="226">
        <v>1</v>
      </c>
      <c r="DP15" s="227">
        <v>1</v>
      </c>
      <c r="DQ15" s="227">
        <v>1</v>
      </c>
      <c r="DR15" s="227">
        <v>1</v>
      </c>
      <c r="DS15" s="227">
        <v>1</v>
      </c>
      <c r="DT15" s="227">
        <v>1</v>
      </c>
      <c r="DU15" s="227">
        <v>1</v>
      </c>
      <c r="DV15" s="227">
        <v>1</v>
      </c>
      <c r="DW15" s="227">
        <v>1</v>
      </c>
      <c r="DX15" s="228">
        <v>1</v>
      </c>
      <c r="DY15" s="90">
        <v>1</v>
      </c>
      <c r="DZ15" s="91">
        <v>1</v>
      </c>
      <c r="EA15" s="91">
        <v>1</v>
      </c>
      <c r="EB15" s="91">
        <v>1</v>
      </c>
      <c r="EC15" s="91">
        <v>1</v>
      </c>
      <c r="ED15" s="91">
        <v>1</v>
      </c>
      <c r="EE15" s="91">
        <v>1</v>
      </c>
      <c r="EF15" s="91">
        <v>1</v>
      </c>
      <c r="EG15" s="91">
        <v>1</v>
      </c>
      <c r="EH15" s="92">
        <v>1</v>
      </c>
      <c r="EI15" s="237">
        <v>1</v>
      </c>
      <c r="EJ15" s="238">
        <v>1</v>
      </c>
      <c r="EK15" s="238">
        <v>1</v>
      </c>
      <c r="EL15" s="238">
        <v>1</v>
      </c>
      <c r="EM15" s="238">
        <v>1</v>
      </c>
      <c r="EN15" s="238">
        <v>1</v>
      </c>
      <c r="EO15" s="238">
        <v>1</v>
      </c>
      <c r="EP15" s="238">
        <v>1</v>
      </c>
      <c r="EQ15" s="238">
        <v>1</v>
      </c>
      <c r="ER15" s="273">
        <v>1</v>
      </c>
      <c r="ES15" s="316">
        <f t="shared" si="2"/>
        <v>8</v>
      </c>
      <c r="ET15" s="317">
        <f t="shared" si="3"/>
        <v>10</v>
      </c>
      <c r="EU15" s="317">
        <f t="shared" si="4"/>
        <v>8</v>
      </c>
      <c r="EV15" s="317">
        <f t="shared" si="5"/>
        <v>10</v>
      </c>
      <c r="EW15" s="317">
        <f t="shared" si="16"/>
        <v>2</v>
      </c>
      <c r="EX15" s="317">
        <f t="shared" si="17"/>
        <v>2</v>
      </c>
      <c r="EY15" s="317">
        <f t="shared" si="6"/>
        <v>10</v>
      </c>
      <c r="EZ15" s="317">
        <f t="shared" si="7"/>
        <v>0</v>
      </c>
      <c r="FA15" s="317">
        <f t="shared" si="8"/>
        <v>10</v>
      </c>
      <c r="FB15" s="317">
        <f t="shared" si="9"/>
        <v>10</v>
      </c>
      <c r="FC15" s="317">
        <f t="shared" si="10"/>
        <v>10</v>
      </c>
      <c r="FD15" s="317">
        <f t="shared" si="11"/>
        <v>10</v>
      </c>
      <c r="FE15" s="317">
        <f t="shared" si="12"/>
        <v>10</v>
      </c>
      <c r="FF15" s="317">
        <f t="shared" si="13"/>
        <v>10</v>
      </c>
      <c r="FG15" s="318">
        <f t="shared" si="18"/>
        <v>13</v>
      </c>
      <c r="FH15" s="319">
        <f t="shared" si="14"/>
        <v>110</v>
      </c>
      <c r="FI15" s="319">
        <f>SUM(I7:ER7)-SUM(ES15:FF15)</f>
        <v>18</v>
      </c>
      <c r="FJ15" s="319">
        <f t="shared" si="15"/>
        <v>128</v>
      </c>
      <c r="FK15" s="7"/>
    </row>
    <row r="16" spans="1:167" ht="15" customHeight="1">
      <c r="A16" s="2"/>
      <c r="B16" s="3">
        <f t="shared" si="0"/>
        <v>1</v>
      </c>
      <c r="C16" s="182">
        <f t="shared" si="1"/>
        <v>9</v>
      </c>
      <c r="D16" s="183" t="s">
        <v>210</v>
      </c>
      <c r="E16" s="203"/>
      <c r="F16" s="203">
        <v>15</v>
      </c>
      <c r="G16" s="571">
        <v>45915</v>
      </c>
      <c r="H16" s="572"/>
      <c r="I16" s="212">
        <v>1</v>
      </c>
      <c r="J16" s="206">
        <v>1</v>
      </c>
      <c r="K16" s="206">
        <v>1</v>
      </c>
      <c r="L16" s="206">
        <v>1</v>
      </c>
      <c r="M16" s="206">
        <v>1</v>
      </c>
      <c r="N16" s="206">
        <v>1</v>
      </c>
      <c r="O16" s="206">
        <v>1</v>
      </c>
      <c r="P16" s="206">
        <v>1</v>
      </c>
      <c r="Q16" s="206">
        <v>1</v>
      </c>
      <c r="R16" s="213">
        <v>1</v>
      </c>
      <c r="S16" s="223">
        <v>1</v>
      </c>
      <c r="T16" s="224">
        <v>1</v>
      </c>
      <c r="U16" s="224">
        <v>1</v>
      </c>
      <c r="V16" s="224">
        <v>1</v>
      </c>
      <c r="W16" s="224">
        <v>1</v>
      </c>
      <c r="X16" s="224">
        <v>1</v>
      </c>
      <c r="Y16" s="244">
        <v>1</v>
      </c>
      <c r="Z16" s="245">
        <v>1</v>
      </c>
      <c r="AA16" s="246">
        <v>1</v>
      </c>
      <c r="AB16" s="225">
        <v>1</v>
      </c>
      <c r="AC16" s="262">
        <v>1</v>
      </c>
      <c r="AD16" s="177">
        <v>1</v>
      </c>
      <c r="AE16" s="177">
        <v>1</v>
      </c>
      <c r="AF16" s="177">
        <v>1</v>
      </c>
      <c r="AG16" s="582"/>
      <c r="AH16" s="583"/>
      <c r="AI16" s="177">
        <v>1</v>
      </c>
      <c r="AJ16" s="177">
        <v>1</v>
      </c>
      <c r="AK16" s="177">
        <v>1</v>
      </c>
      <c r="AL16" s="263">
        <v>1</v>
      </c>
      <c r="AM16" s="235">
        <v>1</v>
      </c>
      <c r="AN16" s="271">
        <v>1</v>
      </c>
      <c r="AO16" s="236">
        <v>1</v>
      </c>
      <c r="AP16" s="236">
        <v>1</v>
      </c>
      <c r="AQ16" s="236">
        <v>1</v>
      </c>
      <c r="AR16" s="236">
        <v>1</v>
      </c>
      <c r="AS16" s="236">
        <v>1</v>
      </c>
      <c r="AT16" s="236">
        <v>1</v>
      </c>
      <c r="AU16" s="236">
        <v>1</v>
      </c>
      <c r="AV16" s="272">
        <v>1</v>
      </c>
      <c r="AW16" s="277">
        <v>0</v>
      </c>
      <c r="AX16" s="278">
        <v>0</v>
      </c>
      <c r="AY16" s="278">
        <v>1</v>
      </c>
      <c r="AZ16" s="127">
        <v>1</v>
      </c>
      <c r="BA16" s="278">
        <v>1</v>
      </c>
      <c r="BB16" s="278">
        <v>1</v>
      </c>
      <c r="BC16" s="278">
        <v>1</v>
      </c>
      <c r="BD16" s="127">
        <v>1</v>
      </c>
      <c r="BE16" s="278">
        <v>1</v>
      </c>
      <c r="BF16" s="280">
        <v>1</v>
      </c>
      <c r="BG16" s="212">
        <v>1</v>
      </c>
      <c r="BH16" s="206">
        <v>1</v>
      </c>
      <c r="BI16" s="206">
        <v>1</v>
      </c>
      <c r="BJ16" s="206">
        <v>1</v>
      </c>
      <c r="BK16" s="206">
        <v>1</v>
      </c>
      <c r="BL16" s="206">
        <v>1</v>
      </c>
      <c r="BM16" s="206">
        <v>1</v>
      </c>
      <c r="BN16" s="206">
        <v>1</v>
      </c>
      <c r="BO16" s="207">
        <v>1</v>
      </c>
      <c r="BP16" s="215">
        <v>1</v>
      </c>
      <c r="BQ16" s="226">
        <v>1</v>
      </c>
      <c r="BR16" s="227">
        <v>1</v>
      </c>
      <c r="BS16" s="227">
        <v>1</v>
      </c>
      <c r="BT16" s="227">
        <v>1</v>
      </c>
      <c r="BU16" s="227">
        <v>1</v>
      </c>
      <c r="BV16" s="227">
        <v>1</v>
      </c>
      <c r="BW16" s="227">
        <v>0</v>
      </c>
      <c r="BX16" s="227">
        <v>0</v>
      </c>
      <c r="BY16" s="227">
        <v>0</v>
      </c>
      <c r="BZ16" s="228">
        <v>0</v>
      </c>
      <c r="CA16" s="537"/>
      <c r="CB16" s="538"/>
      <c r="CC16" s="538"/>
      <c r="CD16" s="538"/>
      <c r="CE16" s="538"/>
      <c r="CF16" s="538"/>
      <c r="CG16" s="538"/>
      <c r="CH16" s="538"/>
      <c r="CI16" s="538"/>
      <c r="CJ16" s="538"/>
      <c r="CK16" s="237">
        <v>0</v>
      </c>
      <c r="CL16" s="238">
        <v>0</v>
      </c>
      <c r="CM16" s="238">
        <v>0</v>
      </c>
      <c r="CN16" s="238">
        <v>0</v>
      </c>
      <c r="CO16" s="238">
        <v>0</v>
      </c>
      <c r="CP16" s="238">
        <v>0</v>
      </c>
      <c r="CQ16" s="238">
        <v>0</v>
      </c>
      <c r="CR16" s="238">
        <v>0</v>
      </c>
      <c r="CS16" s="238">
        <v>0</v>
      </c>
      <c r="CT16" s="273">
        <v>0</v>
      </c>
      <c r="CU16" s="295">
        <v>0</v>
      </c>
      <c r="CV16" s="296">
        <v>0</v>
      </c>
      <c r="CW16" s="296">
        <v>0</v>
      </c>
      <c r="CX16" s="296">
        <v>0</v>
      </c>
      <c r="CY16" s="296">
        <v>0</v>
      </c>
      <c r="CZ16" s="296">
        <v>0</v>
      </c>
      <c r="DA16" s="296">
        <v>0</v>
      </c>
      <c r="DB16" s="296">
        <v>0</v>
      </c>
      <c r="DC16" s="297">
        <v>0</v>
      </c>
      <c r="DD16" s="298">
        <v>0</v>
      </c>
      <c r="DE16" s="214">
        <v>0</v>
      </c>
      <c r="DF16" s="207">
        <v>0</v>
      </c>
      <c r="DG16" s="207">
        <v>0</v>
      </c>
      <c r="DH16" s="207">
        <v>0</v>
      </c>
      <c r="DI16" s="207">
        <v>0</v>
      </c>
      <c r="DJ16" s="207">
        <v>0</v>
      </c>
      <c r="DK16" s="207">
        <v>0</v>
      </c>
      <c r="DL16" s="207">
        <v>0</v>
      </c>
      <c r="DM16" s="207">
        <v>0</v>
      </c>
      <c r="DN16" s="215">
        <v>0</v>
      </c>
      <c r="DO16" s="226">
        <v>0</v>
      </c>
      <c r="DP16" s="227">
        <v>0</v>
      </c>
      <c r="DQ16" s="227">
        <v>0</v>
      </c>
      <c r="DR16" s="227">
        <v>0</v>
      </c>
      <c r="DS16" s="227">
        <v>0</v>
      </c>
      <c r="DT16" s="227">
        <v>0</v>
      </c>
      <c r="DU16" s="227">
        <v>0</v>
      </c>
      <c r="DV16" s="227">
        <v>0</v>
      </c>
      <c r="DW16" s="227">
        <v>0</v>
      </c>
      <c r="DX16" s="228">
        <v>0</v>
      </c>
      <c r="DY16" s="90">
        <v>0</v>
      </c>
      <c r="DZ16" s="91">
        <v>0</v>
      </c>
      <c r="EA16" s="91">
        <v>0</v>
      </c>
      <c r="EB16" s="91">
        <v>0</v>
      </c>
      <c r="EC16" s="91">
        <v>0</v>
      </c>
      <c r="ED16" s="91">
        <v>0</v>
      </c>
      <c r="EE16" s="91">
        <v>0</v>
      </c>
      <c r="EF16" s="91">
        <v>0</v>
      </c>
      <c r="EG16" s="91">
        <v>0</v>
      </c>
      <c r="EH16" s="92">
        <v>0</v>
      </c>
      <c r="EI16" s="237">
        <v>0</v>
      </c>
      <c r="EJ16" s="238">
        <v>0</v>
      </c>
      <c r="EK16" s="238">
        <v>0</v>
      </c>
      <c r="EL16" s="238">
        <v>0</v>
      </c>
      <c r="EM16" s="238">
        <v>0</v>
      </c>
      <c r="EN16" s="238">
        <v>0</v>
      </c>
      <c r="EO16" s="238">
        <v>0</v>
      </c>
      <c r="EP16" s="238">
        <v>0</v>
      </c>
      <c r="EQ16" s="238">
        <v>0</v>
      </c>
      <c r="ER16" s="273">
        <v>0</v>
      </c>
      <c r="ES16" s="316">
        <f t="shared" si="2"/>
        <v>10</v>
      </c>
      <c r="ET16" s="317">
        <f t="shared" si="3"/>
        <v>10</v>
      </c>
      <c r="EU16" s="317">
        <f t="shared" si="4"/>
        <v>8</v>
      </c>
      <c r="EV16" s="317">
        <f t="shared" si="5"/>
        <v>10</v>
      </c>
      <c r="EW16" s="317">
        <f t="shared" si="16"/>
        <v>10</v>
      </c>
      <c r="EX16" s="317">
        <f t="shared" si="17"/>
        <v>10</v>
      </c>
      <c r="EY16" s="317">
        <f t="shared" si="6"/>
        <v>6</v>
      </c>
      <c r="EZ16" s="317">
        <f t="shared" si="7"/>
        <v>0</v>
      </c>
      <c r="FA16" s="317">
        <f t="shared" si="8"/>
        <v>0</v>
      </c>
      <c r="FB16" s="317">
        <f t="shared" si="9"/>
        <v>0</v>
      </c>
      <c r="FC16" s="317">
        <f t="shared" si="10"/>
        <v>0</v>
      </c>
      <c r="FD16" s="317">
        <f t="shared" si="11"/>
        <v>0</v>
      </c>
      <c r="FE16" s="317">
        <f t="shared" si="12"/>
        <v>0</v>
      </c>
      <c r="FF16" s="317">
        <f t="shared" si="13"/>
        <v>0</v>
      </c>
      <c r="FG16" s="318">
        <f t="shared" si="18"/>
        <v>14</v>
      </c>
      <c r="FH16" s="319">
        <f t="shared" si="14"/>
        <v>64</v>
      </c>
      <c r="FI16" s="319">
        <f>SUM(I7:ER7)-SUM(ES16:FF16)</f>
        <v>64</v>
      </c>
      <c r="FJ16" s="319">
        <f t="shared" si="15"/>
        <v>128</v>
      </c>
      <c r="FK16" s="7"/>
    </row>
    <row r="17" spans="1:167" ht="15" customHeight="1">
      <c r="A17" s="2"/>
      <c r="B17" s="3">
        <f t="shared" si="0"/>
        <v>1</v>
      </c>
      <c r="C17" s="182">
        <f t="shared" si="1"/>
        <v>10</v>
      </c>
      <c r="D17" s="183" t="s">
        <v>212</v>
      </c>
      <c r="E17" s="203"/>
      <c r="F17" s="203">
        <v>15</v>
      </c>
      <c r="G17" s="571">
        <v>45915</v>
      </c>
      <c r="H17" s="572"/>
      <c r="I17" s="212">
        <v>0</v>
      </c>
      <c r="J17" s="206">
        <v>0</v>
      </c>
      <c r="K17" s="206">
        <v>1</v>
      </c>
      <c r="L17" s="206">
        <v>1</v>
      </c>
      <c r="M17" s="206">
        <v>1</v>
      </c>
      <c r="N17" s="206">
        <v>1</v>
      </c>
      <c r="O17" s="206">
        <v>1</v>
      </c>
      <c r="P17" s="206">
        <v>1</v>
      </c>
      <c r="Q17" s="206">
        <v>1</v>
      </c>
      <c r="R17" s="213">
        <v>1</v>
      </c>
      <c r="S17" s="223">
        <v>1</v>
      </c>
      <c r="T17" s="224">
        <v>1</v>
      </c>
      <c r="U17" s="224">
        <v>1</v>
      </c>
      <c r="V17" s="224">
        <v>1</v>
      </c>
      <c r="W17" s="224">
        <v>1</v>
      </c>
      <c r="X17" s="224">
        <v>1</v>
      </c>
      <c r="Y17" s="244">
        <v>1</v>
      </c>
      <c r="Z17" s="245">
        <v>1</v>
      </c>
      <c r="AA17" s="246">
        <v>0</v>
      </c>
      <c r="AB17" s="225">
        <v>0</v>
      </c>
      <c r="AC17" s="262">
        <v>1</v>
      </c>
      <c r="AD17" s="177">
        <v>1</v>
      </c>
      <c r="AE17" s="177">
        <v>1</v>
      </c>
      <c r="AF17" s="177">
        <v>1</v>
      </c>
      <c r="AG17" s="582"/>
      <c r="AH17" s="583"/>
      <c r="AI17" s="177">
        <v>1</v>
      </c>
      <c r="AJ17" s="177">
        <v>1</v>
      </c>
      <c r="AK17" s="177">
        <v>0</v>
      </c>
      <c r="AL17" s="263">
        <v>0</v>
      </c>
      <c r="AM17" s="235">
        <v>1</v>
      </c>
      <c r="AN17" s="271">
        <v>1</v>
      </c>
      <c r="AO17" s="236">
        <v>1</v>
      </c>
      <c r="AP17" s="236">
        <v>1</v>
      </c>
      <c r="AQ17" s="236">
        <v>1</v>
      </c>
      <c r="AR17" s="236">
        <v>1</v>
      </c>
      <c r="AS17" s="236">
        <v>1</v>
      </c>
      <c r="AT17" s="236">
        <v>1</v>
      </c>
      <c r="AU17" s="236">
        <v>1</v>
      </c>
      <c r="AV17" s="272">
        <v>1</v>
      </c>
      <c r="AW17" s="277">
        <v>1</v>
      </c>
      <c r="AX17" s="278">
        <v>1</v>
      </c>
      <c r="AY17" s="278">
        <v>1</v>
      </c>
      <c r="AZ17" s="127">
        <v>1</v>
      </c>
      <c r="BA17" s="278">
        <v>1</v>
      </c>
      <c r="BB17" s="278">
        <v>1</v>
      </c>
      <c r="BC17" s="278">
        <v>1</v>
      </c>
      <c r="BD17" s="127">
        <v>1</v>
      </c>
      <c r="BE17" s="278">
        <v>1</v>
      </c>
      <c r="BF17" s="280">
        <v>1</v>
      </c>
      <c r="BG17" s="212">
        <v>1</v>
      </c>
      <c r="BH17" s="206">
        <v>1</v>
      </c>
      <c r="BI17" s="206">
        <v>1</v>
      </c>
      <c r="BJ17" s="206">
        <v>1</v>
      </c>
      <c r="BK17" s="206">
        <v>1</v>
      </c>
      <c r="BL17" s="206">
        <v>1</v>
      </c>
      <c r="BM17" s="206">
        <v>1</v>
      </c>
      <c r="BN17" s="206">
        <v>1</v>
      </c>
      <c r="BO17" s="207">
        <v>1</v>
      </c>
      <c r="BP17" s="215">
        <v>1</v>
      </c>
      <c r="BQ17" s="226">
        <v>1</v>
      </c>
      <c r="BR17" s="227">
        <v>1</v>
      </c>
      <c r="BS17" s="227">
        <v>1</v>
      </c>
      <c r="BT17" s="227">
        <v>1</v>
      </c>
      <c r="BU17" s="227">
        <v>1</v>
      </c>
      <c r="BV17" s="227">
        <v>1</v>
      </c>
      <c r="BW17" s="227">
        <v>0</v>
      </c>
      <c r="BX17" s="227">
        <v>0</v>
      </c>
      <c r="BY17" s="227">
        <v>0</v>
      </c>
      <c r="BZ17" s="228">
        <v>0</v>
      </c>
      <c r="CA17" s="537"/>
      <c r="CB17" s="538"/>
      <c r="CC17" s="538"/>
      <c r="CD17" s="538"/>
      <c r="CE17" s="538"/>
      <c r="CF17" s="538"/>
      <c r="CG17" s="538"/>
      <c r="CH17" s="538"/>
      <c r="CI17" s="538"/>
      <c r="CJ17" s="538"/>
      <c r="CK17" s="237">
        <v>0</v>
      </c>
      <c r="CL17" s="238">
        <v>0</v>
      </c>
      <c r="CM17" s="238">
        <v>0</v>
      </c>
      <c r="CN17" s="238">
        <v>0</v>
      </c>
      <c r="CO17" s="238">
        <v>0</v>
      </c>
      <c r="CP17" s="238">
        <v>0</v>
      </c>
      <c r="CQ17" s="238">
        <v>0</v>
      </c>
      <c r="CR17" s="238">
        <v>0</v>
      </c>
      <c r="CS17" s="238">
        <v>0</v>
      </c>
      <c r="CT17" s="273">
        <v>0</v>
      </c>
      <c r="CU17" s="295">
        <v>0</v>
      </c>
      <c r="CV17" s="296">
        <v>0</v>
      </c>
      <c r="CW17" s="296">
        <v>0</v>
      </c>
      <c r="CX17" s="296">
        <v>0</v>
      </c>
      <c r="CY17" s="296">
        <v>0</v>
      </c>
      <c r="CZ17" s="296">
        <v>0</v>
      </c>
      <c r="DA17" s="296">
        <v>0</v>
      </c>
      <c r="DB17" s="296">
        <v>0</v>
      </c>
      <c r="DC17" s="297">
        <v>0</v>
      </c>
      <c r="DD17" s="298">
        <v>0</v>
      </c>
      <c r="DE17" s="214">
        <v>0</v>
      </c>
      <c r="DF17" s="207">
        <v>0</v>
      </c>
      <c r="DG17" s="207">
        <v>0</v>
      </c>
      <c r="DH17" s="207">
        <v>0</v>
      </c>
      <c r="DI17" s="207">
        <v>0</v>
      </c>
      <c r="DJ17" s="207">
        <v>0</v>
      </c>
      <c r="DK17" s="207">
        <v>0</v>
      </c>
      <c r="DL17" s="207">
        <v>0</v>
      </c>
      <c r="DM17" s="207">
        <v>0</v>
      </c>
      <c r="DN17" s="215">
        <v>0</v>
      </c>
      <c r="DO17" s="226">
        <v>1</v>
      </c>
      <c r="DP17" s="227">
        <v>1</v>
      </c>
      <c r="DQ17" s="227">
        <v>1</v>
      </c>
      <c r="DR17" s="227">
        <v>1</v>
      </c>
      <c r="DS17" s="227">
        <v>1</v>
      </c>
      <c r="DT17" s="227">
        <v>1</v>
      </c>
      <c r="DU17" s="227">
        <v>1</v>
      </c>
      <c r="DV17" s="227">
        <v>1</v>
      </c>
      <c r="DW17" s="227">
        <v>1</v>
      </c>
      <c r="DX17" s="228">
        <v>1</v>
      </c>
      <c r="DY17" s="90">
        <v>1</v>
      </c>
      <c r="DZ17" s="91">
        <v>1</v>
      </c>
      <c r="EA17" s="91">
        <v>1</v>
      </c>
      <c r="EB17" s="91">
        <v>1</v>
      </c>
      <c r="EC17" s="91">
        <v>1</v>
      </c>
      <c r="ED17" s="91">
        <v>1</v>
      </c>
      <c r="EE17" s="91">
        <v>1</v>
      </c>
      <c r="EF17" s="91">
        <v>1</v>
      </c>
      <c r="EG17" s="91">
        <v>1</v>
      </c>
      <c r="EH17" s="92">
        <v>1</v>
      </c>
      <c r="EI17" s="237">
        <v>1</v>
      </c>
      <c r="EJ17" s="238">
        <v>1</v>
      </c>
      <c r="EK17" s="238">
        <v>1</v>
      </c>
      <c r="EL17" s="238">
        <v>1</v>
      </c>
      <c r="EM17" s="238">
        <v>1</v>
      </c>
      <c r="EN17" s="238">
        <v>1</v>
      </c>
      <c r="EO17" s="238">
        <v>1</v>
      </c>
      <c r="EP17" s="238">
        <v>1</v>
      </c>
      <c r="EQ17" s="238">
        <v>1</v>
      </c>
      <c r="ER17" s="273">
        <v>1</v>
      </c>
      <c r="ES17" s="316">
        <f t="shared" si="2"/>
        <v>8</v>
      </c>
      <c r="ET17" s="317">
        <f t="shared" si="3"/>
        <v>8</v>
      </c>
      <c r="EU17" s="317">
        <f t="shared" si="4"/>
        <v>6</v>
      </c>
      <c r="EV17" s="317">
        <f t="shared" si="5"/>
        <v>10</v>
      </c>
      <c r="EW17" s="317">
        <f t="shared" si="16"/>
        <v>10</v>
      </c>
      <c r="EX17" s="317">
        <f t="shared" si="17"/>
        <v>10</v>
      </c>
      <c r="EY17" s="317">
        <f t="shared" si="6"/>
        <v>6</v>
      </c>
      <c r="EZ17" s="317">
        <f t="shared" si="7"/>
        <v>0</v>
      </c>
      <c r="FA17" s="317">
        <f t="shared" si="8"/>
        <v>0</v>
      </c>
      <c r="FB17" s="317">
        <f t="shared" si="9"/>
        <v>0</v>
      </c>
      <c r="FC17" s="317">
        <f t="shared" si="10"/>
        <v>0</v>
      </c>
      <c r="FD17" s="317">
        <f t="shared" si="11"/>
        <v>10</v>
      </c>
      <c r="FE17" s="317">
        <f t="shared" si="12"/>
        <v>10</v>
      </c>
      <c r="FF17" s="317">
        <f t="shared" si="13"/>
        <v>10</v>
      </c>
      <c r="FG17" s="318">
        <f t="shared" si="18"/>
        <v>15</v>
      </c>
      <c r="FH17" s="319">
        <f t="shared" si="14"/>
        <v>88</v>
      </c>
      <c r="FI17" s="319">
        <f>SUM(I7:ER7)-SUM(ES17:FF17)</f>
        <v>40</v>
      </c>
      <c r="FJ17" s="319">
        <f t="shared" si="15"/>
        <v>128</v>
      </c>
      <c r="FK17" s="7"/>
    </row>
    <row r="18" spans="1:167" ht="15" customHeight="1">
      <c r="A18" s="2"/>
      <c r="B18" s="3">
        <f t="shared" si="0"/>
        <v>1</v>
      </c>
      <c r="C18" s="182">
        <f t="shared" si="1"/>
        <v>11</v>
      </c>
      <c r="D18" s="183" t="s">
        <v>213</v>
      </c>
      <c r="E18" s="203"/>
      <c r="F18" s="203">
        <v>16</v>
      </c>
      <c r="G18" s="571">
        <v>45915</v>
      </c>
      <c r="H18" s="572"/>
      <c r="I18" s="212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13">
        <v>0</v>
      </c>
      <c r="S18" s="223">
        <v>1</v>
      </c>
      <c r="T18" s="224">
        <v>1</v>
      </c>
      <c r="U18" s="224">
        <v>1</v>
      </c>
      <c r="V18" s="224">
        <v>1</v>
      </c>
      <c r="W18" s="224">
        <v>1</v>
      </c>
      <c r="X18" s="224">
        <v>1</v>
      </c>
      <c r="Y18" s="244">
        <v>1</v>
      </c>
      <c r="Z18" s="245">
        <v>1</v>
      </c>
      <c r="AA18" s="246">
        <v>1</v>
      </c>
      <c r="AB18" s="225">
        <v>1</v>
      </c>
      <c r="AC18" s="262">
        <v>1</v>
      </c>
      <c r="AD18" s="177">
        <v>1</v>
      </c>
      <c r="AE18" s="177">
        <v>1</v>
      </c>
      <c r="AF18" s="177">
        <v>1</v>
      </c>
      <c r="AG18" s="582"/>
      <c r="AH18" s="583"/>
      <c r="AI18" s="177">
        <v>1</v>
      </c>
      <c r="AJ18" s="177">
        <v>1</v>
      </c>
      <c r="AK18" s="177">
        <v>1</v>
      </c>
      <c r="AL18" s="263">
        <v>1</v>
      </c>
      <c r="AM18" s="235">
        <v>0</v>
      </c>
      <c r="AN18" s="271">
        <v>0</v>
      </c>
      <c r="AO18" s="236">
        <v>1</v>
      </c>
      <c r="AP18" s="236">
        <v>1</v>
      </c>
      <c r="AQ18" s="236">
        <v>1</v>
      </c>
      <c r="AR18" s="236">
        <v>1</v>
      </c>
      <c r="AS18" s="236">
        <v>1</v>
      </c>
      <c r="AT18" s="236">
        <v>1</v>
      </c>
      <c r="AU18" s="236">
        <v>1</v>
      </c>
      <c r="AV18" s="272">
        <v>1</v>
      </c>
      <c r="AW18" s="277">
        <v>1</v>
      </c>
      <c r="AX18" s="278">
        <v>1</v>
      </c>
      <c r="AY18" s="278">
        <v>1</v>
      </c>
      <c r="AZ18" s="127">
        <v>1</v>
      </c>
      <c r="BA18" s="278">
        <v>1</v>
      </c>
      <c r="BB18" s="278">
        <v>1</v>
      </c>
      <c r="BC18" s="278">
        <v>1</v>
      </c>
      <c r="BD18" s="127">
        <v>1</v>
      </c>
      <c r="BE18" s="278">
        <v>1</v>
      </c>
      <c r="BF18" s="280">
        <v>1</v>
      </c>
      <c r="BG18" s="212">
        <v>1</v>
      </c>
      <c r="BH18" s="206">
        <v>1</v>
      </c>
      <c r="BI18" s="206">
        <v>1</v>
      </c>
      <c r="BJ18" s="206">
        <v>1</v>
      </c>
      <c r="BK18" s="206">
        <v>0</v>
      </c>
      <c r="BL18" s="206">
        <v>0</v>
      </c>
      <c r="BM18" s="206">
        <v>1</v>
      </c>
      <c r="BN18" s="206">
        <v>1</v>
      </c>
      <c r="BO18" s="206">
        <v>1</v>
      </c>
      <c r="BP18" s="215">
        <v>1</v>
      </c>
      <c r="BQ18" s="226">
        <v>1</v>
      </c>
      <c r="BR18" s="227">
        <v>1</v>
      </c>
      <c r="BS18" s="227">
        <v>1</v>
      </c>
      <c r="BT18" s="227">
        <v>1</v>
      </c>
      <c r="BU18" s="227">
        <v>1</v>
      </c>
      <c r="BV18" s="227">
        <v>1</v>
      </c>
      <c r="BW18" s="227">
        <v>1</v>
      </c>
      <c r="BX18" s="227">
        <v>1</v>
      </c>
      <c r="BY18" s="227">
        <v>1</v>
      </c>
      <c r="BZ18" s="228">
        <v>1</v>
      </c>
      <c r="CA18" s="537"/>
      <c r="CB18" s="538"/>
      <c r="CC18" s="538"/>
      <c r="CD18" s="538"/>
      <c r="CE18" s="538"/>
      <c r="CF18" s="538"/>
      <c r="CG18" s="538"/>
      <c r="CH18" s="538"/>
      <c r="CI18" s="538"/>
      <c r="CJ18" s="538"/>
      <c r="CK18" s="237">
        <v>1</v>
      </c>
      <c r="CL18" s="238">
        <v>1</v>
      </c>
      <c r="CM18" s="238">
        <v>1</v>
      </c>
      <c r="CN18" s="238">
        <v>1</v>
      </c>
      <c r="CO18" s="238">
        <v>1</v>
      </c>
      <c r="CP18" s="238">
        <v>1</v>
      </c>
      <c r="CQ18" s="238">
        <v>1</v>
      </c>
      <c r="CR18" s="238">
        <v>1</v>
      </c>
      <c r="CS18" s="238">
        <v>1</v>
      </c>
      <c r="CT18" s="273">
        <v>1</v>
      </c>
      <c r="CU18" s="295">
        <v>1</v>
      </c>
      <c r="CV18" s="296">
        <v>1</v>
      </c>
      <c r="CW18" s="296">
        <v>1</v>
      </c>
      <c r="CX18" s="296">
        <v>1</v>
      </c>
      <c r="CY18" s="296">
        <v>1</v>
      </c>
      <c r="CZ18" s="296">
        <v>1</v>
      </c>
      <c r="DA18" s="296">
        <v>1</v>
      </c>
      <c r="DB18" s="296">
        <v>1</v>
      </c>
      <c r="DC18" s="297">
        <v>1</v>
      </c>
      <c r="DD18" s="298">
        <v>1</v>
      </c>
      <c r="DE18" s="214">
        <v>1</v>
      </c>
      <c r="DF18" s="207">
        <v>1</v>
      </c>
      <c r="DG18" s="207">
        <v>1</v>
      </c>
      <c r="DH18" s="207">
        <v>1</v>
      </c>
      <c r="DI18" s="207">
        <v>1</v>
      </c>
      <c r="DJ18" s="207">
        <v>1</v>
      </c>
      <c r="DK18" s="207">
        <v>1</v>
      </c>
      <c r="DL18" s="207">
        <v>1</v>
      </c>
      <c r="DM18" s="207">
        <v>1</v>
      </c>
      <c r="DN18" s="215">
        <v>1</v>
      </c>
      <c r="DO18" s="226">
        <v>1</v>
      </c>
      <c r="DP18" s="227">
        <v>1</v>
      </c>
      <c r="DQ18" s="227">
        <v>1</v>
      </c>
      <c r="DR18" s="227">
        <v>1</v>
      </c>
      <c r="DS18" s="227">
        <v>1</v>
      </c>
      <c r="DT18" s="227">
        <v>1</v>
      </c>
      <c r="DU18" s="227">
        <v>1</v>
      </c>
      <c r="DV18" s="227">
        <v>1</v>
      </c>
      <c r="DW18" s="227">
        <v>1</v>
      </c>
      <c r="DX18" s="228">
        <v>1</v>
      </c>
      <c r="DY18" s="90">
        <v>1</v>
      </c>
      <c r="DZ18" s="91">
        <v>1</v>
      </c>
      <c r="EA18" s="91">
        <v>1</v>
      </c>
      <c r="EB18" s="91">
        <v>1</v>
      </c>
      <c r="EC18" s="91">
        <v>1</v>
      </c>
      <c r="ED18" s="91">
        <v>1</v>
      </c>
      <c r="EE18" s="91">
        <v>1</v>
      </c>
      <c r="EF18" s="91">
        <v>1</v>
      </c>
      <c r="EG18" s="91">
        <v>1</v>
      </c>
      <c r="EH18" s="92">
        <v>1</v>
      </c>
      <c r="EI18" s="237">
        <v>1</v>
      </c>
      <c r="EJ18" s="238">
        <v>1</v>
      </c>
      <c r="EK18" s="238">
        <v>1</v>
      </c>
      <c r="EL18" s="238">
        <v>1</v>
      </c>
      <c r="EM18" s="238">
        <v>1</v>
      </c>
      <c r="EN18" s="238">
        <v>1</v>
      </c>
      <c r="EO18" s="238">
        <v>1</v>
      </c>
      <c r="EP18" s="238">
        <v>1</v>
      </c>
      <c r="EQ18" s="238">
        <v>1</v>
      </c>
      <c r="ER18" s="273">
        <v>1</v>
      </c>
      <c r="ES18" s="316">
        <f t="shared" si="2"/>
        <v>0</v>
      </c>
      <c r="ET18" s="317">
        <f t="shared" si="3"/>
        <v>10</v>
      </c>
      <c r="EU18" s="317">
        <f t="shared" si="4"/>
        <v>8</v>
      </c>
      <c r="EV18" s="317">
        <f t="shared" si="5"/>
        <v>8</v>
      </c>
      <c r="EW18" s="317">
        <f t="shared" si="16"/>
        <v>8</v>
      </c>
      <c r="EX18" s="317">
        <f t="shared" si="17"/>
        <v>8</v>
      </c>
      <c r="EY18" s="317">
        <f t="shared" si="6"/>
        <v>10</v>
      </c>
      <c r="EZ18" s="317">
        <f t="shared" si="7"/>
        <v>0</v>
      </c>
      <c r="FA18" s="317">
        <f t="shared" si="8"/>
        <v>10</v>
      </c>
      <c r="FB18" s="317">
        <f t="shared" si="9"/>
        <v>10</v>
      </c>
      <c r="FC18" s="317">
        <f t="shared" si="10"/>
        <v>10</v>
      </c>
      <c r="FD18" s="317">
        <f t="shared" si="11"/>
        <v>10</v>
      </c>
      <c r="FE18" s="317">
        <f t="shared" si="12"/>
        <v>10</v>
      </c>
      <c r="FF18" s="317">
        <f t="shared" si="13"/>
        <v>10</v>
      </c>
      <c r="FG18" s="318">
        <f t="shared" si="18"/>
        <v>16</v>
      </c>
      <c r="FH18" s="319">
        <f t="shared" si="14"/>
        <v>112</v>
      </c>
      <c r="FI18" s="319">
        <f>SUM(I7:ER7)-SUM(ES18:FF18)</f>
        <v>16</v>
      </c>
      <c r="FJ18" s="319">
        <f t="shared" si="15"/>
        <v>128</v>
      </c>
      <c r="FK18" s="7"/>
    </row>
    <row r="19" spans="1:167" ht="15" customHeight="1">
      <c r="A19" s="2"/>
      <c r="B19" s="3">
        <f t="shared" si="0"/>
        <v>1</v>
      </c>
      <c r="C19" s="182">
        <f t="shared" si="1"/>
        <v>12</v>
      </c>
      <c r="D19" s="183" t="s">
        <v>214</v>
      </c>
      <c r="E19" s="203"/>
      <c r="F19" s="203">
        <v>15</v>
      </c>
      <c r="G19" s="571">
        <v>45915</v>
      </c>
      <c r="H19" s="572"/>
      <c r="I19" s="212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13">
        <v>0</v>
      </c>
      <c r="S19" s="223">
        <v>1</v>
      </c>
      <c r="T19" s="224">
        <v>1</v>
      </c>
      <c r="U19" s="224">
        <v>1</v>
      </c>
      <c r="V19" s="224">
        <v>1</v>
      </c>
      <c r="W19" s="224">
        <v>1</v>
      </c>
      <c r="X19" s="224">
        <v>1</v>
      </c>
      <c r="Y19" s="244">
        <v>1</v>
      </c>
      <c r="Z19" s="245">
        <v>1</v>
      </c>
      <c r="AA19" s="246">
        <v>1</v>
      </c>
      <c r="AB19" s="225">
        <v>1</v>
      </c>
      <c r="AC19" s="262">
        <v>1</v>
      </c>
      <c r="AD19" s="177">
        <v>1</v>
      </c>
      <c r="AE19" s="177">
        <v>1</v>
      </c>
      <c r="AF19" s="177">
        <v>1</v>
      </c>
      <c r="AG19" s="582"/>
      <c r="AH19" s="583"/>
      <c r="AI19" s="177">
        <v>1</v>
      </c>
      <c r="AJ19" s="177">
        <v>1</v>
      </c>
      <c r="AK19" s="177">
        <v>0</v>
      </c>
      <c r="AL19" s="263">
        <v>0</v>
      </c>
      <c r="AM19" s="235">
        <v>1</v>
      </c>
      <c r="AN19" s="271">
        <v>1</v>
      </c>
      <c r="AO19" s="236">
        <v>1</v>
      </c>
      <c r="AP19" s="236">
        <v>1</v>
      </c>
      <c r="AQ19" s="236">
        <v>1</v>
      </c>
      <c r="AR19" s="236">
        <v>1</v>
      </c>
      <c r="AS19" s="236">
        <v>1</v>
      </c>
      <c r="AT19" s="236">
        <v>1</v>
      </c>
      <c r="AU19" s="236">
        <v>1</v>
      </c>
      <c r="AV19" s="272">
        <v>1</v>
      </c>
      <c r="AW19" s="277">
        <v>1</v>
      </c>
      <c r="AX19" s="278">
        <v>1</v>
      </c>
      <c r="AY19" s="278">
        <v>1</v>
      </c>
      <c r="AZ19" s="127">
        <v>1</v>
      </c>
      <c r="BA19" s="278">
        <v>1</v>
      </c>
      <c r="BB19" s="278">
        <v>1</v>
      </c>
      <c r="BC19" s="278">
        <v>1</v>
      </c>
      <c r="BD19" s="127">
        <v>1</v>
      </c>
      <c r="BE19" s="278">
        <v>1</v>
      </c>
      <c r="BF19" s="280">
        <v>1</v>
      </c>
      <c r="BG19" s="212">
        <v>1</v>
      </c>
      <c r="BH19" s="206">
        <v>1</v>
      </c>
      <c r="BI19" s="206">
        <v>1</v>
      </c>
      <c r="BJ19" s="206">
        <v>1</v>
      </c>
      <c r="BK19" s="206">
        <v>1</v>
      </c>
      <c r="BL19" s="206">
        <v>1</v>
      </c>
      <c r="BM19" s="206">
        <v>1</v>
      </c>
      <c r="BN19" s="206">
        <v>1</v>
      </c>
      <c r="BO19" s="207">
        <v>1</v>
      </c>
      <c r="BP19" s="215">
        <v>1</v>
      </c>
      <c r="BQ19" s="226">
        <v>1</v>
      </c>
      <c r="BR19" s="227">
        <v>1</v>
      </c>
      <c r="BS19" s="227">
        <v>1</v>
      </c>
      <c r="BT19" s="227">
        <v>1</v>
      </c>
      <c r="BU19" s="227">
        <v>1</v>
      </c>
      <c r="BV19" s="227">
        <v>1</v>
      </c>
      <c r="BW19" s="227">
        <v>1</v>
      </c>
      <c r="BX19" s="227">
        <v>1</v>
      </c>
      <c r="BY19" s="227">
        <v>0</v>
      </c>
      <c r="BZ19" s="228">
        <v>0</v>
      </c>
      <c r="CA19" s="537"/>
      <c r="CB19" s="538"/>
      <c r="CC19" s="538"/>
      <c r="CD19" s="538"/>
      <c r="CE19" s="538"/>
      <c r="CF19" s="538"/>
      <c r="CG19" s="538"/>
      <c r="CH19" s="538"/>
      <c r="CI19" s="538"/>
      <c r="CJ19" s="538"/>
      <c r="CK19" s="237">
        <v>1</v>
      </c>
      <c r="CL19" s="238">
        <v>1</v>
      </c>
      <c r="CM19" s="238">
        <v>1</v>
      </c>
      <c r="CN19" s="238">
        <v>1</v>
      </c>
      <c r="CO19" s="238">
        <v>0</v>
      </c>
      <c r="CP19" s="238">
        <v>0</v>
      </c>
      <c r="CQ19" s="238">
        <v>1</v>
      </c>
      <c r="CR19" s="238">
        <v>1</v>
      </c>
      <c r="CS19" s="238">
        <v>1</v>
      </c>
      <c r="CT19" s="273">
        <v>1</v>
      </c>
      <c r="CU19" s="295">
        <v>1</v>
      </c>
      <c r="CV19" s="296">
        <v>1</v>
      </c>
      <c r="CW19" s="296">
        <v>1</v>
      </c>
      <c r="CX19" s="296">
        <v>1</v>
      </c>
      <c r="CY19" s="296">
        <v>1</v>
      </c>
      <c r="CZ19" s="296">
        <v>1</v>
      </c>
      <c r="DA19" s="296">
        <v>1</v>
      </c>
      <c r="DB19" s="296">
        <v>1</v>
      </c>
      <c r="DC19" s="297">
        <v>1</v>
      </c>
      <c r="DD19" s="298">
        <v>1</v>
      </c>
      <c r="DE19" s="214">
        <v>1</v>
      </c>
      <c r="DF19" s="207">
        <v>1</v>
      </c>
      <c r="DG19" s="207">
        <v>1</v>
      </c>
      <c r="DH19" s="207">
        <v>1</v>
      </c>
      <c r="DI19" s="207">
        <v>1</v>
      </c>
      <c r="DJ19" s="207">
        <v>1</v>
      </c>
      <c r="DK19" s="207">
        <v>1</v>
      </c>
      <c r="DL19" s="207">
        <v>1</v>
      </c>
      <c r="DM19" s="207">
        <v>1</v>
      </c>
      <c r="DN19" s="215">
        <v>1</v>
      </c>
      <c r="DO19" s="226">
        <v>1</v>
      </c>
      <c r="DP19" s="227">
        <v>1</v>
      </c>
      <c r="DQ19" s="227">
        <v>1</v>
      </c>
      <c r="DR19" s="227">
        <v>1</v>
      </c>
      <c r="DS19" s="227">
        <v>1</v>
      </c>
      <c r="DT19" s="227">
        <v>1</v>
      </c>
      <c r="DU19" s="227">
        <v>1</v>
      </c>
      <c r="DV19" s="227">
        <v>1</v>
      </c>
      <c r="DW19" s="227">
        <v>1</v>
      </c>
      <c r="DX19" s="228">
        <v>1</v>
      </c>
      <c r="DY19" s="90">
        <v>1</v>
      </c>
      <c r="DZ19" s="91">
        <v>1</v>
      </c>
      <c r="EA19" s="91">
        <v>1</v>
      </c>
      <c r="EB19" s="91">
        <v>1</v>
      </c>
      <c r="EC19" s="91">
        <v>1</v>
      </c>
      <c r="ED19" s="91">
        <v>1</v>
      </c>
      <c r="EE19" s="91">
        <v>1</v>
      </c>
      <c r="EF19" s="91">
        <v>1</v>
      </c>
      <c r="EG19" s="91">
        <v>1</v>
      </c>
      <c r="EH19" s="92">
        <v>1</v>
      </c>
      <c r="EI19" s="237">
        <v>1</v>
      </c>
      <c r="EJ19" s="238">
        <v>1</v>
      </c>
      <c r="EK19" s="238">
        <v>1</v>
      </c>
      <c r="EL19" s="238">
        <v>1</v>
      </c>
      <c r="EM19" s="238">
        <v>1</v>
      </c>
      <c r="EN19" s="238">
        <v>1</v>
      </c>
      <c r="EO19" s="238">
        <v>1</v>
      </c>
      <c r="EP19" s="238">
        <v>1</v>
      </c>
      <c r="EQ19" s="238">
        <v>1</v>
      </c>
      <c r="ER19" s="273">
        <v>1</v>
      </c>
      <c r="ES19" s="316">
        <f t="shared" si="2"/>
        <v>0</v>
      </c>
      <c r="ET19" s="317">
        <f t="shared" si="3"/>
        <v>10</v>
      </c>
      <c r="EU19" s="317">
        <f t="shared" si="4"/>
        <v>6</v>
      </c>
      <c r="EV19" s="317">
        <f t="shared" si="5"/>
        <v>10</v>
      </c>
      <c r="EW19" s="317">
        <f t="shared" si="16"/>
        <v>10</v>
      </c>
      <c r="EX19" s="317">
        <f t="shared" si="17"/>
        <v>10</v>
      </c>
      <c r="EY19" s="317">
        <f t="shared" si="6"/>
        <v>8</v>
      </c>
      <c r="EZ19" s="317">
        <f t="shared" si="7"/>
        <v>0</v>
      </c>
      <c r="FA19" s="317">
        <f t="shared" si="8"/>
        <v>8</v>
      </c>
      <c r="FB19" s="317">
        <f t="shared" si="9"/>
        <v>10</v>
      </c>
      <c r="FC19" s="317">
        <f t="shared" si="10"/>
        <v>10</v>
      </c>
      <c r="FD19" s="317">
        <f t="shared" si="11"/>
        <v>10</v>
      </c>
      <c r="FE19" s="317">
        <f t="shared" si="12"/>
        <v>10</v>
      </c>
      <c r="FF19" s="317">
        <f t="shared" si="13"/>
        <v>10</v>
      </c>
      <c r="FG19" s="318">
        <f t="shared" si="18"/>
        <v>17</v>
      </c>
      <c r="FH19" s="319">
        <f t="shared" si="14"/>
        <v>112</v>
      </c>
      <c r="FI19" s="319">
        <f>SUM(I7:ER7)-SUM(ES19:FF19)</f>
        <v>16</v>
      </c>
      <c r="FJ19" s="319">
        <f t="shared" si="15"/>
        <v>128</v>
      </c>
      <c r="FK19" s="7"/>
    </row>
    <row r="20" spans="1:167" ht="15" customHeight="1">
      <c r="A20" s="2"/>
      <c r="B20" s="3">
        <f t="shared" si="0"/>
        <v>1</v>
      </c>
      <c r="C20" s="182">
        <f t="shared" si="1"/>
        <v>13</v>
      </c>
      <c r="D20" s="183" t="s">
        <v>215</v>
      </c>
      <c r="E20" s="203"/>
      <c r="F20" s="203">
        <v>15</v>
      </c>
      <c r="G20" s="571">
        <v>45915</v>
      </c>
      <c r="H20" s="572"/>
      <c r="I20" s="212">
        <v>1</v>
      </c>
      <c r="J20" s="206">
        <v>1</v>
      </c>
      <c r="K20" s="206">
        <v>1</v>
      </c>
      <c r="L20" s="206">
        <v>1</v>
      </c>
      <c r="M20" s="206">
        <v>1</v>
      </c>
      <c r="N20" s="206">
        <v>1</v>
      </c>
      <c r="O20" s="206">
        <v>1</v>
      </c>
      <c r="P20" s="206">
        <v>1</v>
      </c>
      <c r="Q20" s="206">
        <v>1</v>
      </c>
      <c r="R20" s="213">
        <v>1</v>
      </c>
      <c r="S20" s="223">
        <v>1</v>
      </c>
      <c r="T20" s="224">
        <v>1</v>
      </c>
      <c r="U20" s="224">
        <v>1</v>
      </c>
      <c r="V20" s="224">
        <v>1</v>
      </c>
      <c r="W20" s="224">
        <v>1</v>
      </c>
      <c r="X20" s="224">
        <v>1</v>
      </c>
      <c r="Y20" s="244">
        <v>1</v>
      </c>
      <c r="Z20" s="245">
        <v>1</v>
      </c>
      <c r="AA20" s="246">
        <v>1</v>
      </c>
      <c r="AB20" s="225">
        <v>1</v>
      </c>
      <c r="AC20" s="262">
        <v>1</v>
      </c>
      <c r="AD20" s="177">
        <v>1</v>
      </c>
      <c r="AE20" s="177">
        <v>1</v>
      </c>
      <c r="AF20" s="177">
        <v>1</v>
      </c>
      <c r="AG20" s="582"/>
      <c r="AH20" s="583"/>
      <c r="AI20" s="177">
        <v>1</v>
      </c>
      <c r="AJ20" s="177">
        <v>1</v>
      </c>
      <c r="AK20" s="177">
        <v>1</v>
      </c>
      <c r="AL20" s="263">
        <v>1</v>
      </c>
      <c r="AM20" s="235">
        <v>1</v>
      </c>
      <c r="AN20" s="271">
        <v>1</v>
      </c>
      <c r="AO20" s="236">
        <v>1</v>
      </c>
      <c r="AP20" s="236">
        <v>1</v>
      </c>
      <c r="AQ20" s="236">
        <v>1</v>
      </c>
      <c r="AR20" s="236">
        <v>1</v>
      </c>
      <c r="AS20" s="236">
        <v>1</v>
      </c>
      <c r="AT20" s="236">
        <v>1</v>
      </c>
      <c r="AU20" s="236">
        <v>1</v>
      </c>
      <c r="AV20" s="272">
        <v>1</v>
      </c>
      <c r="AW20" s="277">
        <v>1</v>
      </c>
      <c r="AX20" s="278">
        <v>1</v>
      </c>
      <c r="AY20" s="278">
        <v>1</v>
      </c>
      <c r="AZ20" s="127">
        <v>1</v>
      </c>
      <c r="BA20" s="278">
        <v>1</v>
      </c>
      <c r="BB20" s="278">
        <v>1</v>
      </c>
      <c r="BC20" s="278">
        <v>1</v>
      </c>
      <c r="BD20" s="127">
        <v>1</v>
      </c>
      <c r="BE20" s="278">
        <v>1</v>
      </c>
      <c r="BF20" s="280">
        <v>1</v>
      </c>
      <c r="BG20" s="212">
        <v>1</v>
      </c>
      <c r="BH20" s="206">
        <v>1</v>
      </c>
      <c r="BI20" s="206">
        <v>1</v>
      </c>
      <c r="BJ20" s="206">
        <v>1</v>
      </c>
      <c r="BK20" s="206">
        <v>1</v>
      </c>
      <c r="BL20" s="206">
        <v>1</v>
      </c>
      <c r="BM20" s="206">
        <v>1</v>
      </c>
      <c r="BN20" s="206">
        <v>1</v>
      </c>
      <c r="BO20" s="207">
        <v>1</v>
      </c>
      <c r="BP20" s="215">
        <v>1</v>
      </c>
      <c r="BQ20" s="226">
        <v>1</v>
      </c>
      <c r="BR20" s="227">
        <v>1</v>
      </c>
      <c r="BS20" s="227">
        <v>1</v>
      </c>
      <c r="BT20" s="227">
        <v>1</v>
      </c>
      <c r="BU20" s="227">
        <v>1</v>
      </c>
      <c r="BV20" s="227">
        <v>1</v>
      </c>
      <c r="BW20" s="227">
        <v>1</v>
      </c>
      <c r="BX20" s="227">
        <v>1</v>
      </c>
      <c r="BY20" s="227">
        <v>1</v>
      </c>
      <c r="BZ20" s="228">
        <v>1</v>
      </c>
      <c r="CA20" s="537"/>
      <c r="CB20" s="538"/>
      <c r="CC20" s="538"/>
      <c r="CD20" s="538"/>
      <c r="CE20" s="538"/>
      <c r="CF20" s="538"/>
      <c r="CG20" s="538"/>
      <c r="CH20" s="538"/>
      <c r="CI20" s="538"/>
      <c r="CJ20" s="538"/>
      <c r="CK20" s="237">
        <v>1</v>
      </c>
      <c r="CL20" s="238">
        <v>1</v>
      </c>
      <c r="CM20" s="238">
        <v>1</v>
      </c>
      <c r="CN20" s="238">
        <v>1</v>
      </c>
      <c r="CO20" s="238">
        <v>1</v>
      </c>
      <c r="CP20" s="238">
        <v>1</v>
      </c>
      <c r="CQ20" s="238">
        <v>1</v>
      </c>
      <c r="CR20" s="238">
        <v>1</v>
      </c>
      <c r="CS20" s="238">
        <v>1</v>
      </c>
      <c r="CT20" s="273">
        <v>1</v>
      </c>
      <c r="CU20" s="295">
        <v>1</v>
      </c>
      <c r="CV20" s="296">
        <v>1</v>
      </c>
      <c r="CW20" s="296">
        <v>1</v>
      </c>
      <c r="CX20" s="296">
        <v>1</v>
      </c>
      <c r="CY20" s="296">
        <v>1</v>
      </c>
      <c r="CZ20" s="296">
        <v>1</v>
      </c>
      <c r="DA20" s="296">
        <v>1</v>
      </c>
      <c r="DB20" s="296">
        <v>1</v>
      </c>
      <c r="DC20" s="297">
        <v>1</v>
      </c>
      <c r="DD20" s="298">
        <v>1</v>
      </c>
      <c r="DE20" s="214">
        <v>1</v>
      </c>
      <c r="DF20" s="207">
        <v>1</v>
      </c>
      <c r="DG20" s="207">
        <v>1</v>
      </c>
      <c r="DH20" s="207">
        <v>1</v>
      </c>
      <c r="DI20" s="207">
        <v>1</v>
      </c>
      <c r="DJ20" s="207">
        <v>1</v>
      </c>
      <c r="DK20" s="207">
        <v>1</v>
      </c>
      <c r="DL20" s="207">
        <v>1</v>
      </c>
      <c r="DM20" s="207">
        <v>1</v>
      </c>
      <c r="DN20" s="215">
        <v>1</v>
      </c>
      <c r="DO20" s="226">
        <v>1</v>
      </c>
      <c r="DP20" s="227">
        <v>1</v>
      </c>
      <c r="DQ20" s="227">
        <v>1</v>
      </c>
      <c r="DR20" s="227">
        <v>1</v>
      </c>
      <c r="DS20" s="227">
        <v>1</v>
      </c>
      <c r="DT20" s="227">
        <v>1</v>
      </c>
      <c r="DU20" s="227">
        <v>1</v>
      </c>
      <c r="DV20" s="227">
        <v>1</v>
      </c>
      <c r="DW20" s="227">
        <v>1</v>
      </c>
      <c r="DX20" s="228">
        <v>1</v>
      </c>
      <c r="DY20" s="90">
        <v>1</v>
      </c>
      <c r="DZ20" s="91">
        <v>1</v>
      </c>
      <c r="EA20" s="91">
        <v>1</v>
      </c>
      <c r="EB20" s="91">
        <v>1</v>
      </c>
      <c r="EC20" s="91">
        <v>1</v>
      </c>
      <c r="ED20" s="91">
        <v>1</v>
      </c>
      <c r="EE20" s="91">
        <v>1</v>
      </c>
      <c r="EF20" s="91">
        <v>1</v>
      </c>
      <c r="EG20" s="91">
        <v>1</v>
      </c>
      <c r="EH20" s="92">
        <v>1</v>
      </c>
      <c r="EI20" s="237">
        <v>1</v>
      </c>
      <c r="EJ20" s="238">
        <v>1</v>
      </c>
      <c r="EK20" s="238">
        <v>1</v>
      </c>
      <c r="EL20" s="238">
        <v>1</v>
      </c>
      <c r="EM20" s="238">
        <v>1</v>
      </c>
      <c r="EN20" s="238">
        <v>1</v>
      </c>
      <c r="EO20" s="238">
        <v>1</v>
      </c>
      <c r="EP20" s="238">
        <v>1</v>
      </c>
      <c r="EQ20" s="238">
        <v>1</v>
      </c>
      <c r="ER20" s="273">
        <v>1</v>
      </c>
      <c r="ES20" s="316">
        <f t="shared" si="2"/>
        <v>10</v>
      </c>
      <c r="ET20" s="317">
        <f t="shared" si="3"/>
        <v>10</v>
      </c>
      <c r="EU20" s="317">
        <f t="shared" si="4"/>
        <v>8</v>
      </c>
      <c r="EV20" s="317">
        <f t="shared" si="5"/>
        <v>10</v>
      </c>
      <c r="EW20" s="317">
        <f t="shared" si="16"/>
        <v>10</v>
      </c>
      <c r="EX20" s="317">
        <f t="shared" si="17"/>
        <v>10</v>
      </c>
      <c r="EY20" s="317">
        <f t="shared" si="6"/>
        <v>10</v>
      </c>
      <c r="EZ20" s="317">
        <f t="shared" si="7"/>
        <v>0</v>
      </c>
      <c r="FA20" s="317">
        <f t="shared" si="8"/>
        <v>10</v>
      </c>
      <c r="FB20" s="317">
        <f t="shared" si="9"/>
        <v>10</v>
      </c>
      <c r="FC20" s="317">
        <f t="shared" si="10"/>
        <v>10</v>
      </c>
      <c r="FD20" s="317">
        <f t="shared" si="11"/>
        <v>10</v>
      </c>
      <c r="FE20" s="317">
        <f t="shared" si="12"/>
        <v>10</v>
      </c>
      <c r="FF20" s="317">
        <f t="shared" si="13"/>
        <v>10</v>
      </c>
      <c r="FG20" s="318">
        <f t="shared" si="18"/>
        <v>18</v>
      </c>
      <c r="FH20" s="319">
        <f t="shared" si="14"/>
        <v>128</v>
      </c>
      <c r="FI20" s="319">
        <f>SUM(I7:ER7)-SUM(ES20:FF20)</f>
        <v>0</v>
      </c>
      <c r="FJ20" s="319">
        <f t="shared" si="15"/>
        <v>128</v>
      </c>
      <c r="FK20" s="7"/>
    </row>
    <row r="21" spans="1:167" ht="15" customHeight="1">
      <c r="A21" s="2"/>
      <c r="B21" s="3">
        <f t="shared" si="0"/>
        <v>1</v>
      </c>
      <c r="C21" s="182">
        <f t="shared" si="1"/>
        <v>14</v>
      </c>
      <c r="D21" s="183" t="s">
        <v>211</v>
      </c>
      <c r="E21" s="203"/>
      <c r="F21" s="203">
        <v>15</v>
      </c>
      <c r="G21" s="571">
        <v>45915</v>
      </c>
      <c r="H21" s="572"/>
      <c r="I21" s="212">
        <v>0</v>
      </c>
      <c r="J21" s="206">
        <v>0</v>
      </c>
      <c r="K21" s="206">
        <v>0</v>
      </c>
      <c r="L21" s="206">
        <v>0</v>
      </c>
      <c r="M21" s="206">
        <v>0</v>
      </c>
      <c r="N21" s="206">
        <v>0</v>
      </c>
      <c r="O21" s="206">
        <v>0</v>
      </c>
      <c r="P21" s="206">
        <v>0</v>
      </c>
      <c r="Q21" s="206">
        <v>0</v>
      </c>
      <c r="R21" s="213">
        <v>0</v>
      </c>
      <c r="S21" s="223">
        <v>0</v>
      </c>
      <c r="T21" s="224">
        <v>0</v>
      </c>
      <c r="U21" s="224">
        <v>0</v>
      </c>
      <c r="V21" s="224">
        <v>0</v>
      </c>
      <c r="W21" s="224">
        <v>0</v>
      </c>
      <c r="X21" s="224">
        <v>0</v>
      </c>
      <c r="Y21" s="244">
        <v>0</v>
      </c>
      <c r="Z21" s="245">
        <v>0</v>
      </c>
      <c r="AA21" s="246">
        <v>0</v>
      </c>
      <c r="AB21" s="225">
        <v>0</v>
      </c>
      <c r="AC21" s="262">
        <v>1</v>
      </c>
      <c r="AD21" s="177">
        <v>1</v>
      </c>
      <c r="AE21" s="177">
        <v>1</v>
      </c>
      <c r="AF21" s="177">
        <v>1</v>
      </c>
      <c r="AG21" s="582"/>
      <c r="AH21" s="583"/>
      <c r="AI21" s="177">
        <v>1</v>
      </c>
      <c r="AJ21" s="177">
        <v>1</v>
      </c>
      <c r="AK21" s="177">
        <v>1</v>
      </c>
      <c r="AL21" s="263">
        <v>1</v>
      </c>
      <c r="AM21" s="235">
        <v>1</v>
      </c>
      <c r="AN21" s="271">
        <v>1</v>
      </c>
      <c r="AO21" s="236">
        <v>1</v>
      </c>
      <c r="AP21" s="236">
        <v>1</v>
      </c>
      <c r="AQ21" s="236">
        <v>1</v>
      </c>
      <c r="AR21" s="236">
        <v>1</v>
      </c>
      <c r="AS21" s="236">
        <v>1</v>
      </c>
      <c r="AT21" s="236">
        <v>1</v>
      </c>
      <c r="AU21" s="236">
        <v>1</v>
      </c>
      <c r="AV21" s="272">
        <v>1</v>
      </c>
      <c r="AW21" s="277">
        <v>1</v>
      </c>
      <c r="AX21" s="278">
        <v>1</v>
      </c>
      <c r="AY21" s="278">
        <v>1</v>
      </c>
      <c r="AZ21" s="127">
        <v>1</v>
      </c>
      <c r="BA21" s="278">
        <v>1</v>
      </c>
      <c r="BB21" s="278">
        <v>1</v>
      </c>
      <c r="BC21" s="278">
        <v>1</v>
      </c>
      <c r="BD21" s="127">
        <v>1</v>
      </c>
      <c r="BE21" s="278">
        <v>1</v>
      </c>
      <c r="BF21" s="280">
        <v>1</v>
      </c>
      <c r="BG21" s="212">
        <v>1</v>
      </c>
      <c r="BH21" s="206">
        <v>1</v>
      </c>
      <c r="BI21" s="206">
        <v>1</v>
      </c>
      <c r="BJ21" s="206">
        <v>1</v>
      </c>
      <c r="BK21" s="206">
        <v>0</v>
      </c>
      <c r="BL21" s="206">
        <v>0</v>
      </c>
      <c r="BM21" s="206">
        <v>1</v>
      </c>
      <c r="BN21" s="206">
        <v>1</v>
      </c>
      <c r="BO21" s="207">
        <v>1</v>
      </c>
      <c r="BP21" s="215">
        <v>1</v>
      </c>
      <c r="BQ21" s="226">
        <v>1</v>
      </c>
      <c r="BR21" s="227">
        <v>1</v>
      </c>
      <c r="BS21" s="227">
        <v>1</v>
      </c>
      <c r="BT21" s="227">
        <v>1</v>
      </c>
      <c r="BU21" s="227">
        <v>1</v>
      </c>
      <c r="BV21" s="227">
        <v>1</v>
      </c>
      <c r="BW21" s="227">
        <v>1</v>
      </c>
      <c r="BX21" s="227">
        <v>1</v>
      </c>
      <c r="BY21" s="227">
        <v>1</v>
      </c>
      <c r="BZ21" s="228">
        <v>1</v>
      </c>
      <c r="CA21" s="537"/>
      <c r="CB21" s="538"/>
      <c r="CC21" s="538"/>
      <c r="CD21" s="538"/>
      <c r="CE21" s="538"/>
      <c r="CF21" s="538"/>
      <c r="CG21" s="538"/>
      <c r="CH21" s="538"/>
      <c r="CI21" s="538"/>
      <c r="CJ21" s="538"/>
      <c r="CK21" s="237">
        <v>1</v>
      </c>
      <c r="CL21" s="238">
        <v>1</v>
      </c>
      <c r="CM21" s="238">
        <v>1</v>
      </c>
      <c r="CN21" s="238">
        <v>1</v>
      </c>
      <c r="CO21" s="238">
        <v>1</v>
      </c>
      <c r="CP21" s="238">
        <v>1</v>
      </c>
      <c r="CQ21" s="238">
        <v>1</v>
      </c>
      <c r="CR21" s="238">
        <v>1</v>
      </c>
      <c r="CS21" s="238">
        <v>1</v>
      </c>
      <c r="CT21" s="273">
        <v>1</v>
      </c>
      <c r="CU21" s="295">
        <v>1</v>
      </c>
      <c r="CV21" s="296">
        <v>1</v>
      </c>
      <c r="CW21" s="296">
        <v>1</v>
      </c>
      <c r="CX21" s="296">
        <v>1</v>
      </c>
      <c r="CY21" s="296">
        <v>1</v>
      </c>
      <c r="CZ21" s="296">
        <v>1</v>
      </c>
      <c r="DA21" s="296">
        <v>1</v>
      </c>
      <c r="DB21" s="296">
        <v>1</v>
      </c>
      <c r="DC21" s="297">
        <v>1</v>
      </c>
      <c r="DD21" s="298">
        <v>1</v>
      </c>
      <c r="DE21" s="214">
        <v>1</v>
      </c>
      <c r="DF21" s="207">
        <v>1</v>
      </c>
      <c r="DG21" s="207">
        <v>1</v>
      </c>
      <c r="DH21" s="207">
        <v>1</v>
      </c>
      <c r="DI21" s="207">
        <v>1</v>
      </c>
      <c r="DJ21" s="207">
        <v>1</v>
      </c>
      <c r="DK21" s="207">
        <v>1</v>
      </c>
      <c r="DL21" s="207">
        <v>1</v>
      </c>
      <c r="DM21" s="207">
        <v>1</v>
      </c>
      <c r="DN21" s="215">
        <v>1</v>
      </c>
      <c r="DO21" s="226">
        <v>1</v>
      </c>
      <c r="DP21" s="227">
        <v>1</v>
      </c>
      <c r="DQ21" s="227">
        <v>1</v>
      </c>
      <c r="DR21" s="227">
        <v>1</v>
      </c>
      <c r="DS21" s="227">
        <v>1</v>
      </c>
      <c r="DT21" s="227">
        <v>1</v>
      </c>
      <c r="DU21" s="227">
        <v>1</v>
      </c>
      <c r="DV21" s="227">
        <v>1</v>
      </c>
      <c r="DW21" s="227">
        <v>1</v>
      </c>
      <c r="DX21" s="228">
        <v>1</v>
      </c>
      <c r="DY21" s="90">
        <v>1</v>
      </c>
      <c r="DZ21" s="91">
        <v>1</v>
      </c>
      <c r="EA21" s="91">
        <v>1</v>
      </c>
      <c r="EB21" s="91">
        <v>1</v>
      </c>
      <c r="EC21" s="91">
        <v>1</v>
      </c>
      <c r="ED21" s="91">
        <v>1</v>
      </c>
      <c r="EE21" s="91">
        <v>1</v>
      </c>
      <c r="EF21" s="91">
        <v>1</v>
      </c>
      <c r="EG21" s="91">
        <v>1</v>
      </c>
      <c r="EH21" s="92">
        <v>1</v>
      </c>
      <c r="EI21" s="237">
        <v>1</v>
      </c>
      <c r="EJ21" s="238">
        <v>1</v>
      </c>
      <c r="EK21" s="238">
        <v>1</v>
      </c>
      <c r="EL21" s="238">
        <v>1</v>
      </c>
      <c r="EM21" s="238">
        <v>1</v>
      </c>
      <c r="EN21" s="238">
        <v>1</v>
      </c>
      <c r="EO21" s="238">
        <v>1</v>
      </c>
      <c r="EP21" s="238">
        <v>1</v>
      </c>
      <c r="EQ21" s="238">
        <v>1</v>
      </c>
      <c r="ER21" s="273">
        <v>1</v>
      </c>
      <c r="ES21" s="316">
        <f t="shared" si="2"/>
        <v>0</v>
      </c>
      <c r="ET21" s="317">
        <f t="shared" si="3"/>
        <v>0</v>
      </c>
      <c r="EU21" s="317">
        <f t="shared" si="4"/>
        <v>8</v>
      </c>
      <c r="EV21" s="317">
        <f t="shared" si="5"/>
        <v>10</v>
      </c>
      <c r="EW21" s="317">
        <f t="shared" si="16"/>
        <v>8</v>
      </c>
      <c r="EX21" s="317">
        <f t="shared" si="17"/>
        <v>8</v>
      </c>
      <c r="EY21" s="317">
        <f t="shared" si="6"/>
        <v>10</v>
      </c>
      <c r="EZ21" s="317">
        <f t="shared" si="7"/>
        <v>0</v>
      </c>
      <c r="FA21" s="317">
        <f t="shared" si="8"/>
        <v>10</v>
      </c>
      <c r="FB21" s="317">
        <f t="shared" si="9"/>
        <v>10</v>
      </c>
      <c r="FC21" s="317">
        <f t="shared" si="10"/>
        <v>10</v>
      </c>
      <c r="FD21" s="317">
        <f t="shared" si="11"/>
        <v>10</v>
      </c>
      <c r="FE21" s="317">
        <f t="shared" si="12"/>
        <v>10</v>
      </c>
      <c r="FF21" s="317">
        <f t="shared" si="13"/>
        <v>10</v>
      </c>
      <c r="FG21" s="318">
        <f t="shared" si="18"/>
        <v>19</v>
      </c>
      <c r="FH21" s="319">
        <f t="shared" si="14"/>
        <v>104</v>
      </c>
      <c r="FI21" s="319">
        <f>SUM(I7:ER7)-SUM(ES21:FF21)</f>
        <v>24</v>
      </c>
      <c r="FJ21" s="319">
        <f t="shared" si="15"/>
        <v>128</v>
      </c>
      <c r="FK21" s="7"/>
    </row>
    <row r="22" spans="1:167" ht="15" customHeight="1">
      <c r="A22" s="2"/>
      <c r="B22" s="3">
        <f t="shared" si="0"/>
        <v>1</v>
      </c>
      <c r="C22" s="182">
        <f t="shared" si="1"/>
        <v>15</v>
      </c>
      <c r="D22" s="183" t="s">
        <v>216</v>
      </c>
      <c r="E22" s="203"/>
      <c r="F22" s="203">
        <v>14</v>
      </c>
      <c r="G22" s="571">
        <v>45915</v>
      </c>
      <c r="H22" s="572"/>
      <c r="I22" s="212">
        <v>1</v>
      </c>
      <c r="J22" s="206">
        <v>1</v>
      </c>
      <c r="K22" s="206">
        <v>1</v>
      </c>
      <c r="L22" s="206">
        <v>1</v>
      </c>
      <c r="M22" s="206">
        <v>1</v>
      </c>
      <c r="N22" s="206">
        <v>1</v>
      </c>
      <c r="O22" s="206">
        <v>1</v>
      </c>
      <c r="P22" s="206">
        <v>1</v>
      </c>
      <c r="Q22" s="206">
        <v>1</v>
      </c>
      <c r="R22" s="213">
        <v>1</v>
      </c>
      <c r="S22" s="223">
        <v>1</v>
      </c>
      <c r="T22" s="224">
        <v>1</v>
      </c>
      <c r="U22" s="224">
        <v>1</v>
      </c>
      <c r="V22" s="224">
        <v>1</v>
      </c>
      <c r="W22" s="224">
        <v>1</v>
      </c>
      <c r="X22" s="224">
        <v>1</v>
      </c>
      <c r="Y22" s="244">
        <v>1</v>
      </c>
      <c r="Z22" s="245">
        <v>1</v>
      </c>
      <c r="AA22" s="246">
        <v>1</v>
      </c>
      <c r="AB22" s="225">
        <v>1</v>
      </c>
      <c r="AC22" s="262">
        <v>1</v>
      </c>
      <c r="AD22" s="177">
        <v>1</v>
      </c>
      <c r="AE22" s="177">
        <v>1</v>
      </c>
      <c r="AF22" s="177">
        <v>1</v>
      </c>
      <c r="AG22" s="582"/>
      <c r="AH22" s="583"/>
      <c r="AI22" s="177">
        <v>1</v>
      </c>
      <c r="AJ22" s="177">
        <v>1</v>
      </c>
      <c r="AK22" s="177">
        <v>1</v>
      </c>
      <c r="AL22" s="263">
        <v>1</v>
      </c>
      <c r="AM22" s="235">
        <v>1</v>
      </c>
      <c r="AN22" s="271">
        <v>1</v>
      </c>
      <c r="AO22" s="236">
        <v>1</v>
      </c>
      <c r="AP22" s="236">
        <v>1</v>
      </c>
      <c r="AQ22" s="236">
        <v>1</v>
      </c>
      <c r="AR22" s="236">
        <v>1</v>
      </c>
      <c r="AS22" s="236">
        <v>1</v>
      </c>
      <c r="AT22" s="236">
        <v>1</v>
      </c>
      <c r="AU22" s="236">
        <v>1</v>
      </c>
      <c r="AV22" s="272">
        <v>1</v>
      </c>
      <c r="AW22" s="277">
        <v>1</v>
      </c>
      <c r="AX22" s="278">
        <v>1</v>
      </c>
      <c r="AY22" s="278">
        <v>1</v>
      </c>
      <c r="AZ22" s="127">
        <v>1</v>
      </c>
      <c r="BA22" s="278">
        <v>1</v>
      </c>
      <c r="BB22" s="278">
        <v>1</v>
      </c>
      <c r="BC22" s="278">
        <v>1</v>
      </c>
      <c r="BD22" s="127">
        <v>1</v>
      </c>
      <c r="BE22" s="278">
        <v>1</v>
      </c>
      <c r="BF22" s="280">
        <v>1</v>
      </c>
      <c r="BG22" s="212">
        <v>1</v>
      </c>
      <c r="BH22" s="206">
        <v>1</v>
      </c>
      <c r="BI22" s="206">
        <v>1</v>
      </c>
      <c r="BJ22" s="206">
        <v>1</v>
      </c>
      <c r="BK22" s="206">
        <v>1</v>
      </c>
      <c r="BL22" s="206">
        <v>1</v>
      </c>
      <c r="BM22" s="206">
        <v>1</v>
      </c>
      <c r="BN22" s="206">
        <v>1</v>
      </c>
      <c r="BO22" s="207">
        <v>1</v>
      </c>
      <c r="BP22" s="215">
        <v>1</v>
      </c>
      <c r="BQ22" s="226">
        <v>1</v>
      </c>
      <c r="BR22" s="227">
        <v>1</v>
      </c>
      <c r="BS22" s="227">
        <v>1</v>
      </c>
      <c r="BT22" s="227">
        <v>1</v>
      </c>
      <c r="BU22" s="227">
        <v>1</v>
      </c>
      <c r="BV22" s="227">
        <v>1</v>
      </c>
      <c r="BW22" s="227">
        <v>1</v>
      </c>
      <c r="BX22" s="227">
        <v>1</v>
      </c>
      <c r="BY22" s="227">
        <v>1</v>
      </c>
      <c r="BZ22" s="228">
        <v>1</v>
      </c>
      <c r="CA22" s="537"/>
      <c r="CB22" s="538"/>
      <c r="CC22" s="538"/>
      <c r="CD22" s="538"/>
      <c r="CE22" s="538"/>
      <c r="CF22" s="538"/>
      <c r="CG22" s="538"/>
      <c r="CH22" s="538"/>
      <c r="CI22" s="538"/>
      <c r="CJ22" s="538"/>
      <c r="CK22" s="237">
        <v>1</v>
      </c>
      <c r="CL22" s="238">
        <v>1</v>
      </c>
      <c r="CM22" s="238">
        <v>1</v>
      </c>
      <c r="CN22" s="238">
        <v>1</v>
      </c>
      <c r="CO22" s="238">
        <v>1</v>
      </c>
      <c r="CP22" s="238">
        <v>1</v>
      </c>
      <c r="CQ22" s="238">
        <v>1</v>
      </c>
      <c r="CR22" s="238">
        <v>1</v>
      </c>
      <c r="CS22" s="238">
        <v>1</v>
      </c>
      <c r="CT22" s="273">
        <v>1</v>
      </c>
      <c r="CU22" s="295">
        <v>1</v>
      </c>
      <c r="CV22" s="296">
        <v>1</v>
      </c>
      <c r="CW22" s="296">
        <v>1</v>
      </c>
      <c r="CX22" s="296">
        <v>1</v>
      </c>
      <c r="CY22" s="296">
        <v>1</v>
      </c>
      <c r="CZ22" s="296">
        <v>1</v>
      </c>
      <c r="DA22" s="296">
        <v>1</v>
      </c>
      <c r="DB22" s="296">
        <v>1</v>
      </c>
      <c r="DC22" s="297">
        <v>1</v>
      </c>
      <c r="DD22" s="298">
        <v>1</v>
      </c>
      <c r="DE22" s="214">
        <v>1</v>
      </c>
      <c r="DF22" s="207">
        <v>1</v>
      </c>
      <c r="DG22" s="207">
        <v>1</v>
      </c>
      <c r="DH22" s="207">
        <v>1</v>
      </c>
      <c r="DI22" s="207">
        <v>1</v>
      </c>
      <c r="DJ22" s="207">
        <v>1</v>
      </c>
      <c r="DK22" s="207">
        <v>1</v>
      </c>
      <c r="DL22" s="207">
        <v>1</v>
      </c>
      <c r="DM22" s="207">
        <v>1</v>
      </c>
      <c r="DN22" s="215">
        <v>1</v>
      </c>
      <c r="DO22" s="226">
        <v>1</v>
      </c>
      <c r="DP22" s="227">
        <v>1</v>
      </c>
      <c r="DQ22" s="227">
        <v>1</v>
      </c>
      <c r="DR22" s="227">
        <v>1</v>
      </c>
      <c r="DS22" s="227">
        <v>1</v>
      </c>
      <c r="DT22" s="227">
        <v>1</v>
      </c>
      <c r="DU22" s="227">
        <v>1</v>
      </c>
      <c r="DV22" s="227">
        <v>1</v>
      </c>
      <c r="DW22" s="227">
        <v>1</v>
      </c>
      <c r="DX22" s="228">
        <v>1</v>
      </c>
      <c r="DY22" s="90">
        <v>1</v>
      </c>
      <c r="DZ22" s="91">
        <v>1</v>
      </c>
      <c r="EA22" s="91">
        <v>1</v>
      </c>
      <c r="EB22" s="91">
        <v>1</v>
      </c>
      <c r="EC22" s="91">
        <v>1</v>
      </c>
      <c r="ED22" s="91">
        <v>1</v>
      </c>
      <c r="EE22" s="91">
        <v>1</v>
      </c>
      <c r="EF22" s="91">
        <v>1</v>
      </c>
      <c r="EG22" s="91">
        <v>1</v>
      </c>
      <c r="EH22" s="92">
        <v>1</v>
      </c>
      <c r="EI22" s="237">
        <v>1</v>
      </c>
      <c r="EJ22" s="238">
        <v>1</v>
      </c>
      <c r="EK22" s="238">
        <v>1</v>
      </c>
      <c r="EL22" s="238">
        <v>1</v>
      </c>
      <c r="EM22" s="238">
        <v>1</v>
      </c>
      <c r="EN22" s="238">
        <v>1</v>
      </c>
      <c r="EO22" s="238">
        <v>1</v>
      </c>
      <c r="EP22" s="238">
        <v>1</v>
      </c>
      <c r="EQ22" s="238">
        <v>1</v>
      </c>
      <c r="ER22" s="273">
        <v>1</v>
      </c>
      <c r="ES22" s="316">
        <f t="shared" si="2"/>
        <v>10</v>
      </c>
      <c r="ET22" s="317">
        <f t="shared" si="3"/>
        <v>10</v>
      </c>
      <c r="EU22" s="317">
        <f t="shared" si="4"/>
        <v>8</v>
      </c>
      <c r="EV22" s="317">
        <f t="shared" si="5"/>
        <v>10</v>
      </c>
      <c r="EW22" s="317">
        <f t="shared" si="16"/>
        <v>10</v>
      </c>
      <c r="EX22" s="317">
        <f t="shared" si="17"/>
        <v>10</v>
      </c>
      <c r="EY22" s="317">
        <f t="shared" si="6"/>
        <v>10</v>
      </c>
      <c r="EZ22" s="317">
        <f t="shared" si="7"/>
        <v>0</v>
      </c>
      <c r="FA22" s="317">
        <f t="shared" si="8"/>
        <v>10</v>
      </c>
      <c r="FB22" s="317">
        <f t="shared" si="9"/>
        <v>10</v>
      </c>
      <c r="FC22" s="317">
        <f t="shared" si="10"/>
        <v>10</v>
      </c>
      <c r="FD22" s="317">
        <f t="shared" si="11"/>
        <v>10</v>
      </c>
      <c r="FE22" s="317">
        <f t="shared" si="12"/>
        <v>10</v>
      </c>
      <c r="FF22" s="317">
        <f t="shared" si="13"/>
        <v>10</v>
      </c>
      <c r="FG22" s="318">
        <f t="shared" si="18"/>
        <v>20</v>
      </c>
      <c r="FH22" s="319">
        <f t="shared" si="14"/>
        <v>128</v>
      </c>
      <c r="FI22" s="319">
        <f>SUM(I7:ER7)-SUM(ES22:FF22)</f>
        <v>0</v>
      </c>
      <c r="FJ22" s="319">
        <f t="shared" si="15"/>
        <v>128</v>
      </c>
      <c r="FK22" s="7"/>
    </row>
    <row r="23" spans="1:167" ht="15" customHeight="1">
      <c r="A23" s="2"/>
      <c r="B23" s="3">
        <f t="shared" si="0"/>
        <v>1</v>
      </c>
      <c r="C23" s="182">
        <f t="shared" si="1"/>
        <v>16</v>
      </c>
      <c r="D23" s="183" t="s">
        <v>100</v>
      </c>
      <c r="E23" s="203"/>
      <c r="F23" s="203">
        <v>16</v>
      </c>
      <c r="G23" s="571">
        <v>45915</v>
      </c>
      <c r="H23" s="572"/>
      <c r="I23" s="212">
        <v>1</v>
      </c>
      <c r="J23" s="206">
        <v>1</v>
      </c>
      <c r="K23" s="206">
        <v>1</v>
      </c>
      <c r="L23" s="206">
        <v>1</v>
      </c>
      <c r="M23" s="206">
        <v>1</v>
      </c>
      <c r="N23" s="206">
        <v>1</v>
      </c>
      <c r="O23" s="206">
        <v>1</v>
      </c>
      <c r="P23" s="206">
        <v>1</v>
      </c>
      <c r="Q23" s="206">
        <v>1</v>
      </c>
      <c r="R23" s="213">
        <v>1</v>
      </c>
      <c r="S23" s="223">
        <v>1</v>
      </c>
      <c r="T23" s="224">
        <v>1</v>
      </c>
      <c r="U23" s="224">
        <v>1</v>
      </c>
      <c r="V23" s="224">
        <v>1</v>
      </c>
      <c r="W23" s="224">
        <v>1</v>
      </c>
      <c r="X23" s="224">
        <v>1</v>
      </c>
      <c r="Y23" s="244">
        <v>1</v>
      </c>
      <c r="Z23" s="245">
        <v>1</v>
      </c>
      <c r="AA23" s="246">
        <v>1</v>
      </c>
      <c r="AB23" s="225">
        <v>1</v>
      </c>
      <c r="AC23" s="262">
        <v>1</v>
      </c>
      <c r="AD23" s="177">
        <v>1</v>
      </c>
      <c r="AE23" s="177">
        <v>1</v>
      </c>
      <c r="AF23" s="177">
        <v>1</v>
      </c>
      <c r="AG23" s="582"/>
      <c r="AH23" s="583"/>
      <c r="AI23" s="177">
        <v>1</v>
      </c>
      <c r="AJ23" s="177">
        <v>1</v>
      </c>
      <c r="AK23" s="177">
        <v>0</v>
      </c>
      <c r="AL23" s="263">
        <v>0</v>
      </c>
      <c r="AM23" s="235">
        <v>1</v>
      </c>
      <c r="AN23" s="271">
        <v>1</v>
      </c>
      <c r="AO23" s="236">
        <v>1</v>
      </c>
      <c r="AP23" s="236">
        <v>1</v>
      </c>
      <c r="AQ23" s="236">
        <v>1</v>
      </c>
      <c r="AR23" s="236">
        <v>1</v>
      </c>
      <c r="AS23" s="236">
        <v>1</v>
      </c>
      <c r="AT23" s="236">
        <v>1</v>
      </c>
      <c r="AU23" s="236">
        <v>0</v>
      </c>
      <c r="AV23" s="272">
        <v>0</v>
      </c>
      <c r="AW23" s="277">
        <v>1</v>
      </c>
      <c r="AX23" s="278">
        <v>1</v>
      </c>
      <c r="AY23" s="278">
        <v>1</v>
      </c>
      <c r="AZ23" s="127">
        <v>1</v>
      </c>
      <c r="BA23" s="278">
        <v>1</v>
      </c>
      <c r="BB23" s="278">
        <v>1</v>
      </c>
      <c r="BC23" s="278">
        <v>1</v>
      </c>
      <c r="BD23" s="127">
        <v>1</v>
      </c>
      <c r="BE23" s="278">
        <v>1</v>
      </c>
      <c r="BF23" s="280">
        <v>1</v>
      </c>
      <c r="BG23" s="212">
        <v>1</v>
      </c>
      <c r="BH23" s="206">
        <v>1</v>
      </c>
      <c r="BI23" s="206">
        <v>1</v>
      </c>
      <c r="BJ23" s="206">
        <v>1</v>
      </c>
      <c r="BK23" s="206">
        <v>0</v>
      </c>
      <c r="BL23" s="206">
        <v>0</v>
      </c>
      <c r="BM23" s="206">
        <v>1</v>
      </c>
      <c r="BN23" s="206">
        <v>1</v>
      </c>
      <c r="BO23" s="207">
        <v>0</v>
      </c>
      <c r="BP23" s="215">
        <v>0</v>
      </c>
      <c r="BQ23" s="226">
        <v>1</v>
      </c>
      <c r="BR23" s="227">
        <v>1</v>
      </c>
      <c r="BS23" s="227">
        <v>1</v>
      </c>
      <c r="BT23" s="227">
        <v>1</v>
      </c>
      <c r="BU23" s="227">
        <v>0</v>
      </c>
      <c r="BV23" s="227">
        <v>0</v>
      </c>
      <c r="BW23" s="227">
        <v>1</v>
      </c>
      <c r="BX23" s="227">
        <v>1</v>
      </c>
      <c r="BY23" s="227">
        <v>1</v>
      </c>
      <c r="BZ23" s="228">
        <v>1</v>
      </c>
      <c r="CA23" s="537"/>
      <c r="CB23" s="538"/>
      <c r="CC23" s="538"/>
      <c r="CD23" s="538"/>
      <c r="CE23" s="538"/>
      <c r="CF23" s="538"/>
      <c r="CG23" s="538"/>
      <c r="CH23" s="538"/>
      <c r="CI23" s="538"/>
      <c r="CJ23" s="538"/>
      <c r="CK23" s="237">
        <v>1</v>
      </c>
      <c r="CL23" s="238">
        <v>1</v>
      </c>
      <c r="CM23" s="238">
        <v>1</v>
      </c>
      <c r="CN23" s="238">
        <v>1</v>
      </c>
      <c r="CO23" s="238">
        <v>1</v>
      </c>
      <c r="CP23" s="238">
        <v>1</v>
      </c>
      <c r="CQ23" s="238">
        <v>1</v>
      </c>
      <c r="CR23" s="238">
        <v>1</v>
      </c>
      <c r="CS23" s="238">
        <v>1</v>
      </c>
      <c r="CT23" s="273">
        <v>1</v>
      </c>
      <c r="CU23" s="295">
        <v>1</v>
      </c>
      <c r="CV23" s="296">
        <v>1</v>
      </c>
      <c r="CW23" s="296">
        <v>1</v>
      </c>
      <c r="CX23" s="296">
        <v>1</v>
      </c>
      <c r="CY23" s="296">
        <v>1</v>
      </c>
      <c r="CZ23" s="296">
        <v>1</v>
      </c>
      <c r="DA23" s="296">
        <v>1</v>
      </c>
      <c r="DB23" s="296">
        <v>1</v>
      </c>
      <c r="DC23" s="297">
        <v>1</v>
      </c>
      <c r="DD23" s="298">
        <v>1</v>
      </c>
      <c r="DE23" s="214">
        <v>1</v>
      </c>
      <c r="DF23" s="207">
        <v>1</v>
      </c>
      <c r="DG23" s="207">
        <v>1</v>
      </c>
      <c r="DH23" s="207">
        <v>1</v>
      </c>
      <c r="DI23" s="207">
        <v>1</v>
      </c>
      <c r="DJ23" s="207">
        <v>1</v>
      </c>
      <c r="DK23" s="207">
        <v>1</v>
      </c>
      <c r="DL23" s="207">
        <v>1</v>
      </c>
      <c r="DM23" s="207">
        <v>1</v>
      </c>
      <c r="DN23" s="215">
        <v>1</v>
      </c>
      <c r="DO23" s="226">
        <v>1</v>
      </c>
      <c r="DP23" s="227">
        <v>1</v>
      </c>
      <c r="DQ23" s="227">
        <v>1</v>
      </c>
      <c r="DR23" s="227">
        <v>1</v>
      </c>
      <c r="DS23" s="227">
        <v>1</v>
      </c>
      <c r="DT23" s="227">
        <v>1</v>
      </c>
      <c r="DU23" s="227">
        <v>1</v>
      </c>
      <c r="DV23" s="227">
        <v>1</v>
      </c>
      <c r="DW23" s="227">
        <v>1</v>
      </c>
      <c r="DX23" s="228">
        <v>1</v>
      </c>
      <c r="DY23" s="90">
        <v>1</v>
      </c>
      <c r="DZ23" s="91">
        <v>1</v>
      </c>
      <c r="EA23" s="91">
        <v>1</v>
      </c>
      <c r="EB23" s="91">
        <v>1</v>
      </c>
      <c r="EC23" s="91">
        <v>1</v>
      </c>
      <c r="ED23" s="91">
        <v>1</v>
      </c>
      <c r="EE23" s="91">
        <v>1</v>
      </c>
      <c r="EF23" s="91">
        <v>1</v>
      </c>
      <c r="EG23" s="91">
        <v>1</v>
      </c>
      <c r="EH23" s="92">
        <v>1</v>
      </c>
      <c r="EI23" s="237">
        <v>1</v>
      </c>
      <c r="EJ23" s="238">
        <v>1</v>
      </c>
      <c r="EK23" s="238">
        <v>1</v>
      </c>
      <c r="EL23" s="238">
        <v>1</v>
      </c>
      <c r="EM23" s="238">
        <v>1</v>
      </c>
      <c r="EN23" s="238">
        <v>1</v>
      </c>
      <c r="EO23" s="238">
        <v>1</v>
      </c>
      <c r="EP23" s="238">
        <v>1</v>
      </c>
      <c r="EQ23" s="238">
        <v>1</v>
      </c>
      <c r="ER23" s="273">
        <v>1</v>
      </c>
      <c r="ES23" s="316">
        <f t="shared" si="2"/>
        <v>10</v>
      </c>
      <c r="ET23" s="317">
        <f t="shared" si="3"/>
        <v>10</v>
      </c>
      <c r="EU23" s="317">
        <f t="shared" si="4"/>
        <v>6</v>
      </c>
      <c r="EV23" s="317">
        <f t="shared" si="5"/>
        <v>8</v>
      </c>
      <c r="EW23" s="317">
        <f t="shared" si="16"/>
        <v>6</v>
      </c>
      <c r="EX23" s="317">
        <f t="shared" si="17"/>
        <v>6</v>
      </c>
      <c r="EY23" s="317">
        <f t="shared" si="6"/>
        <v>8</v>
      </c>
      <c r="EZ23" s="317">
        <f t="shared" si="7"/>
        <v>0</v>
      </c>
      <c r="FA23" s="317">
        <f t="shared" si="8"/>
        <v>10</v>
      </c>
      <c r="FB23" s="317">
        <f t="shared" si="9"/>
        <v>10</v>
      </c>
      <c r="FC23" s="317">
        <f t="shared" si="10"/>
        <v>10</v>
      </c>
      <c r="FD23" s="317">
        <f t="shared" si="11"/>
        <v>10</v>
      </c>
      <c r="FE23" s="317">
        <f t="shared" si="12"/>
        <v>10</v>
      </c>
      <c r="FF23" s="317">
        <f t="shared" si="13"/>
        <v>10</v>
      </c>
      <c r="FG23" s="318">
        <f t="shared" si="18"/>
        <v>21</v>
      </c>
      <c r="FH23" s="319">
        <f t="shared" si="14"/>
        <v>114</v>
      </c>
      <c r="FI23" s="319">
        <f>SUM(I7:ER7)-SUM(ES23:FF23)</f>
        <v>14</v>
      </c>
      <c r="FJ23" s="319">
        <f t="shared" si="15"/>
        <v>128</v>
      </c>
      <c r="FK23" s="7"/>
    </row>
    <row r="24" spans="1:167" ht="15" customHeight="1">
      <c r="A24" s="2"/>
      <c r="B24" s="3">
        <f t="shared" si="0"/>
        <v>1</v>
      </c>
      <c r="C24" s="182">
        <f t="shared" si="1"/>
        <v>17</v>
      </c>
      <c r="D24" s="183" t="s">
        <v>217</v>
      </c>
      <c r="E24" s="203"/>
      <c r="F24" s="203">
        <v>17</v>
      </c>
      <c r="G24" s="571">
        <v>45915</v>
      </c>
      <c r="H24" s="572"/>
      <c r="I24" s="212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13">
        <v>0</v>
      </c>
      <c r="S24" s="223">
        <v>0</v>
      </c>
      <c r="T24" s="224">
        <v>0</v>
      </c>
      <c r="U24" s="224">
        <v>0</v>
      </c>
      <c r="V24" s="224">
        <v>0</v>
      </c>
      <c r="W24" s="224">
        <v>0</v>
      </c>
      <c r="X24" s="224">
        <v>0</v>
      </c>
      <c r="Y24" s="244">
        <v>0</v>
      </c>
      <c r="Z24" s="245">
        <v>0</v>
      </c>
      <c r="AA24" s="246">
        <v>0</v>
      </c>
      <c r="AB24" s="225">
        <v>0</v>
      </c>
      <c r="AC24" s="262">
        <v>0</v>
      </c>
      <c r="AD24" s="177">
        <v>0</v>
      </c>
      <c r="AE24" s="177">
        <v>0</v>
      </c>
      <c r="AF24" s="177">
        <v>0</v>
      </c>
      <c r="AG24" s="582"/>
      <c r="AH24" s="583"/>
      <c r="AI24" s="177">
        <v>1</v>
      </c>
      <c r="AJ24" s="177">
        <v>1</v>
      </c>
      <c r="AK24" s="177">
        <v>1</v>
      </c>
      <c r="AL24" s="263">
        <v>1</v>
      </c>
      <c r="AM24" s="235">
        <v>1</v>
      </c>
      <c r="AN24" s="271">
        <v>1</v>
      </c>
      <c r="AO24" s="236">
        <v>1</v>
      </c>
      <c r="AP24" s="236">
        <v>1</v>
      </c>
      <c r="AQ24" s="236">
        <v>1</v>
      </c>
      <c r="AR24" s="236">
        <v>1</v>
      </c>
      <c r="AS24" s="236">
        <v>1</v>
      </c>
      <c r="AT24" s="236">
        <v>1</v>
      </c>
      <c r="AU24" s="236">
        <v>1</v>
      </c>
      <c r="AV24" s="272">
        <v>1</v>
      </c>
      <c r="AW24" s="277">
        <v>1</v>
      </c>
      <c r="AX24" s="278">
        <v>1</v>
      </c>
      <c r="AY24" s="278">
        <v>1</v>
      </c>
      <c r="AZ24" s="127">
        <v>1</v>
      </c>
      <c r="BA24" s="278">
        <v>1</v>
      </c>
      <c r="BB24" s="278">
        <v>1</v>
      </c>
      <c r="BC24" s="278">
        <v>1</v>
      </c>
      <c r="BD24" s="127">
        <v>1</v>
      </c>
      <c r="BE24" s="278">
        <v>1</v>
      </c>
      <c r="BF24" s="280">
        <v>1</v>
      </c>
      <c r="BG24" s="212">
        <v>1</v>
      </c>
      <c r="BH24" s="206">
        <v>1</v>
      </c>
      <c r="BI24" s="206">
        <v>1</v>
      </c>
      <c r="BJ24" s="206">
        <v>1</v>
      </c>
      <c r="BK24" s="206">
        <v>1</v>
      </c>
      <c r="BL24" s="206">
        <v>1</v>
      </c>
      <c r="BM24" s="206">
        <v>1</v>
      </c>
      <c r="BN24" s="206">
        <v>1</v>
      </c>
      <c r="BO24" s="207">
        <v>0</v>
      </c>
      <c r="BP24" s="215">
        <v>0</v>
      </c>
      <c r="BQ24" s="226">
        <v>1</v>
      </c>
      <c r="BR24" s="227">
        <v>1</v>
      </c>
      <c r="BS24" s="227">
        <v>1</v>
      </c>
      <c r="BT24" s="227">
        <v>1</v>
      </c>
      <c r="BU24" s="227">
        <v>1</v>
      </c>
      <c r="BV24" s="227">
        <v>1</v>
      </c>
      <c r="BW24" s="227">
        <v>1</v>
      </c>
      <c r="BX24" s="227">
        <v>1</v>
      </c>
      <c r="BY24" s="227">
        <v>1</v>
      </c>
      <c r="BZ24" s="228">
        <v>1</v>
      </c>
      <c r="CA24" s="537"/>
      <c r="CB24" s="538"/>
      <c r="CC24" s="538"/>
      <c r="CD24" s="538"/>
      <c r="CE24" s="538"/>
      <c r="CF24" s="538"/>
      <c r="CG24" s="538"/>
      <c r="CH24" s="538"/>
      <c r="CI24" s="538"/>
      <c r="CJ24" s="538"/>
      <c r="CK24" s="237">
        <v>1</v>
      </c>
      <c r="CL24" s="238">
        <v>1</v>
      </c>
      <c r="CM24" s="238">
        <v>1</v>
      </c>
      <c r="CN24" s="238">
        <v>1</v>
      </c>
      <c r="CO24" s="238">
        <v>0</v>
      </c>
      <c r="CP24" s="238">
        <v>0</v>
      </c>
      <c r="CQ24" s="238">
        <v>1</v>
      </c>
      <c r="CR24" s="238">
        <v>1</v>
      </c>
      <c r="CS24" s="238">
        <v>0</v>
      </c>
      <c r="CT24" s="273">
        <v>0</v>
      </c>
      <c r="CU24" s="295">
        <v>1</v>
      </c>
      <c r="CV24" s="296">
        <v>1</v>
      </c>
      <c r="CW24" s="296">
        <v>0</v>
      </c>
      <c r="CX24" s="296">
        <v>0</v>
      </c>
      <c r="CY24" s="296">
        <v>0</v>
      </c>
      <c r="CZ24" s="296">
        <v>0</v>
      </c>
      <c r="DA24" s="296">
        <v>1</v>
      </c>
      <c r="DB24" s="296">
        <v>1</v>
      </c>
      <c r="DC24" s="297">
        <v>1</v>
      </c>
      <c r="DD24" s="298">
        <v>1</v>
      </c>
      <c r="DE24" s="214">
        <v>1</v>
      </c>
      <c r="DF24" s="207">
        <v>1</v>
      </c>
      <c r="DG24" s="207">
        <v>1</v>
      </c>
      <c r="DH24" s="207">
        <v>1</v>
      </c>
      <c r="DI24" s="207">
        <v>1</v>
      </c>
      <c r="DJ24" s="207">
        <v>1</v>
      </c>
      <c r="DK24" s="207">
        <v>1</v>
      </c>
      <c r="DL24" s="207">
        <v>1</v>
      </c>
      <c r="DM24" s="207">
        <v>1</v>
      </c>
      <c r="DN24" s="215">
        <v>1</v>
      </c>
      <c r="DO24" s="226">
        <v>1</v>
      </c>
      <c r="DP24" s="227">
        <v>1</v>
      </c>
      <c r="DQ24" s="227">
        <v>1</v>
      </c>
      <c r="DR24" s="227">
        <v>1</v>
      </c>
      <c r="DS24" s="227">
        <v>1</v>
      </c>
      <c r="DT24" s="227">
        <v>1</v>
      </c>
      <c r="DU24" s="227">
        <v>1</v>
      </c>
      <c r="DV24" s="227">
        <v>1</v>
      </c>
      <c r="DW24" s="227">
        <v>1</v>
      </c>
      <c r="DX24" s="228">
        <v>1</v>
      </c>
      <c r="DY24" s="90">
        <v>1</v>
      </c>
      <c r="DZ24" s="91">
        <v>1</v>
      </c>
      <c r="EA24" s="91">
        <v>1</v>
      </c>
      <c r="EB24" s="91">
        <v>1</v>
      </c>
      <c r="EC24" s="91">
        <v>1</v>
      </c>
      <c r="ED24" s="91">
        <v>1</v>
      </c>
      <c r="EE24" s="91">
        <v>1</v>
      </c>
      <c r="EF24" s="91">
        <v>1</v>
      </c>
      <c r="EG24" s="91">
        <v>1</v>
      </c>
      <c r="EH24" s="92">
        <v>1</v>
      </c>
      <c r="EI24" s="237">
        <v>1</v>
      </c>
      <c r="EJ24" s="238">
        <v>1</v>
      </c>
      <c r="EK24" s="238">
        <v>1</v>
      </c>
      <c r="EL24" s="238">
        <v>1</v>
      </c>
      <c r="EM24" s="238">
        <v>1</v>
      </c>
      <c r="EN24" s="238">
        <v>1</v>
      </c>
      <c r="EO24" s="238">
        <v>1</v>
      </c>
      <c r="EP24" s="238">
        <v>1</v>
      </c>
      <c r="EQ24" s="238">
        <v>1</v>
      </c>
      <c r="ER24" s="273">
        <v>1</v>
      </c>
      <c r="ES24" s="316">
        <f t="shared" si="2"/>
        <v>0</v>
      </c>
      <c r="ET24" s="317">
        <f t="shared" si="3"/>
        <v>0</v>
      </c>
      <c r="EU24" s="317">
        <f t="shared" si="4"/>
        <v>4</v>
      </c>
      <c r="EV24" s="317">
        <f t="shared" si="5"/>
        <v>10</v>
      </c>
      <c r="EW24" s="317">
        <f t="shared" si="16"/>
        <v>8</v>
      </c>
      <c r="EX24" s="317">
        <f t="shared" si="17"/>
        <v>8</v>
      </c>
      <c r="EY24" s="317">
        <f t="shared" si="6"/>
        <v>10</v>
      </c>
      <c r="EZ24" s="317">
        <f t="shared" si="7"/>
        <v>0</v>
      </c>
      <c r="FA24" s="317">
        <f t="shared" si="8"/>
        <v>6</v>
      </c>
      <c r="FB24" s="317">
        <f t="shared" si="9"/>
        <v>6</v>
      </c>
      <c r="FC24" s="317">
        <f t="shared" si="10"/>
        <v>10</v>
      </c>
      <c r="FD24" s="317">
        <f t="shared" si="11"/>
        <v>10</v>
      </c>
      <c r="FE24" s="317">
        <f t="shared" si="12"/>
        <v>10</v>
      </c>
      <c r="FF24" s="317">
        <f t="shared" si="13"/>
        <v>10</v>
      </c>
      <c r="FG24" s="318">
        <f t="shared" si="18"/>
        <v>22</v>
      </c>
      <c r="FH24" s="319">
        <f t="shared" si="14"/>
        <v>92</v>
      </c>
      <c r="FI24" s="319">
        <f>SUM(I7:ER7)-SUM(ES24:FF24)</f>
        <v>36</v>
      </c>
      <c r="FJ24" s="319">
        <f t="shared" si="15"/>
        <v>128</v>
      </c>
      <c r="FK24" s="7"/>
    </row>
    <row r="25" spans="1:167" ht="15" customHeight="1">
      <c r="A25" s="2"/>
      <c r="B25" s="3">
        <f t="shared" si="0"/>
        <v>1</v>
      </c>
      <c r="C25" s="182">
        <f t="shared" si="1"/>
        <v>18</v>
      </c>
      <c r="D25" s="183" t="s">
        <v>218</v>
      </c>
      <c r="E25" s="203"/>
      <c r="F25" s="203">
        <v>17</v>
      </c>
      <c r="G25" s="571">
        <v>45915</v>
      </c>
      <c r="H25" s="572"/>
      <c r="I25" s="212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13">
        <v>0</v>
      </c>
      <c r="S25" s="223">
        <v>0</v>
      </c>
      <c r="T25" s="224">
        <v>0</v>
      </c>
      <c r="U25" s="224">
        <v>0</v>
      </c>
      <c r="V25" s="224">
        <v>0</v>
      </c>
      <c r="W25" s="224">
        <v>0</v>
      </c>
      <c r="X25" s="224">
        <v>0</v>
      </c>
      <c r="Y25" s="244">
        <v>0</v>
      </c>
      <c r="Z25" s="245">
        <v>0</v>
      </c>
      <c r="AA25" s="246">
        <v>0</v>
      </c>
      <c r="AB25" s="225">
        <v>0</v>
      </c>
      <c r="AC25" s="262">
        <v>0</v>
      </c>
      <c r="AD25" s="177">
        <v>0</v>
      </c>
      <c r="AE25" s="177">
        <v>0</v>
      </c>
      <c r="AF25" s="177">
        <v>0</v>
      </c>
      <c r="AG25" s="582"/>
      <c r="AH25" s="583"/>
      <c r="AI25" s="177">
        <v>0</v>
      </c>
      <c r="AJ25" s="177">
        <v>0</v>
      </c>
      <c r="AK25" s="177">
        <v>0</v>
      </c>
      <c r="AL25" s="263">
        <v>0</v>
      </c>
      <c r="AM25" s="235">
        <v>0</v>
      </c>
      <c r="AN25" s="271">
        <v>0</v>
      </c>
      <c r="AO25" s="236">
        <v>0</v>
      </c>
      <c r="AP25" s="236">
        <v>0</v>
      </c>
      <c r="AQ25" s="236">
        <v>1</v>
      </c>
      <c r="AR25" s="236">
        <v>1</v>
      </c>
      <c r="AS25" s="236">
        <v>1</v>
      </c>
      <c r="AT25" s="236">
        <v>1</v>
      </c>
      <c r="AU25" s="236">
        <v>1</v>
      </c>
      <c r="AV25" s="272">
        <v>1</v>
      </c>
      <c r="AW25" s="277">
        <v>1</v>
      </c>
      <c r="AX25" s="278">
        <v>1</v>
      </c>
      <c r="AY25" s="278">
        <v>1</v>
      </c>
      <c r="AZ25" s="127">
        <v>1</v>
      </c>
      <c r="BA25" s="278">
        <v>1</v>
      </c>
      <c r="BB25" s="278">
        <v>1</v>
      </c>
      <c r="BC25" s="278">
        <v>0</v>
      </c>
      <c r="BD25" s="127">
        <v>0</v>
      </c>
      <c r="BE25" s="278">
        <v>0</v>
      </c>
      <c r="BF25" s="280">
        <v>0</v>
      </c>
      <c r="BG25" s="212">
        <v>1</v>
      </c>
      <c r="BH25" s="206">
        <v>1</v>
      </c>
      <c r="BI25" s="206">
        <v>1</v>
      </c>
      <c r="BJ25" s="206">
        <v>1</v>
      </c>
      <c r="BK25" s="206">
        <v>1</v>
      </c>
      <c r="BL25" s="206">
        <v>1</v>
      </c>
      <c r="BM25" s="206">
        <v>1</v>
      </c>
      <c r="BN25" s="206">
        <v>1</v>
      </c>
      <c r="BO25" s="207">
        <v>1</v>
      </c>
      <c r="BP25" s="215">
        <v>1</v>
      </c>
      <c r="BQ25" s="226">
        <v>1</v>
      </c>
      <c r="BR25" s="227">
        <v>1</v>
      </c>
      <c r="BS25" s="227">
        <v>1</v>
      </c>
      <c r="BT25" s="227">
        <v>1</v>
      </c>
      <c r="BU25" s="227">
        <v>1</v>
      </c>
      <c r="BV25" s="227">
        <v>1</v>
      </c>
      <c r="BW25" s="227">
        <v>1</v>
      </c>
      <c r="BX25" s="227">
        <v>1</v>
      </c>
      <c r="BY25" s="227">
        <v>0</v>
      </c>
      <c r="BZ25" s="228">
        <v>0</v>
      </c>
      <c r="CA25" s="537"/>
      <c r="CB25" s="538"/>
      <c r="CC25" s="538"/>
      <c r="CD25" s="538"/>
      <c r="CE25" s="538"/>
      <c r="CF25" s="538"/>
      <c r="CG25" s="538"/>
      <c r="CH25" s="538"/>
      <c r="CI25" s="538"/>
      <c r="CJ25" s="538"/>
      <c r="CK25" s="237">
        <v>1</v>
      </c>
      <c r="CL25" s="238">
        <v>1</v>
      </c>
      <c r="CM25" s="238">
        <v>1</v>
      </c>
      <c r="CN25" s="238">
        <v>1</v>
      </c>
      <c r="CO25" s="238">
        <v>1</v>
      </c>
      <c r="CP25" s="238">
        <v>1</v>
      </c>
      <c r="CQ25" s="238">
        <v>1</v>
      </c>
      <c r="CR25" s="238">
        <v>1</v>
      </c>
      <c r="CS25" s="238">
        <v>1</v>
      </c>
      <c r="CT25" s="273">
        <v>1</v>
      </c>
      <c r="CU25" s="295">
        <v>1</v>
      </c>
      <c r="CV25" s="296">
        <v>1</v>
      </c>
      <c r="CW25" s="296">
        <v>1</v>
      </c>
      <c r="CX25" s="296">
        <v>1</v>
      </c>
      <c r="CY25" s="296">
        <v>1</v>
      </c>
      <c r="CZ25" s="296">
        <v>1</v>
      </c>
      <c r="DA25" s="296">
        <v>1</v>
      </c>
      <c r="DB25" s="296">
        <v>1</v>
      </c>
      <c r="DC25" s="297">
        <v>1</v>
      </c>
      <c r="DD25" s="298">
        <v>1</v>
      </c>
      <c r="DE25" s="214">
        <v>1</v>
      </c>
      <c r="DF25" s="207">
        <v>1</v>
      </c>
      <c r="DG25" s="207">
        <v>1</v>
      </c>
      <c r="DH25" s="207">
        <v>1</v>
      </c>
      <c r="DI25" s="207">
        <v>1</v>
      </c>
      <c r="DJ25" s="207">
        <v>1</v>
      </c>
      <c r="DK25" s="207">
        <v>1</v>
      </c>
      <c r="DL25" s="207">
        <v>1</v>
      </c>
      <c r="DM25" s="207">
        <v>1</v>
      </c>
      <c r="DN25" s="215">
        <v>1</v>
      </c>
      <c r="DO25" s="226">
        <v>1</v>
      </c>
      <c r="DP25" s="227">
        <v>1</v>
      </c>
      <c r="DQ25" s="227">
        <v>1</v>
      </c>
      <c r="DR25" s="227">
        <v>1</v>
      </c>
      <c r="DS25" s="227">
        <v>1</v>
      </c>
      <c r="DT25" s="227">
        <v>1</v>
      </c>
      <c r="DU25" s="227">
        <v>1</v>
      </c>
      <c r="DV25" s="227">
        <v>1</v>
      </c>
      <c r="DW25" s="227">
        <v>1</v>
      </c>
      <c r="DX25" s="228">
        <v>1</v>
      </c>
      <c r="DY25" s="90">
        <v>1</v>
      </c>
      <c r="DZ25" s="91">
        <v>1</v>
      </c>
      <c r="EA25" s="91">
        <v>1</v>
      </c>
      <c r="EB25" s="91">
        <v>1</v>
      </c>
      <c r="EC25" s="91">
        <v>1</v>
      </c>
      <c r="ED25" s="91">
        <v>1</v>
      </c>
      <c r="EE25" s="91">
        <v>1</v>
      </c>
      <c r="EF25" s="91">
        <v>1</v>
      </c>
      <c r="EG25" s="91">
        <v>1</v>
      </c>
      <c r="EH25" s="92">
        <v>1</v>
      </c>
      <c r="EI25" s="237">
        <v>1</v>
      </c>
      <c r="EJ25" s="238">
        <v>1</v>
      </c>
      <c r="EK25" s="238">
        <v>1</v>
      </c>
      <c r="EL25" s="238">
        <v>1</v>
      </c>
      <c r="EM25" s="238">
        <v>1</v>
      </c>
      <c r="EN25" s="238">
        <v>1</v>
      </c>
      <c r="EO25" s="238">
        <v>1</v>
      </c>
      <c r="EP25" s="238">
        <v>1</v>
      </c>
      <c r="EQ25" s="238">
        <v>1</v>
      </c>
      <c r="ER25" s="273">
        <v>1</v>
      </c>
      <c r="ES25" s="316">
        <f t="shared" si="2"/>
        <v>0</v>
      </c>
      <c r="ET25" s="317">
        <f t="shared" si="3"/>
        <v>0</v>
      </c>
      <c r="EU25" s="317">
        <f t="shared" si="4"/>
        <v>0</v>
      </c>
      <c r="EV25" s="317">
        <f t="shared" si="5"/>
        <v>6</v>
      </c>
      <c r="EW25" s="317">
        <f t="shared" si="16"/>
        <v>10</v>
      </c>
      <c r="EX25" s="317">
        <f t="shared" si="17"/>
        <v>10</v>
      </c>
      <c r="EY25" s="317">
        <f t="shared" si="6"/>
        <v>8</v>
      </c>
      <c r="EZ25" s="317">
        <f t="shared" si="7"/>
        <v>0</v>
      </c>
      <c r="FA25" s="317">
        <f t="shared" si="8"/>
        <v>10</v>
      </c>
      <c r="FB25" s="317">
        <f t="shared" si="9"/>
        <v>10</v>
      </c>
      <c r="FC25" s="317">
        <f t="shared" si="10"/>
        <v>10</v>
      </c>
      <c r="FD25" s="317">
        <f t="shared" si="11"/>
        <v>10</v>
      </c>
      <c r="FE25" s="317">
        <f t="shared" si="12"/>
        <v>10</v>
      </c>
      <c r="FF25" s="317">
        <f t="shared" si="13"/>
        <v>10</v>
      </c>
      <c r="FG25" s="318">
        <f t="shared" si="18"/>
        <v>23</v>
      </c>
      <c r="FH25" s="319">
        <f t="shared" si="14"/>
        <v>94</v>
      </c>
      <c r="FI25" s="319">
        <f>SUM(I7:ER7)-SUM(ES25:FF25)</f>
        <v>34</v>
      </c>
      <c r="FJ25" s="319">
        <f t="shared" si="15"/>
        <v>128</v>
      </c>
      <c r="FK25" s="7"/>
    </row>
    <row r="26" spans="1:167" ht="15" customHeight="1">
      <c r="A26" s="2"/>
      <c r="B26" s="3">
        <f t="shared" si="0"/>
        <v>1</v>
      </c>
      <c r="C26" s="182">
        <f t="shared" si="1"/>
        <v>19</v>
      </c>
      <c r="D26" s="183" t="s">
        <v>219</v>
      </c>
      <c r="E26" s="203"/>
      <c r="F26" s="203">
        <v>17</v>
      </c>
      <c r="G26" s="571">
        <v>45915</v>
      </c>
      <c r="H26" s="572"/>
      <c r="I26" s="212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13">
        <v>0</v>
      </c>
      <c r="S26" s="223">
        <v>0</v>
      </c>
      <c r="T26" s="224">
        <v>0</v>
      </c>
      <c r="U26" s="224">
        <v>0</v>
      </c>
      <c r="V26" s="224">
        <v>0</v>
      </c>
      <c r="W26" s="224">
        <v>0</v>
      </c>
      <c r="X26" s="224">
        <v>0</v>
      </c>
      <c r="Y26" s="244">
        <v>0</v>
      </c>
      <c r="Z26" s="245">
        <v>0</v>
      </c>
      <c r="AA26" s="246">
        <v>0</v>
      </c>
      <c r="AB26" s="225">
        <v>0</v>
      </c>
      <c r="AC26" s="262">
        <v>0</v>
      </c>
      <c r="AD26" s="177">
        <v>0</v>
      </c>
      <c r="AE26" s="177">
        <v>0</v>
      </c>
      <c r="AF26" s="177">
        <v>0</v>
      </c>
      <c r="AG26" s="582"/>
      <c r="AH26" s="583"/>
      <c r="AI26" s="177">
        <v>0</v>
      </c>
      <c r="AJ26" s="177">
        <v>0</v>
      </c>
      <c r="AK26" s="177">
        <v>0</v>
      </c>
      <c r="AL26" s="263">
        <v>0</v>
      </c>
      <c r="AM26" s="235">
        <v>0</v>
      </c>
      <c r="AN26" s="271">
        <v>0</v>
      </c>
      <c r="AO26" s="236">
        <v>0</v>
      </c>
      <c r="AP26" s="236">
        <v>0</v>
      </c>
      <c r="AQ26" s="236">
        <v>0</v>
      </c>
      <c r="AR26" s="236">
        <v>0</v>
      </c>
      <c r="AS26" s="236">
        <v>0</v>
      </c>
      <c r="AT26" s="236">
        <v>0</v>
      </c>
      <c r="AU26" s="236">
        <v>0</v>
      </c>
      <c r="AV26" s="272">
        <v>0</v>
      </c>
      <c r="AW26" s="277">
        <v>0</v>
      </c>
      <c r="AX26" s="278">
        <v>0</v>
      </c>
      <c r="AY26" s="278">
        <v>0</v>
      </c>
      <c r="AZ26" s="127">
        <v>0</v>
      </c>
      <c r="BA26" s="278">
        <v>0</v>
      </c>
      <c r="BB26" s="278">
        <v>0</v>
      </c>
      <c r="BC26" s="278">
        <v>0</v>
      </c>
      <c r="BD26" s="127">
        <v>0</v>
      </c>
      <c r="BE26" s="278">
        <v>0</v>
      </c>
      <c r="BF26" s="280">
        <v>0</v>
      </c>
      <c r="BG26" s="212">
        <v>0</v>
      </c>
      <c r="BH26" s="206">
        <v>0</v>
      </c>
      <c r="BI26" s="206">
        <v>1</v>
      </c>
      <c r="BJ26" s="206">
        <v>1</v>
      </c>
      <c r="BK26" s="206">
        <v>1</v>
      </c>
      <c r="BL26" s="206">
        <v>1</v>
      </c>
      <c r="BM26" s="206">
        <v>1</v>
      </c>
      <c r="BN26" s="206">
        <v>1</v>
      </c>
      <c r="BO26" s="207">
        <v>1</v>
      </c>
      <c r="BP26" s="215">
        <v>1</v>
      </c>
      <c r="BQ26" s="226">
        <v>1</v>
      </c>
      <c r="BR26" s="227">
        <v>1</v>
      </c>
      <c r="BS26" s="227">
        <v>1</v>
      </c>
      <c r="BT26" s="227">
        <v>1</v>
      </c>
      <c r="BU26" s="227">
        <v>1</v>
      </c>
      <c r="BV26" s="227">
        <v>1</v>
      </c>
      <c r="BW26" s="227">
        <v>1</v>
      </c>
      <c r="BX26" s="227">
        <v>1</v>
      </c>
      <c r="BY26" s="227">
        <v>1</v>
      </c>
      <c r="BZ26" s="228">
        <v>1</v>
      </c>
      <c r="CA26" s="537"/>
      <c r="CB26" s="538"/>
      <c r="CC26" s="538"/>
      <c r="CD26" s="538"/>
      <c r="CE26" s="538"/>
      <c r="CF26" s="538"/>
      <c r="CG26" s="538"/>
      <c r="CH26" s="538"/>
      <c r="CI26" s="538"/>
      <c r="CJ26" s="538"/>
      <c r="CK26" s="237">
        <v>1</v>
      </c>
      <c r="CL26" s="238">
        <v>1</v>
      </c>
      <c r="CM26" s="238">
        <v>1</v>
      </c>
      <c r="CN26" s="238">
        <v>1</v>
      </c>
      <c r="CO26" s="238">
        <v>1</v>
      </c>
      <c r="CP26" s="238">
        <v>1</v>
      </c>
      <c r="CQ26" s="238">
        <v>1</v>
      </c>
      <c r="CR26" s="238">
        <v>1</v>
      </c>
      <c r="CS26" s="238">
        <v>0</v>
      </c>
      <c r="CT26" s="273">
        <v>0</v>
      </c>
      <c r="CU26" s="295">
        <v>0</v>
      </c>
      <c r="CV26" s="296">
        <v>0</v>
      </c>
      <c r="CW26" s="296">
        <v>0</v>
      </c>
      <c r="CX26" s="296">
        <v>0</v>
      </c>
      <c r="CY26" s="296">
        <v>0</v>
      </c>
      <c r="CZ26" s="296">
        <v>0</v>
      </c>
      <c r="DA26" s="296">
        <v>0</v>
      </c>
      <c r="DB26" s="296">
        <v>0</v>
      </c>
      <c r="DC26" s="297">
        <v>0</v>
      </c>
      <c r="DD26" s="298">
        <v>0</v>
      </c>
      <c r="DE26" s="214">
        <v>0</v>
      </c>
      <c r="DF26" s="207">
        <v>0</v>
      </c>
      <c r="DG26" s="207">
        <v>0</v>
      </c>
      <c r="DH26" s="207">
        <v>0</v>
      </c>
      <c r="DI26" s="207">
        <v>0</v>
      </c>
      <c r="DJ26" s="207">
        <v>0</v>
      </c>
      <c r="DK26" s="207">
        <v>0</v>
      </c>
      <c r="DL26" s="207">
        <v>0</v>
      </c>
      <c r="DM26" s="207">
        <v>0</v>
      </c>
      <c r="DN26" s="215">
        <v>0</v>
      </c>
      <c r="DO26" s="226">
        <v>0</v>
      </c>
      <c r="DP26" s="227">
        <v>0</v>
      </c>
      <c r="DQ26" s="227">
        <v>0</v>
      </c>
      <c r="DR26" s="227">
        <v>0</v>
      </c>
      <c r="DS26" s="227">
        <v>0</v>
      </c>
      <c r="DT26" s="227">
        <v>0</v>
      </c>
      <c r="DU26" s="227">
        <v>0</v>
      </c>
      <c r="DV26" s="227">
        <v>0</v>
      </c>
      <c r="DW26" s="227">
        <v>0</v>
      </c>
      <c r="DX26" s="228">
        <v>0</v>
      </c>
      <c r="DY26" s="90">
        <v>0</v>
      </c>
      <c r="DZ26" s="91">
        <v>0</v>
      </c>
      <c r="EA26" s="91">
        <v>0</v>
      </c>
      <c r="EB26" s="91">
        <v>0</v>
      </c>
      <c r="EC26" s="91">
        <v>0</v>
      </c>
      <c r="ED26" s="91">
        <v>0</v>
      </c>
      <c r="EE26" s="91">
        <v>0</v>
      </c>
      <c r="EF26" s="91">
        <v>0</v>
      </c>
      <c r="EG26" s="91">
        <v>0</v>
      </c>
      <c r="EH26" s="92">
        <v>0</v>
      </c>
      <c r="EI26" s="237">
        <v>0</v>
      </c>
      <c r="EJ26" s="238">
        <v>0</v>
      </c>
      <c r="EK26" s="238">
        <v>0</v>
      </c>
      <c r="EL26" s="238">
        <v>0</v>
      </c>
      <c r="EM26" s="238">
        <v>0</v>
      </c>
      <c r="EN26" s="238">
        <v>0</v>
      </c>
      <c r="EO26" s="238">
        <v>0</v>
      </c>
      <c r="EP26" s="238">
        <v>0</v>
      </c>
      <c r="EQ26" s="238">
        <v>0</v>
      </c>
      <c r="ER26" s="273">
        <v>0</v>
      </c>
      <c r="ES26" s="316">
        <f t="shared" si="2"/>
        <v>0</v>
      </c>
      <c r="ET26" s="317">
        <f t="shared" si="3"/>
        <v>0</v>
      </c>
      <c r="EU26" s="317">
        <f t="shared" si="4"/>
        <v>0</v>
      </c>
      <c r="EV26" s="317">
        <f t="shared" si="5"/>
        <v>0</v>
      </c>
      <c r="EW26" s="317">
        <f t="shared" si="16"/>
        <v>8</v>
      </c>
      <c r="EX26" s="317">
        <f t="shared" si="17"/>
        <v>8</v>
      </c>
      <c r="EY26" s="317">
        <f t="shared" si="6"/>
        <v>10</v>
      </c>
      <c r="EZ26" s="317">
        <f t="shared" si="7"/>
        <v>0</v>
      </c>
      <c r="FA26" s="317">
        <f t="shared" si="8"/>
        <v>8</v>
      </c>
      <c r="FB26" s="317">
        <f t="shared" si="9"/>
        <v>0</v>
      </c>
      <c r="FC26" s="317">
        <f t="shared" si="10"/>
        <v>0</v>
      </c>
      <c r="FD26" s="317">
        <f t="shared" si="11"/>
        <v>0</v>
      </c>
      <c r="FE26" s="317">
        <f t="shared" si="12"/>
        <v>0</v>
      </c>
      <c r="FF26" s="317">
        <f t="shared" si="13"/>
        <v>0</v>
      </c>
      <c r="FG26" s="318">
        <f t="shared" si="18"/>
        <v>24</v>
      </c>
      <c r="FH26" s="319">
        <f t="shared" si="14"/>
        <v>34</v>
      </c>
      <c r="FI26" s="319">
        <f>SUM(I7:ER7)-SUM(ES26:FF26)</f>
        <v>94</v>
      </c>
      <c r="FJ26" s="319">
        <f t="shared" si="15"/>
        <v>128</v>
      </c>
      <c r="FK26" s="7"/>
    </row>
    <row r="27" spans="1:167" ht="15" customHeight="1">
      <c r="A27" s="2"/>
      <c r="B27" s="3">
        <f t="shared" si="0"/>
        <v>0</v>
      </c>
      <c r="C27" s="182">
        <f t="shared" si="1"/>
        <v>20</v>
      </c>
      <c r="D27" s="184"/>
      <c r="E27" s="203"/>
      <c r="F27" s="203"/>
      <c r="G27" s="571">
        <v>45915</v>
      </c>
      <c r="H27" s="572"/>
      <c r="I27" s="214"/>
      <c r="J27" s="207"/>
      <c r="K27" s="207"/>
      <c r="L27" s="207"/>
      <c r="M27" s="207"/>
      <c r="N27" s="207"/>
      <c r="O27" s="207"/>
      <c r="P27" s="207"/>
      <c r="Q27" s="207"/>
      <c r="R27" s="215"/>
      <c r="S27" s="226"/>
      <c r="T27" s="227"/>
      <c r="U27" s="227"/>
      <c r="V27" s="227"/>
      <c r="W27" s="227"/>
      <c r="X27" s="227"/>
      <c r="Y27" s="247"/>
      <c r="Z27" s="248"/>
      <c r="AA27" s="249"/>
      <c r="AB27" s="228"/>
      <c r="AC27" s="264"/>
      <c r="AD27" s="178"/>
      <c r="AE27" s="178"/>
      <c r="AF27" s="178"/>
      <c r="AG27" s="582"/>
      <c r="AH27" s="583"/>
      <c r="AI27" s="178"/>
      <c r="AJ27" s="178"/>
      <c r="AK27" s="178"/>
      <c r="AL27" s="265"/>
      <c r="AM27" s="237"/>
      <c r="AN27" s="271"/>
      <c r="AO27" s="238"/>
      <c r="AP27" s="238"/>
      <c r="AQ27" s="238"/>
      <c r="AR27" s="238"/>
      <c r="AS27" s="238"/>
      <c r="AT27" s="238"/>
      <c r="AU27" s="238"/>
      <c r="AV27" s="273"/>
      <c r="AW27" s="277"/>
      <c r="AX27" s="278"/>
      <c r="AY27" s="278"/>
      <c r="AZ27" s="129"/>
      <c r="BA27" s="278"/>
      <c r="BB27" s="278"/>
      <c r="BC27" s="278"/>
      <c r="BD27" s="129"/>
      <c r="BE27" s="278"/>
      <c r="BF27" s="281"/>
      <c r="BG27" s="214"/>
      <c r="BH27" s="207"/>
      <c r="BI27" s="207"/>
      <c r="BJ27" s="207"/>
      <c r="BK27" s="207"/>
      <c r="BL27" s="207"/>
      <c r="BM27" s="207"/>
      <c r="BN27" s="207"/>
      <c r="BO27" s="207"/>
      <c r="BP27" s="215"/>
      <c r="BQ27" s="226"/>
      <c r="BR27" s="227"/>
      <c r="BS27" s="227"/>
      <c r="BT27" s="227"/>
      <c r="BU27" s="227"/>
      <c r="BV27" s="227"/>
      <c r="BW27" s="227"/>
      <c r="BX27" s="227"/>
      <c r="BY27" s="227"/>
      <c r="BZ27" s="228"/>
      <c r="CA27" s="537"/>
      <c r="CB27" s="538"/>
      <c r="CC27" s="538"/>
      <c r="CD27" s="538"/>
      <c r="CE27" s="538"/>
      <c r="CF27" s="538"/>
      <c r="CG27" s="538"/>
      <c r="CH27" s="538"/>
      <c r="CI27" s="538"/>
      <c r="CJ27" s="538"/>
      <c r="CK27" s="237"/>
      <c r="CL27" s="238"/>
      <c r="CM27" s="238"/>
      <c r="CN27" s="238"/>
      <c r="CO27" s="238"/>
      <c r="CP27" s="238"/>
      <c r="CQ27" s="238"/>
      <c r="CR27" s="238"/>
      <c r="CS27" s="238"/>
      <c r="CT27" s="273"/>
      <c r="CU27" s="295"/>
      <c r="CV27" s="296"/>
      <c r="CW27" s="296"/>
      <c r="CX27" s="296"/>
      <c r="CY27" s="296"/>
      <c r="CZ27" s="296"/>
      <c r="DA27" s="296"/>
      <c r="DB27" s="296"/>
      <c r="DC27" s="297"/>
      <c r="DD27" s="298"/>
      <c r="DE27" s="214"/>
      <c r="DF27" s="207"/>
      <c r="DG27" s="207"/>
      <c r="DH27" s="207"/>
      <c r="DI27" s="207"/>
      <c r="DJ27" s="207"/>
      <c r="DK27" s="207"/>
      <c r="DL27" s="207"/>
      <c r="DM27" s="207"/>
      <c r="DN27" s="215"/>
      <c r="DO27" s="226"/>
      <c r="DP27" s="227"/>
      <c r="DQ27" s="227"/>
      <c r="DR27" s="227"/>
      <c r="DS27" s="227"/>
      <c r="DT27" s="227"/>
      <c r="DU27" s="227"/>
      <c r="DV27" s="227"/>
      <c r="DW27" s="227"/>
      <c r="DX27" s="228"/>
      <c r="DY27" s="90"/>
      <c r="DZ27" s="91"/>
      <c r="EA27" s="91"/>
      <c r="EB27" s="91"/>
      <c r="EC27" s="91"/>
      <c r="ED27" s="91"/>
      <c r="EE27" s="91"/>
      <c r="EF27" s="91"/>
      <c r="EG27" s="91"/>
      <c r="EH27" s="92"/>
      <c r="EI27" s="237"/>
      <c r="EJ27" s="238"/>
      <c r="EK27" s="238"/>
      <c r="EL27" s="238"/>
      <c r="EM27" s="238"/>
      <c r="EN27" s="238"/>
      <c r="EO27" s="238"/>
      <c r="EP27" s="238"/>
      <c r="EQ27" s="238"/>
      <c r="ER27" s="273"/>
      <c r="ES27" s="316">
        <f t="shared" si="2"/>
        <v>0</v>
      </c>
      <c r="ET27" s="317">
        <f t="shared" si="3"/>
        <v>0</v>
      </c>
      <c r="EU27" s="317">
        <f t="shared" si="4"/>
        <v>0</v>
      </c>
      <c r="EV27" s="317">
        <f t="shared" si="5"/>
        <v>0</v>
      </c>
      <c r="EW27" s="317">
        <f t="shared" si="16"/>
        <v>0</v>
      </c>
      <c r="EX27" s="317">
        <f t="shared" si="17"/>
        <v>0</v>
      </c>
      <c r="EY27" s="317">
        <f t="shared" si="6"/>
        <v>0</v>
      </c>
      <c r="EZ27" s="317">
        <f t="shared" si="7"/>
        <v>0</v>
      </c>
      <c r="FA27" s="317">
        <f t="shared" si="8"/>
        <v>0</v>
      </c>
      <c r="FB27" s="317">
        <f t="shared" si="9"/>
        <v>0</v>
      </c>
      <c r="FC27" s="317">
        <f t="shared" si="10"/>
        <v>0</v>
      </c>
      <c r="FD27" s="317">
        <f t="shared" si="11"/>
        <v>0</v>
      </c>
      <c r="FE27" s="317">
        <f t="shared" si="12"/>
        <v>0</v>
      </c>
      <c r="FF27" s="317">
        <f t="shared" si="13"/>
        <v>0</v>
      </c>
      <c r="FG27" s="318">
        <f t="shared" si="18"/>
        <v>25</v>
      </c>
      <c r="FH27" s="319">
        <f t="shared" si="14"/>
        <v>0</v>
      </c>
      <c r="FI27" s="319">
        <f>SUM(I7:ER7)-SUM(ES27:FF27)</f>
        <v>128</v>
      </c>
      <c r="FJ27" s="319">
        <f t="shared" si="15"/>
        <v>128</v>
      </c>
      <c r="FK27" s="7"/>
    </row>
    <row r="28" spans="1:167" ht="15" customHeight="1">
      <c r="A28" s="2"/>
      <c r="B28" s="3">
        <f t="shared" si="0"/>
        <v>0</v>
      </c>
      <c r="C28" s="182">
        <f t="shared" si="1"/>
        <v>21</v>
      </c>
      <c r="D28" s="184"/>
      <c r="E28" s="203"/>
      <c r="F28" s="203"/>
      <c r="G28" s="571">
        <v>45915</v>
      </c>
      <c r="H28" s="572"/>
      <c r="I28" s="214"/>
      <c r="J28" s="207"/>
      <c r="K28" s="207"/>
      <c r="L28" s="207"/>
      <c r="M28" s="207"/>
      <c r="N28" s="207"/>
      <c r="O28" s="207"/>
      <c r="P28" s="207"/>
      <c r="Q28" s="207"/>
      <c r="R28" s="215"/>
      <c r="S28" s="226"/>
      <c r="T28" s="227"/>
      <c r="U28" s="227"/>
      <c r="V28" s="227"/>
      <c r="W28" s="227"/>
      <c r="X28" s="227"/>
      <c r="Y28" s="247"/>
      <c r="Z28" s="248"/>
      <c r="AA28" s="249"/>
      <c r="AB28" s="228"/>
      <c r="AC28" s="264"/>
      <c r="AD28" s="178"/>
      <c r="AE28" s="178"/>
      <c r="AF28" s="178"/>
      <c r="AG28" s="582"/>
      <c r="AH28" s="583"/>
      <c r="AI28" s="178"/>
      <c r="AJ28" s="178"/>
      <c r="AK28" s="178"/>
      <c r="AL28" s="265"/>
      <c r="AM28" s="237"/>
      <c r="AN28" s="271"/>
      <c r="AO28" s="238"/>
      <c r="AP28" s="238"/>
      <c r="AQ28" s="238"/>
      <c r="AR28" s="238"/>
      <c r="AS28" s="238"/>
      <c r="AT28" s="238"/>
      <c r="AU28" s="238"/>
      <c r="AV28" s="273"/>
      <c r="AW28" s="277"/>
      <c r="AX28" s="278"/>
      <c r="AY28" s="278"/>
      <c r="AZ28" s="129"/>
      <c r="BA28" s="278"/>
      <c r="BB28" s="278"/>
      <c r="BC28" s="278"/>
      <c r="BD28" s="129"/>
      <c r="BE28" s="278"/>
      <c r="BF28" s="281"/>
      <c r="BG28" s="214"/>
      <c r="BH28" s="207"/>
      <c r="BI28" s="207"/>
      <c r="BJ28" s="207"/>
      <c r="BK28" s="207"/>
      <c r="BL28" s="207"/>
      <c r="BM28" s="207"/>
      <c r="BN28" s="207"/>
      <c r="BO28" s="207"/>
      <c r="BP28" s="215"/>
      <c r="BQ28" s="226"/>
      <c r="BR28" s="227"/>
      <c r="BS28" s="227"/>
      <c r="BT28" s="227"/>
      <c r="BU28" s="227"/>
      <c r="BV28" s="227"/>
      <c r="BW28" s="227"/>
      <c r="BX28" s="227"/>
      <c r="BY28" s="227"/>
      <c r="BZ28" s="228"/>
      <c r="CA28" s="537"/>
      <c r="CB28" s="538"/>
      <c r="CC28" s="538"/>
      <c r="CD28" s="538"/>
      <c r="CE28" s="538"/>
      <c r="CF28" s="538"/>
      <c r="CG28" s="538"/>
      <c r="CH28" s="538"/>
      <c r="CI28" s="538"/>
      <c r="CJ28" s="538"/>
      <c r="CK28" s="237"/>
      <c r="CL28" s="238"/>
      <c r="CM28" s="238"/>
      <c r="CN28" s="238"/>
      <c r="CO28" s="238"/>
      <c r="CP28" s="238"/>
      <c r="CQ28" s="238"/>
      <c r="CR28" s="238"/>
      <c r="CS28" s="238"/>
      <c r="CT28" s="273"/>
      <c r="CU28" s="295"/>
      <c r="CV28" s="296"/>
      <c r="CW28" s="296"/>
      <c r="CX28" s="296"/>
      <c r="CY28" s="296"/>
      <c r="CZ28" s="296"/>
      <c r="DA28" s="296"/>
      <c r="DB28" s="296"/>
      <c r="DC28" s="297"/>
      <c r="DD28" s="298"/>
      <c r="DE28" s="214"/>
      <c r="DF28" s="207"/>
      <c r="DG28" s="207"/>
      <c r="DH28" s="207"/>
      <c r="DI28" s="207"/>
      <c r="DJ28" s="207"/>
      <c r="DK28" s="207"/>
      <c r="DL28" s="207"/>
      <c r="DM28" s="207"/>
      <c r="DN28" s="215"/>
      <c r="DO28" s="226"/>
      <c r="DP28" s="227"/>
      <c r="DQ28" s="227"/>
      <c r="DR28" s="227"/>
      <c r="DS28" s="227"/>
      <c r="DT28" s="227"/>
      <c r="DU28" s="227"/>
      <c r="DV28" s="227"/>
      <c r="DW28" s="227"/>
      <c r="DX28" s="228"/>
      <c r="DY28" s="90"/>
      <c r="DZ28" s="91"/>
      <c r="EA28" s="91"/>
      <c r="EB28" s="91"/>
      <c r="EC28" s="91"/>
      <c r="ED28" s="91"/>
      <c r="EE28" s="91"/>
      <c r="EF28" s="91"/>
      <c r="EG28" s="91"/>
      <c r="EH28" s="92"/>
      <c r="EI28" s="237"/>
      <c r="EJ28" s="238"/>
      <c r="EK28" s="238"/>
      <c r="EL28" s="238"/>
      <c r="EM28" s="238"/>
      <c r="EN28" s="238"/>
      <c r="EO28" s="238"/>
      <c r="EP28" s="238"/>
      <c r="EQ28" s="238"/>
      <c r="ER28" s="273"/>
      <c r="ES28" s="316">
        <f t="shared" si="2"/>
        <v>0</v>
      </c>
      <c r="ET28" s="317">
        <f t="shared" si="3"/>
        <v>0</v>
      </c>
      <c r="EU28" s="317">
        <f t="shared" si="4"/>
        <v>0</v>
      </c>
      <c r="EV28" s="317">
        <f t="shared" si="5"/>
        <v>0</v>
      </c>
      <c r="EW28" s="317">
        <f t="shared" si="16"/>
        <v>0</v>
      </c>
      <c r="EX28" s="317">
        <f t="shared" si="17"/>
        <v>0</v>
      </c>
      <c r="EY28" s="317">
        <f t="shared" si="6"/>
        <v>0</v>
      </c>
      <c r="EZ28" s="317">
        <f t="shared" si="7"/>
        <v>0</v>
      </c>
      <c r="FA28" s="317">
        <f t="shared" si="8"/>
        <v>0</v>
      </c>
      <c r="FB28" s="317">
        <f t="shared" si="9"/>
        <v>0</v>
      </c>
      <c r="FC28" s="317">
        <f t="shared" si="10"/>
        <v>0</v>
      </c>
      <c r="FD28" s="317">
        <f t="shared" si="11"/>
        <v>0</v>
      </c>
      <c r="FE28" s="317">
        <f t="shared" si="12"/>
        <v>0</v>
      </c>
      <c r="FF28" s="317">
        <f t="shared" si="13"/>
        <v>0</v>
      </c>
      <c r="FG28" s="318">
        <f t="shared" si="18"/>
        <v>26</v>
      </c>
      <c r="FH28" s="319">
        <f t="shared" si="14"/>
        <v>0</v>
      </c>
      <c r="FI28" s="319">
        <f>SUM(I7:ER7)-SUM(ES28:FF28)</f>
        <v>128</v>
      </c>
      <c r="FJ28" s="319">
        <f t="shared" si="15"/>
        <v>128</v>
      </c>
      <c r="FK28" s="7"/>
    </row>
    <row r="29" spans="1:167" ht="15.75" customHeight="1">
      <c r="A29" s="2"/>
      <c r="B29" s="3">
        <f t="shared" si="0"/>
        <v>0</v>
      </c>
      <c r="C29" s="182">
        <f t="shared" si="1"/>
        <v>22</v>
      </c>
      <c r="D29" s="184"/>
      <c r="E29" s="203"/>
      <c r="F29" s="203"/>
      <c r="G29" s="571">
        <v>45915</v>
      </c>
      <c r="H29" s="572"/>
      <c r="I29" s="214"/>
      <c r="J29" s="207"/>
      <c r="K29" s="207"/>
      <c r="L29" s="207"/>
      <c r="M29" s="207"/>
      <c r="N29" s="207"/>
      <c r="O29" s="207"/>
      <c r="P29" s="207"/>
      <c r="Q29" s="207"/>
      <c r="R29" s="215"/>
      <c r="S29" s="226"/>
      <c r="T29" s="227"/>
      <c r="U29" s="227"/>
      <c r="V29" s="227"/>
      <c r="W29" s="227"/>
      <c r="X29" s="227"/>
      <c r="Y29" s="247"/>
      <c r="Z29" s="248"/>
      <c r="AA29" s="249"/>
      <c r="AB29" s="228"/>
      <c r="AC29" s="264"/>
      <c r="AD29" s="178"/>
      <c r="AE29" s="178"/>
      <c r="AF29" s="178"/>
      <c r="AG29" s="582"/>
      <c r="AH29" s="583"/>
      <c r="AI29" s="178"/>
      <c r="AJ29" s="178"/>
      <c r="AK29" s="178"/>
      <c r="AL29" s="265"/>
      <c r="AM29" s="237"/>
      <c r="AN29" s="271"/>
      <c r="AO29" s="238"/>
      <c r="AP29" s="238"/>
      <c r="AQ29" s="238"/>
      <c r="AR29" s="238"/>
      <c r="AS29" s="238"/>
      <c r="AT29" s="238"/>
      <c r="AU29" s="238"/>
      <c r="AV29" s="273"/>
      <c r="AW29" s="277"/>
      <c r="AX29" s="278"/>
      <c r="AY29" s="278"/>
      <c r="AZ29" s="129"/>
      <c r="BA29" s="278"/>
      <c r="BB29" s="278"/>
      <c r="BC29" s="278"/>
      <c r="BD29" s="129"/>
      <c r="BE29" s="278"/>
      <c r="BF29" s="281"/>
      <c r="BG29" s="214"/>
      <c r="BH29" s="207"/>
      <c r="BI29" s="207"/>
      <c r="BJ29" s="207"/>
      <c r="BK29" s="207"/>
      <c r="BL29" s="207"/>
      <c r="BM29" s="207"/>
      <c r="BN29" s="207"/>
      <c r="BO29" s="207"/>
      <c r="BP29" s="215"/>
      <c r="BQ29" s="226"/>
      <c r="BR29" s="227"/>
      <c r="BS29" s="227"/>
      <c r="BT29" s="227"/>
      <c r="BU29" s="227"/>
      <c r="BV29" s="227"/>
      <c r="BW29" s="227"/>
      <c r="BX29" s="227"/>
      <c r="BY29" s="227"/>
      <c r="BZ29" s="228"/>
      <c r="CA29" s="537"/>
      <c r="CB29" s="538"/>
      <c r="CC29" s="538"/>
      <c r="CD29" s="538"/>
      <c r="CE29" s="538"/>
      <c r="CF29" s="538"/>
      <c r="CG29" s="538"/>
      <c r="CH29" s="538"/>
      <c r="CI29" s="538"/>
      <c r="CJ29" s="538"/>
      <c r="CK29" s="237"/>
      <c r="CL29" s="238"/>
      <c r="CM29" s="238"/>
      <c r="CN29" s="238"/>
      <c r="CO29" s="238"/>
      <c r="CP29" s="238"/>
      <c r="CQ29" s="238"/>
      <c r="CR29" s="238"/>
      <c r="CS29" s="238"/>
      <c r="CT29" s="273"/>
      <c r="CU29" s="295"/>
      <c r="CV29" s="296"/>
      <c r="CW29" s="296"/>
      <c r="CX29" s="296"/>
      <c r="CY29" s="296"/>
      <c r="CZ29" s="296"/>
      <c r="DA29" s="296"/>
      <c r="DB29" s="296"/>
      <c r="DC29" s="297"/>
      <c r="DD29" s="298"/>
      <c r="DE29" s="214"/>
      <c r="DF29" s="207"/>
      <c r="DG29" s="207"/>
      <c r="DH29" s="207"/>
      <c r="DI29" s="207"/>
      <c r="DJ29" s="207"/>
      <c r="DK29" s="207"/>
      <c r="DL29" s="207"/>
      <c r="DM29" s="207"/>
      <c r="DN29" s="215"/>
      <c r="DO29" s="226"/>
      <c r="DP29" s="227"/>
      <c r="DQ29" s="227"/>
      <c r="DR29" s="227"/>
      <c r="DS29" s="227"/>
      <c r="DT29" s="227"/>
      <c r="DU29" s="227"/>
      <c r="DV29" s="227"/>
      <c r="DW29" s="227"/>
      <c r="DX29" s="228"/>
      <c r="DY29" s="90"/>
      <c r="DZ29" s="91"/>
      <c r="EA29" s="91"/>
      <c r="EB29" s="91"/>
      <c r="EC29" s="91"/>
      <c r="ED29" s="91"/>
      <c r="EE29" s="91"/>
      <c r="EF29" s="91"/>
      <c r="EG29" s="91"/>
      <c r="EH29" s="92"/>
      <c r="EI29" s="237"/>
      <c r="EJ29" s="238"/>
      <c r="EK29" s="238"/>
      <c r="EL29" s="238"/>
      <c r="EM29" s="238"/>
      <c r="EN29" s="238"/>
      <c r="EO29" s="238"/>
      <c r="EP29" s="238"/>
      <c r="EQ29" s="238"/>
      <c r="ER29" s="273"/>
      <c r="ES29" s="316">
        <f t="shared" si="2"/>
        <v>0</v>
      </c>
      <c r="ET29" s="317">
        <f t="shared" si="3"/>
        <v>0</v>
      </c>
      <c r="EU29" s="317">
        <f t="shared" si="4"/>
        <v>0</v>
      </c>
      <c r="EV29" s="317">
        <f t="shared" si="5"/>
        <v>0</v>
      </c>
      <c r="EW29" s="317">
        <f t="shared" si="16"/>
        <v>0</v>
      </c>
      <c r="EX29" s="317">
        <f t="shared" si="17"/>
        <v>0</v>
      </c>
      <c r="EY29" s="317">
        <f t="shared" si="6"/>
        <v>0</v>
      </c>
      <c r="EZ29" s="317">
        <f t="shared" si="7"/>
        <v>0</v>
      </c>
      <c r="FA29" s="317">
        <f t="shared" si="8"/>
        <v>0</v>
      </c>
      <c r="FB29" s="317">
        <f t="shared" si="9"/>
        <v>0</v>
      </c>
      <c r="FC29" s="317">
        <f t="shared" si="10"/>
        <v>0</v>
      </c>
      <c r="FD29" s="317">
        <f t="shared" si="11"/>
        <v>0</v>
      </c>
      <c r="FE29" s="317">
        <f t="shared" si="12"/>
        <v>0</v>
      </c>
      <c r="FF29" s="317">
        <f t="shared" si="13"/>
        <v>0</v>
      </c>
      <c r="FG29" s="318">
        <f t="shared" si="18"/>
        <v>27</v>
      </c>
      <c r="FH29" s="319">
        <f t="shared" si="14"/>
        <v>0</v>
      </c>
      <c r="FI29" s="319">
        <f>SUM(I7:ER7)-SUM(ES29:FF29)</f>
        <v>128</v>
      </c>
      <c r="FJ29" s="319">
        <f t="shared" si="15"/>
        <v>128</v>
      </c>
      <c r="FK29" s="7"/>
    </row>
    <row r="30" spans="1:167" ht="15.75" customHeight="1">
      <c r="A30" s="2"/>
      <c r="B30" s="3">
        <f t="shared" si="0"/>
        <v>0</v>
      </c>
      <c r="C30" s="182">
        <f t="shared" si="1"/>
        <v>23</v>
      </c>
      <c r="D30" s="184"/>
      <c r="E30" s="203"/>
      <c r="F30" s="203"/>
      <c r="G30" s="571">
        <v>45915</v>
      </c>
      <c r="H30" s="572"/>
      <c r="I30" s="214"/>
      <c r="J30" s="207"/>
      <c r="K30" s="207"/>
      <c r="L30" s="207"/>
      <c r="M30" s="207"/>
      <c r="N30" s="207"/>
      <c r="O30" s="207"/>
      <c r="P30" s="207"/>
      <c r="Q30" s="207"/>
      <c r="R30" s="215"/>
      <c r="S30" s="226"/>
      <c r="T30" s="227"/>
      <c r="U30" s="227"/>
      <c r="V30" s="227"/>
      <c r="W30" s="227"/>
      <c r="X30" s="227"/>
      <c r="Y30" s="247"/>
      <c r="Z30" s="248"/>
      <c r="AA30" s="249"/>
      <c r="AB30" s="228"/>
      <c r="AC30" s="264"/>
      <c r="AD30" s="178"/>
      <c r="AE30" s="178"/>
      <c r="AF30" s="178"/>
      <c r="AG30" s="582"/>
      <c r="AH30" s="583"/>
      <c r="AI30" s="178"/>
      <c r="AJ30" s="178"/>
      <c r="AK30" s="178"/>
      <c r="AL30" s="265"/>
      <c r="AM30" s="237"/>
      <c r="AN30" s="271"/>
      <c r="AO30" s="238"/>
      <c r="AP30" s="238"/>
      <c r="AQ30" s="238"/>
      <c r="AR30" s="238"/>
      <c r="AS30" s="238"/>
      <c r="AT30" s="238"/>
      <c r="AU30" s="238"/>
      <c r="AV30" s="273"/>
      <c r="AW30" s="277"/>
      <c r="AX30" s="278"/>
      <c r="AY30" s="278"/>
      <c r="AZ30" s="129"/>
      <c r="BA30" s="278"/>
      <c r="BB30" s="278"/>
      <c r="BC30" s="278"/>
      <c r="BD30" s="129"/>
      <c r="BE30" s="278"/>
      <c r="BF30" s="281"/>
      <c r="BG30" s="214"/>
      <c r="BH30" s="207"/>
      <c r="BI30" s="207"/>
      <c r="BJ30" s="207"/>
      <c r="BK30" s="207"/>
      <c r="BL30" s="207"/>
      <c r="BM30" s="207"/>
      <c r="BN30" s="207"/>
      <c r="BO30" s="207"/>
      <c r="BP30" s="215"/>
      <c r="BQ30" s="226"/>
      <c r="BR30" s="227"/>
      <c r="BS30" s="227"/>
      <c r="BT30" s="227"/>
      <c r="BU30" s="227"/>
      <c r="BV30" s="227"/>
      <c r="BW30" s="227"/>
      <c r="BX30" s="227"/>
      <c r="BY30" s="227"/>
      <c r="BZ30" s="228"/>
      <c r="CA30" s="537"/>
      <c r="CB30" s="538"/>
      <c r="CC30" s="538"/>
      <c r="CD30" s="538"/>
      <c r="CE30" s="538"/>
      <c r="CF30" s="538"/>
      <c r="CG30" s="538"/>
      <c r="CH30" s="538"/>
      <c r="CI30" s="538"/>
      <c r="CJ30" s="538"/>
      <c r="CK30" s="237"/>
      <c r="CL30" s="238"/>
      <c r="CM30" s="238"/>
      <c r="CN30" s="238"/>
      <c r="CO30" s="238"/>
      <c r="CP30" s="238"/>
      <c r="CQ30" s="238"/>
      <c r="CR30" s="238"/>
      <c r="CS30" s="238"/>
      <c r="CT30" s="273"/>
      <c r="CU30" s="295"/>
      <c r="CV30" s="296"/>
      <c r="CW30" s="296"/>
      <c r="CX30" s="296"/>
      <c r="CY30" s="296"/>
      <c r="CZ30" s="296"/>
      <c r="DA30" s="296"/>
      <c r="DB30" s="296"/>
      <c r="DC30" s="297"/>
      <c r="DD30" s="298"/>
      <c r="DE30" s="214"/>
      <c r="DF30" s="207"/>
      <c r="DG30" s="207"/>
      <c r="DH30" s="207"/>
      <c r="DI30" s="207"/>
      <c r="DJ30" s="207"/>
      <c r="DK30" s="207"/>
      <c r="DL30" s="207"/>
      <c r="DM30" s="207"/>
      <c r="DN30" s="215"/>
      <c r="DO30" s="226"/>
      <c r="DP30" s="227"/>
      <c r="DQ30" s="227"/>
      <c r="DR30" s="227"/>
      <c r="DS30" s="227"/>
      <c r="DT30" s="227"/>
      <c r="DU30" s="227"/>
      <c r="DV30" s="227"/>
      <c r="DW30" s="227"/>
      <c r="DX30" s="228"/>
      <c r="DY30" s="90"/>
      <c r="DZ30" s="91"/>
      <c r="EA30" s="91"/>
      <c r="EB30" s="91"/>
      <c r="EC30" s="91"/>
      <c r="ED30" s="91"/>
      <c r="EE30" s="91"/>
      <c r="EF30" s="91"/>
      <c r="EG30" s="91"/>
      <c r="EH30" s="92"/>
      <c r="EI30" s="237"/>
      <c r="EJ30" s="238"/>
      <c r="EK30" s="238"/>
      <c r="EL30" s="238"/>
      <c r="EM30" s="238"/>
      <c r="EN30" s="238"/>
      <c r="EO30" s="238"/>
      <c r="EP30" s="238"/>
      <c r="EQ30" s="238"/>
      <c r="ER30" s="273"/>
      <c r="ES30" s="316">
        <f t="shared" si="2"/>
        <v>0</v>
      </c>
      <c r="ET30" s="317">
        <f t="shared" si="3"/>
        <v>0</v>
      </c>
      <c r="EU30" s="317">
        <f t="shared" si="4"/>
        <v>0</v>
      </c>
      <c r="EV30" s="317">
        <f t="shared" si="5"/>
        <v>0</v>
      </c>
      <c r="EW30" s="317">
        <f t="shared" si="16"/>
        <v>0</v>
      </c>
      <c r="EX30" s="317">
        <f t="shared" si="17"/>
        <v>0</v>
      </c>
      <c r="EY30" s="317">
        <f t="shared" si="6"/>
        <v>0</v>
      </c>
      <c r="EZ30" s="317">
        <f t="shared" si="7"/>
        <v>0</v>
      </c>
      <c r="FA30" s="317">
        <f t="shared" si="8"/>
        <v>0</v>
      </c>
      <c r="FB30" s="317">
        <f t="shared" si="9"/>
        <v>0</v>
      </c>
      <c r="FC30" s="317">
        <f t="shared" si="10"/>
        <v>0</v>
      </c>
      <c r="FD30" s="317">
        <f t="shared" si="11"/>
        <v>0</v>
      </c>
      <c r="FE30" s="317">
        <f t="shared" si="12"/>
        <v>0</v>
      </c>
      <c r="FF30" s="317">
        <f t="shared" si="13"/>
        <v>0</v>
      </c>
      <c r="FG30" s="318">
        <f t="shared" si="18"/>
        <v>28</v>
      </c>
      <c r="FH30" s="319">
        <f t="shared" si="14"/>
        <v>0</v>
      </c>
      <c r="FI30" s="319">
        <f>SUM(I7:ER7)-SUM(ES30:FF30)</f>
        <v>128</v>
      </c>
      <c r="FJ30" s="319">
        <f t="shared" si="15"/>
        <v>128</v>
      </c>
      <c r="FK30" s="7"/>
    </row>
    <row r="31" spans="1:167" ht="15.75" customHeight="1">
      <c r="A31" s="2"/>
      <c r="B31" s="3">
        <f t="shared" si="0"/>
        <v>0</v>
      </c>
      <c r="C31" s="182">
        <f t="shared" si="1"/>
        <v>24</v>
      </c>
      <c r="D31" s="184"/>
      <c r="E31" s="203"/>
      <c r="F31" s="203"/>
      <c r="G31" s="571">
        <v>45915</v>
      </c>
      <c r="H31" s="572"/>
      <c r="I31" s="214"/>
      <c r="J31" s="207"/>
      <c r="K31" s="207"/>
      <c r="L31" s="207"/>
      <c r="M31" s="207"/>
      <c r="N31" s="207"/>
      <c r="O31" s="207"/>
      <c r="P31" s="207"/>
      <c r="Q31" s="207"/>
      <c r="R31" s="215"/>
      <c r="S31" s="226"/>
      <c r="T31" s="227"/>
      <c r="U31" s="227"/>
      <c r="V31" s="227"/>
      <c r="W31" s="227"/>
      <c r="X31" s="227"/>
      <c r="Y31" s="247"/>
      <c r="Z31" s="248"/>
      <c r="AA31" s="249"/>
      <c r="AB31" s="228"/>
      <c r="AC31" s="264"/>
      <c r="AD31" s="178"/>
      <c r="AE31" s="178"/>
      <c r="AF31" s="178"/>
      <c r="AG31" s="582"/>
      <c r="AH31" s="583"/>
      <c r="AI31" s="178"/>
      <c r="AJ31" s="178"/>
      <c r="AK31" s="178"/>
      <c r="AL31" s="265"/>
      <c r="AM31" s="237"/>
      <c r="AN31" s="271"/>
      <c r="AO31" s="238"/>
      <c r="AP31" s="238"/>
      <c r="AQ31" s="238"/>
      <c r="AR31" s="238"/>
      <c r="AS31" s="238"/>
      <c r="AT31" s="238"/>
      <c r="AU31" s="238"/>
      <c r="AV31" s="273"/>
      <c r="AW31" s="277"/>
      <c r="AX31" s="278"/>
      <c r="AY31" s="278"/>
      <c r="AZ31" s="129"/>
      <c r="BA31" s="278"/>
      <c r="BB31" s="278"/>
      <c r="BC31" s="278"/>
      <c r="BD31" s="129"/>
      <c r="BE31" s="278"/>
      <c r="BF31" s="281"/>
      <c r="BG31" s="214"/>
      <c r="BH31" s="207"/>
      <c r="BI31" s="207"/>
      <c r="BJ31" s="207"/>
      <c r="BK31" s="207"/>
      <c r="BL31" s="207"/>
      <c r="BM31" s="207"/>
      <c r="BN31" s="207"/>
      <c r="BO31" s="207"/>
      <c r="BP31" s="215"/>
      <c r="BQ31" s="226"/>
      <c r="BR31" s="227"/>
      <c r="BS31" s="227"/>
      <c r="BT31" s="227"/>
      <c r="BU31" s="227"/>
      <c r="BV31" s="227"/>
      <c r="BW31" s="227"/>
      <c r="BX31" s="227"/>
      <c r="BY31" s="227"/>
      <c r="BZ31" s="228"/>
      <c r="CA31" s="537"/>
      <c r="CB31" s="538"/>
      <c r="CC31" s="538"/>
      <c r="CD31" s="538"/>
      <c r="CE31" s="538"/>
      <c r="CF31" s="538"/>
      <c r="CG31" s="538"/>
      <c r="CH31" s="538"/>
      <c r="CI31" s="538"/>
      <c r="CJ31" s="538"/>
      <c r="CK31" s="237"/>
      <c r="CL31" s="238"/>
      <c r="CM31" s="238"/>
      <c r="CN31" s="238"/>
      <c r="CO31" s="238"/>
      <c r="CP31" s="238"/>
      <c r="CQ31" s="238"/>
      <c r="CR31" s="238"/>
      <c r="CS31" s="238"/>
      <c r="CT31" s="273"/>
      <c r="CU31" s="295"/>
      <c r="CV31" s="296"/>
      <c r="CW31" s="296"/>
      <c r="CX31" s="296"/>
      <c r="CY31" s="296"/>
      <c r="CZ31" s="296"/>
      <c r="DA31" s="296"/>
      <c r="DB31" s="296"/>
      <c r="DC31" s="297"/>
      <c r="DD31" s="298"/>
      <c r="DE31" s="214"/>
      <c r="DF31" s="207"/>
      <c r="DG31" s="207"/>
      <c r="DH31" s="207"/>
      <c r="DI31" s="207"/>
      <c r="DJ31" s="207"/>
      <c r="DK31" s="207"/>
      <c r="DL31" s="207"/>
      <c r="DM31" s="207"/>
      <c r="DN31" s="215"/>
      <c r="DO31" s="226"/>
      <c r="DP31" s="227"/>
      <c r="DQ31" s="227"/>
      <c r="DR31" s="227"/>
      <c r="DS31" s="227"/>
      <c r="DT31" s="227"/>
      <c r="DU31" s="227"/>
      <c r="DV31" s="227"/>
      <c r="DW31" s="227"/>
      <c r="DX31" s="228"/>
      <c r="DY31" s="90"/>
      <c r="DZ31" s="91"/>
      <c r="EA31" s="91"/>
      <c r="EB31" s="91"/>
      <c r="EC31" s="91"/>
      <c r="ED31" s="91"/>
      <c r="EE31" s="91"/>
      <c r="EF31" s="91"/>
      <c r="EG31" s="91"/>
      <c r="EH31" s="92"/>
      <c r="EI31" s="237"/>
      <c r="EJ31" s="238"/>
      <c r="EK31" s="238"/>
      <c r="EL31" s="238"/>
      <c r="EM31" s="238"/>
      <c r="EN31" s="238"/>
      <c r="EO31" s="238"/>
      <c r="EP31" s="238"/>
      <c r="EQ31" s="238"/>
      <c r="ER31" s="273"/>
      <c r="ES31" s="316">
        <f t="shared" si="2"/>
        <v>0</v>
      </c>
      <c r="ET31" s="317">
        <f t="shared" ref="ET31:FD31" si="19">SUM(J31:S31)</f>
        <v>0</v>
      </c>
      <c r="EU31" s="317">
        <f t="shared" si="19"/>
        <v>0</v>
      </c>
      <c r="EV31" s="317">
        <f t="shared" si="19"/>
        <v>0</v>
      </c>
      <c r="EW31" s="317">
        <f t="shared" si="16"/>
        <v>0</v>
      </c>
      <c r="EX31" s="317">
        <f t="shared" si="19"/>
        <v>0</v>
      </c>
      <c r="EY31" s="317">
        <f t="shared" si="19"/>
        <v>0</v>
      </c>
      <c r="EZ31" s="317">
        <f t="shared" si="19"/>
        <v>0</v>
      </c>
      <c r="FA31" s="317">
        <f t="shared" si="19"/>
        <v>0</v>
      </c>
      <c r="FB31" s="317">
        <f t="shared" si="19"/>
        <v>0</v>
      </c>
      <c r="FC31" s="317">
        <f t="shared" si="19"/>
        <v>0</v>
      </c>
      <c r="FD31" s="317">
        <f t="shared" si="19"/>
        <v>0</v>
      </c>
      <c r="FE31" s="317">
        <f t="shared" si="12"/>
        <v>0</v>
      </c>
      <c r="FF31" s="317">
        <f t="shared" si="13"/>
        <v>0</v>
      </c>
      <c r="FG31" s="318">
        <f t="shared" si="18"/>
        <v>29</v>
      </c>
      <c r="FH31" s="319">
        <f t="shared" si="14"/>
        <v>0</v>
      </c>
      <c r="FI31" s="319">
        <f>SUM(I7:ER7)-SUM(ES31:FF31)</f>
        <v>128</v>
      </c>
      <c r="FJ31" s="319">
        <f t="shared" si="15"/>
        <v>128</v>
      </c>
      <c r="FK31" s="7"/>
    </row>
    <row r="32" spans="1:167" ht="15.75" customHeight="1">
      <c r="A32" s="2"/>
      <c r="B32" s="3">
        <f t="shared" si="0"/>
        <v>0</v>
      </c>
      <c r="C32" s="182">
        <f t="shared" si="1"/>
        <v>25</v>
      </c>
      <c r="D32" s="184"/>
      <c r="E32" s="203"/>
      <c r="F32" s="203"/>
      <c r="G32" s="571">
        <v>45915</v>
      </c>
      <c r="H32" s="572"/>
      <c r="I32" s="214"/>
      <c r="J32" s="207"/>
      <c r="K32" s="207"/>
      <c r="L32" s="207"/>
      <c r="M32" s="207"/>
      <c r="N32" s="207"/>
      <c r="O32" s="207"/>
      <c r="P32" s="207"/>
      <c r="Q32" s="207"/>
      <c r="R32" s="215"/>
      <c r="S32" s="226"/>
      <c r="T32" s="227"/>
      <c r="U32" s="227"/>
      <c r="V32" s="227"/>
      <c r="W32" s="227"/>
      <c r="X32" s="227"/>
      <c r="Y32" s="247"/>
      <c r="Z32" s="248"/>
      <c r="AA32" s="249"/>
      <c r="AB32" s="228"/>
      <c r="AC32" s="264"/>
      <c r="AD32" s="178"/>
      <c r="AE32" s="178"/>
      <c r="AF32" s="178"/>
      <c r="AG32" s="582"/>
      <c r="AH32" s="583"/>
      <c r="AI32" s="178"/>
      <c r="AJ32" s="178"/>
      <c r="AK32" s="178"/>
      <c r="AL32" s="265"/>
      <c r="AM32" s="237"/>
      <c r="AN32" s="271"/>
      <c r="AO32" s="238"/>
      <c r="AP32" s="238"/>
      <c r="AQ32" s="238"/>
      <c r="AR32" s="238"/>
      <c r="AS32" s="238"/>
      <c r="AT32" s="238"/>
      <c r="AU32" s="238"/>
      <c r="AV32" s="273"/>
      <c r="AW32" s="277"/>
      <c r="AX32" s="278"/>
      <c r="AY32" s="278"/>
      <c r="AZ32" s="129"/>
      <c r="BA32" s="278"/>
      <c r="BB32" s="278"/>
      <c r="BC32" s="278"/>
      <c r="BD32" s="129"/>
      <c r="BE32" s="278"/>
      <c r="BF32" s="281"/>
      <c r="BG32" s="214"/>
      <c r="BH32" s="207"/>
      <c r="BI32" s="207"/>
      <c r="BJ32" s="207"/>
      <c r="BK32" s="207"/>
      <c r="BL32" s="207"/>
      <c r="BM32" s="207"/>
      <c r="BN32" s="207"/>
      <c r="BO32" s="207"/>
      <c r="BP32" s="215"/>
      <c r="BQ32" s="226"/>
      <c r="BR32" s="227"/>
      <c r="BS32" s="227"/>
      <c r="BT32" s="227"/>
      <c r="BU32" s="227"/>
      <c r="BV32" s="227"/>
      <c r="BW32" s="227"/>
      <c r="BX32" s="227"/>
      <c r="BY32" s="227"/>
      <c r="BZ32" s="228"/>
      <c r="CA32" s="537"/>
      <c r="CB32" s="538"/>
      <c r="CC32" s="538"/>
      <c r="CD32" s="538"/>
      <c r="CE32" s="538"/>
      <c r="CF32" s="538"/>
      <c r="CG32" s="538"/>
      <c r="CH32" s="538"/>
      <c r="CI32" s="538"/>
      <c r="CJ32" s="538"/>
      <c r="CK32" s="237"/>
      <c r="CL32" s="238"/>
      <c r="CM32" s="238"/>
      <c r="CN32" s="238"/>
      <c r="CO32" s="238"/>
      <c r="CP32" s="238"/>
      <c r="CQ32" s="238"/>
      <c r="CR32" s="238"/>
      <c r="CS32" s="238"/>
      <c r="CT32" s="273"/>
      <c r="CU32" s="295"/>
      <c r="CV32" s="296"/>
      <c r="CW32" s="296"/>
      <c r="CX32" s="296"/>
      <c r="CY32" s="296"/>
      <c r="CZ32" s="296"/>
      <c r="DA32" s="296"/>
      <c r="DB32" s="296"/>
      <c r="DC32" s="297"/>
      <c r="DD32" s="298"/>
      <c r="DE32" s="214"/>
      <c r="DF32" s="207"/>
      <c r="DG32" s="207"/>
      <c r="DH32" s="207"/>
      <c r="DI32" s="207"/>
      <c r="DJ32" s="207"/>
      <c r="DK32" s="207"/>
      <c r="DL32" s="207"/>
      <c r="DM32" s="207"/>
      <c r="DN32" s="215"/>
      <c r="DO32" s="226"/>
      <c r="DP32" s="227"/>
      <c r="DQ32" s="227"/>
      <c r="DR32" s="227"/>
      <c r="DS32" s="227"/>
      <c r="DT32" s="227"/>
      <c r="DU32" s="227"/>
      <c r="DV32" s="227"/>
      <c r="DW32" s="227"/>
      <c r="DX32" s="228"/>
      <c r="DY32" s="90"/>
      <c r="DZ32" s="91"/>
      <c r="EA32" s="91"/>
      <c r="EB32" s="91"/>
      <c r="EC32" s="91"/>
      <c r="ED32" s="91"/>
      <c r="EE32" s="91"/>
      <c r="EF32" s="91"/>
      <c r="EG32" s="91"/>
      <c r="EH32" s="92"/>
      <c r="EI32" s="237"/>
      <c r="EJ32" s="238"/>
      <c r="EK32" s="238"/>
      <c r="EL32" s="238"/>
      <c r="EM32" s="238"/>
      <c r="EN32" s="238"/>
      <c r="EO32" s="238"/>
      <c r="EP32" s="238"/>
      <c r="EQ32" s="238"/>
      <c r="ER32" s="273"/>
      <c r="ES32" s="316">
        <f t="shared" si="2"/>
        <v>0</v>
      </c>
      <c r="ET32" s="317">
        <f t="shared" ref="ET32:FD32" si="20">SUM(J32:S32)</f>
        <v>0</v>
      </c>
      <c r="EU32" s="317">
        <f t="shared" si="20"/>
        <v>0</v>
      </c>
      <c r="EV32" s="317">
        <f t="shared" si="20"/>
        <v>0</v>
      </c>
      <c r="EW32" s="317">
        <f t="shared" si="16"/>
        <v>0</v>
      </c>
      <c r="EX32" s="317">
        <f t="shared" si="20"/>
        <v>0</v>
      </c>
      <c r="EY32" s="317">
        <f t="shared" si="20"/>
        <v>0</v>
      </c>
      <c r="EZ32" s="317">
        <f t="shared" si="20"/>
        <v>0</v>
      </c>
      <c r="FA32" s="317">
        <f t="shared" si="20"/>
        <v>0</v>
      </c>
      <c r="FB32" s="317">
        <f t="shared" si="20"/>
        <v>0</v>
      </c>
      <c r="FC32" s="317">
        <f t="shared" si="20"/>
        <v>0</v>
      </c>
      <c r="FD32" s="317">
        <f t="shared" si="20"/>
        <v>0</v>
      </c>
      <c r="FE32" s="317">
        <f t="shared" si="12"/>
        <v>0</v>
      </c>
      <c r="FF32" s="317">
        <f t="shared" si="13"/>
        <v>0</v>
      </c>
      <c r="FG32" s="318">
        <f t="shared" si="18"/>
        <v>30</v>
      </c>
      <c r="FH32" s="319">
        <f t="shared" si="14"/>
        <v>0</v>
      </c>
      <c r="FI32" s="319">
        <f>SUM(I7:ER7)-SUM(ES32:FF32)</f>
        <v>128</v>
      </c>
      <c r="FJ32" s="319">
        <f t="shared" si="15"/>
        <v>128</v>
      </c>
      <c r="FK32" s="7"/>
    </row>
    <row r="33" spans="1:167" ht="15.75" customHeight="1">
      <c r="A33" s="2"/>
      <c r="B33" s="3">
        <f t="shared" si="0"/>
        <v>0</v>
      </c>
      <c r="C33" s="182">
        <f t="shared" si="1"/>
        <v>26</v>
      </c>
      <c r="D33" s="184"/>
      <c r="E33" s="203"/>
      <c r="F33" s="203"/>
      <c r="G33" s="571">
        <v>45915</v>
      </c>
      <c r="H33" s="572"/>
      <c r="I33" s="214"/>
      <c r="J33" s="207"/>
      <c r="K33" s="207"/>
      <c r="L33" s="207"/>
      <c r="M33" s="207"/>
      <c r="N33" s="207"/>
      <c r="O33" s="207"/>
      <c r="P33" s="207"/>
      <c r="Q33" s="207"/>
      <c r="R33" s="215"/>
      <c r="S33" s="226"/>
      <c r="T33" s="227"/>
      <c r="U33" s="227"/>
      <c r="V33" s="227"/>
      <c r="W33" s="227"/>
      <c r="X33" s="227"/>
      <c r="Y33" s="247"/>
      <c r="Z33" s="248"/>
      <c r="AA33" s="249"/>
      <c r="AB33" s="228"/>
      <c r="AC33" s="264"/>
      <c r="AD33" s="178"/>
      <c r="AE33" s="178"/>
      <c r="AF33" s="178"/>
      <c r="AG33" s="582"/>
      <c r="AH33" s="583"/>
      <c r="AI33" s="178"/>
      <c r="AJ33" s="178"/>
      <c r="AK33" s="178"/>
      <c r="AL33" s="265"/>
      <c r="AM33" s="237"/>
      <c r="AN33" s="271"/>
      <c r="AO33" s="238"/>
      <c r="AP33" s="238"/>
      <c r="AQ33" s="238"/>
      <c r="AR33" s="238"/>
      <c r="AS33" s="238"/>
      <c r="AT33" s="238"/>
      <c r="AU33" s="238"/>
      <c r="AV33" s="273"/>
      <c r="AW33" s="277"/>
      <c r="AX33" s="278"/>
      <c r="AY33" s="278"/>
      <c r="AZ33" s="129"/>
      <c r="BA33" s="278"/>
      <c r="BB33" s="278"/>
      <c r="BC33" s="278"/>
      <c r="BD33" s="129"/>
      <c r="BE33" s="278"/>
      <c r="BF33" s="281"/>
      <c r="BG33" s="214"/>
      <c r="BH33" s="207"/>
      <c r="BI33" s="207"/>
      <c r="BJ33" s="207"/>
      <c r="BK33" s="207"/>
      <c r="BL33" s="207"/>
      <c r="BM33" s="207"/>
      <c r="BN33" s="207"/>
      <c r="BO33" s="207"/>
      <c r="BP33" s="215"/>
      <c r="BQ33" s="226"/>
      <c r="BR33" s="227"/>
      <c r="BS33" s="227"/>
      <c r="BT33" s="227"/>
      <c r="BU33" s="227"/>
      <c r="BV33" s="227"/>
      <c r="BW33" s="227"/>
      <c r="BX33" s="227"/>
      <c r="BY33" s="227"/>
      <c r="BZ33" s="228"/>
      <c r="CA33" s="537"/>
      <c r="CB33" s="538"/>
      <c r="CC33" s="538"/>
      <c r="CD33" s="538"/>
      <c r="CE33" s="538"/>
      <c r="CF33" s="538"/>
      <c r="CG33" s="538"/>
      <c r="CH33" s="538"/>
      <c r="CI33" s="538"/>
      <c r="CJ33" s="538"/>
      <c r="CK33" s="237"/>
      <c r="CL33" s="238"/>
      <c r="CM33" s="238"/>
      <c r="CN33" s="238"/>
      <c r="CO33" s="238"/>
      <c r="CP33" s="238"/>
      <c r="CQ33" s="238"/>
      <c r="CR33" s="238"/>
      <c r="CS33" s="238"/>
      <c r="CT33" s="273"/>
      <c r="CU33" s="295"/>
      <c r="CV33" s="296"/>
      <c r="CW33" s="296"/>
      <c r="CX33" s="296"/>
      <c r="CY33" s="296"/>
      <c r="CZ33" s="296"/>
      <c r="DA33" s="296"/>
      <c r="DB33" s="296"/>
      <c r="DC33" s="297"/>
      <c r="DD33" s="298"/>
      <c r="DE33" s="214"/>
      <c r="DF33" s="207"/>
      <c r="DG33" s="207"/>
      <c r="DH33" s="207"/>
      <c r="DI33" s="207"/>
      <c r="DJ33" s="207"/>
      <c r="DK33" s="207"/>
      <c r="DL33" s="207"/>
      <c r="DM33" s="207"/>
      <c r="DN33" s="215"/>
      <c r="DO33" s="226"/>
      <c r="DP33" s="227"/>
      <c r="DQ33" s="227"/>
      <c r="DR33" s="227"/>
      <c r="DS33" s="227"/>
      <c r="DT33" s="227"/>
      <c r="DU33" s="227"/>
      <c r="DV33" s="227"/>
      <c r="DW33" s="227"/>
      <c r="DX33" s="228"/>
      <c r="DY33" s="90"/>
      <c r="DZ33" s="91"/>
      <c r="EA33" s="91"/>
      <c r="EB33" s="91"/>
      <c r="EC33" s="91"/>
      <c r="ED33" s="91"/>
      <c r="EE33" s="91"/>
      <c r="EF33" s="91"/>
      <c r="EG33" s="91"/>
      <c r="EH33" s="92"/>
      <c r="EI33" s="237"/>
      <c r="EJ33" s="238"/>
      <c r="EK33" s="238"/>
      <c r="EL33" s="238"/>
      <c r="EM33" s="238"/>
      <c r="EN33" s="238"/>
      <c r="EO33" s="238"/>
      <c r="EP33" s="238"/>
      <c r="EQ33" s="238"/>
      <c r="ER33" s="273"/>
      <c r="ES33" s="316">
        <f t="shared" si="2"/>
        <v>0</v>
      </c>
      <c r="ET33" s="317">
        <f t="shared" ref="ET33:FD33" si="21">SUM(J33:S33)</f>
        <v>0</v>
      </c>
      <c r="EU33" s="317">
        <f t="shared" si="21"/>
        <v>0</v>
      </c>
      <c r="EV33" s="317">
        <f t="shared" si="21"/>
        <v>0</v>
      </c>
      <c r="EW33" s="317">
        <f t="shared" si="16"/>
        <v>0</v>
      </c>
      <c r="EX33" s="317">
        <f t="shared" si="21"/>
        <v>0</v>
      </c>
      <c r="EY33" s="317">
        <f t="shared" si="21"/>
        <v>0</v>
      </c>
      <c r="EZ33" s="317">
        <f t="shared" si="21"/>
        <v>0</v>
      </c>
      <c r="FA33" s="317">
        <f t="shared" si="21"/>
        <v>0</v>
      </c>
      <c r="FB33" s="317">
        <f t="shared" si="21"/>
        <v>0</v>
      </c>
      <c r="FC33" s="317">
        <f t="shared" si="21"/>
        <v>0</v>
      </c>
      <c r="FD33" s="317">
        <f t="shared" si="21"/>
        <v>0</v>
      </c>
      <c r="FE33" s="317">
        <f t="shared" si="12"/>
        <v>0</v>
      </c>
      <c r="FF33" s="317">
        <f t="shared" si="13"/>
        <v>0</v>
      </c>
      <c r="FG33" s="318">
        <f t="shared" si="18"/>
        <v>31</v>
      </c>
      <c r="FH33" s="319">
        <f t="shared" si="14"/>
        <v>0</v>
      </c>
      <c r="FI33" s="319">
        <f>SUM(I7:ER7)-SUM(ES33:FF33)</f>
        <v>128</v>
      </c>
      <c r="FJ33" s="319">
        <f t="shared" si="15"/>
        <v>128</v>
      </c>
      <c r="FK33" s="7"/>
    </row>
    <row r="34" spans="1:167" ht="15.75" customHeight="1">
      <c r="A34" s="2"/>
      <c r="B34" s="3">
        <f t="shared" si="0"/>
        <v>0</v>
      </c>
      <c r="C34" s="182">
        <f t="shared" si="1"/>
        <v>27</v>
      </c>
      <c r="D34" s="184"/>
      <c r="E34" s="203"/>
      <c r="F34" s="203"/>
      <c r="G34" s="571">
        <v>45915</v>
      </c>
      <c r="H34" s="572"/>
      <c r="I34" s="214"/>
      <c r="J34" s="207"/>
      <c r="K34" s="207"/>
      <c r="L34" s="207"/>
      <c r="M34" s="207"/>
      <c r="N34" s="207"/>
      <c r="O34" s="207"/>
      <c r="P34" s="207"/>
      <c r="Q34" s="207"/>
      <c r="R34" s="215"/>
      <c r="S34" s="226"/>
      <c r="T34" s="227"/>
      <c r="U34" s="227"/>
      <c r="V34" s="227"/>
      <c r="W34" s="227"/>
      <c r="X34" s="227"/>
      <c r="Y34" s="247"/>
      <c r="Z34" s="248"/>
      <c r="AA34" s="249"/>
      <c r="AB34" s="228"/>
      <c r="AC34" s="264"/>
      <c r="AD34" s="178"/>
      <c r="AE34" s="178"/>
      <c r="AF34" s="178"/>
      <c r="AG34" s="582"/>
      <c r="AH34" s="583"/>
      <c r="AI34" s="178"/>
      <c r="AJ34" s="178"/>
      <c r="AK34" s="178"/>
      <c r="AL34" s="265"/>
      <c r="AM34" s="237"/>
      <c r="AN34" s="271"/>
      <c r="AO34" s="238"/>
      <c r="AP34" s="238"/>
      <c r="AQ34" s="238"/>
      <c r="AR34" s="238"/>
      <c r="AS34" s="238"/>
      <c r="AT34" s="238"/>
      <c r="AU34" s="238"/>
      <c r="AV34" s="273"/>
      <c r="AW34" s="277"/>
      <c r="AX34" s="278"/>
      <c r="AY34" s="278"/>
      <c r="AZ34" s="129"/>
      <c r="BA34" s="278"/>
      <c r="BB34" s="278"/>
      <c r="BC34" s="278"/>
      <c r="BD34" s="129"/>
      <c r="BE34" s="278"/>
      <c r="BF34" s="281"/>
      <c r="BG34" s="214"/>
      <c r="BH34" s="207"/>
      <c r="BI34" s="207"/>
      <c r="BJ34" s="207"/>
      <c r="BK34" s="207"/>
      <c r="BL34" s="207"/>
      <c r="BM34" s="207"/>
      <c r="BN34" s="207"/>
      <c r="BO34" s="207"/>
      <c r="BP34" s="215"/>
      <c r="BQ34" s="226"/>
      <c r="BR34" s="227"/>
      <c r="BS34" s="227"/>
      <c r="BT34" s="227"/>
      <c r="BU34" s="227"/>
      <c r="BV34" s="227"/>
      <c r="BW34" s="227"/>
      <c r="BX34" s="227"/>
      <c r="BY34" s="227"/>
      <c r="BZ34" s="228"/>
      <c r="CA34" s="537"/>
      <c r="CB34" s="538"/>
      <c r="CC34" s="538"/>
      <c r="CD34" s="538"/>
      <c r="CE34" s="538"/>
      <c r="CF34" s="538"/>
      <c r="CG34" s="538"/>
      <c r="CH34" s="538"/>
      <c r="CI34" s="538"/>
      <c r="CJ34" s="538"/>
      <c r="CK34" s="237"/>
      <c r="CL34" s="238"/>
      <c r="CM34" s="238"/>
      <c r="CN34" s="238"/>
      <c r="CO34" s="238"/>
      <c r="CP34" s="238"/>
      <c r="CQ34" s="238"/>
      <c r="CR34" s="238"/>
      <c r="CS34" s="238"/>
      <c r="CT34" s="273"/>
      <c r="CU34" s="295"/>
      <c r="CV34" s="296"/>
      <c r="CW34" s="296"/>
      <c r="CX34" s="296"/>
      <c r="CY34" s="296"/>
      <c r="CZ34" s="296"/>
      <c r="DA34" s="296"/>
      <c r="DB34" s="296"/>
      <c r="DC34" s="297"/>
      <c r="DD34" s="298"/>
      <c r="DE34" s="214"/>
      <c r="DF34" s="207"/>
      <c r="DG34" s="207"/>
      <c r="DH34" s="207"/>
      <c r="DI34" s="207"/>
      <c r="DJ34" s="207"/>
      <c r="DK34" s="207"/>
      <c r="DL34" s="207"/>
      <c r="DM34" s="207"/>
      <c r="DN34" s="215"/>
      <c r="DO34" s="226"/>
      <c r="DP34" s="227"/>
      <c r="DQ34" s="227"/>
      <c r="DR34" s="227"/>
      <c r="DS34" s="227"/>
      <c r="DT34" s="227"/>
      <c r="DU34" s="227"/>
      <c r="DV34" s="227"/>
      <c r="DW34" s="227"/>
      <c r="DX34" s="228"/>
      <c r="DY34" s="90"/>
      <c r="DZ34" s="91"/>
      <c r="EA34" s="91"/>
      <c r="EB34" s="91"/>
      <c r="EC34" s="91"/>
      <c r="ED34" s="91"/>
      <c r="EE34" s="91"/>
      <c r="EF34" s="91"/>
      <c r="EG34" s="91"/>
      <c r="EH34" s="92"/>
      <c r="EI34" s="237"/>
      <c r="EJ34" s="238"/>
      <c r="EK34" s="238"/>
      <c r="EL34" s="238"/>
      <c r="EM34" s="238"/>
      <c r="EN34" s="238"/>
      <c r="EO34" s="238"/>
      <c r="EP34" s="238"/>
      <c r="EQ34" s="238"/>
      <c r="ER34" s="273"/>
      <c r="ES34" s="316">
        <f t="shared" si="2"/>
        <v>0</v>
      </c>
      <c r="ET34" s="317">
        <f t="shared" ref="ET34:FD34" si="22">SUM(J34:S34)</f>
        <v>0</v>
      </c>
      <c r="EU34" s="317">
        <f t="shared" si="22"/>
        <v>0</v>
      </c>
      <c r="EV34" s="317">
        <f t="shared" si="22"/>
        <v>0</v>
      </c>
      <c r="EW34" s="317">
        <f t="shared" si="16"/>
        <v>0</v>
      </c>
      <c r="EX34" s="317">
        <f t="shared" si="22"/>
        <v>0</v>
      </c>
      <c r="EY34" s="317">
        <f t="shared" si="22"/>
        <v>0</v>
      </c>
      <c r="EZ34" s="317">
        <f t="shared" si="22"/>
        <v>0</v>
      </c>
      <c r="FA34" s="317">
        <f t="shared" si="22"/>
        <v>0</v>
      </c>
      <c r="FB34" s="317">
        <f t="shared" si="22"/>
        <v>0</v>
      </c>
      <c r="FC34" s="317">
        <f t="shared" si="22"/>
        <v>0</v>
      </c>
      <c r="FD34" s="317">
        <f t="shared" si="22"/>
        <v>0</v>
      </c>
      <c r="FE34" s="317">
        <f t="shared" si="12"/>
        <v>0</v>
      </c>
      <c r="FF34" s="317">
        <f t="shared" si="13"/>
        <v>0</v>
      </c>
      <c r="FG34" s="318">
        <f t="shared" si="18"/>
        <v>32</v>
      </c>
      <c r="FH34" s="319">
        <f t="shared" si="14"/>
        <v>0</v>
      </c>
      <c r="FI34" s="319">
        <f>SUM(I7:ER7)-SUM(ES34:FF34)</f>
        <v>128</v>
      </c>
      <c r="FJ34" s="319">
        <f t="shared" si="15"/>
        <v>128</v>
      </c>
      <c r="FK34" s="7"/>
    </row>
    <row r="35" spans="1:167" ht="15.75" customHeight="1">
      <c r="A35" s="2"/>
      <c r="B35" s="3">
        <f t="shared" si="0"/>
        <v>0</v>
      </c>
      <c r="C35" s="182">
        <f t="shared" si="1"/>
        <v>28</v>
      </c>
      <c r="D35" s="184"/>
      <c r="E35" s="203"/>
      <c r="F35" s="203"/>
      <c r="G35" s="571">
        <v>45915</v>
      </c>
      <c r="H35" s="572"/>
      <c r="I35" s="214"/>
      <c r="J35" s="207"/>
      <c r="K35" s="207"/>
      <c r="L35" s="207"/>
      <c r="M35" s="207"/>
      <c r="N35" s="207"/>
      <c r="O35" s="207"/>
      <c r="P35" s="207"/>
      <c r="Q35" s="207"/>
      <c r="R35" s="215"/>
      <c r="S35" s="226"/>
      <c r="T35" s="227"/>
      <c r="U35" s="227"/>
      <c r="V35" s="227"/>
      <c r="W35" s="227"/>
      <c r="X35" s="227"/>
      <c r="Y35" s="247"/>
      <c r="Z35" s="248"/>
      <c r="AA35" s="249"/>
      <c r="AB35" s="228"/>
      <c r="AC35" s="264"/>
      <c r="AD35" s="178"/>
      <c r="AE35" s="178"/>
      <c r="AF35" s="178"/>
      <c r="AG35" s="582"/>
      <c r="AH35" s="583"/>
      <c r="AI35" s="178"/>
      <c r="AJ35" s="178"/>
      <c r="AK35" s="178"/>
      <c r="AL35" s="265"/>
      <c r="AM35" s="237"/>
      <c r="AN35" s="271"/>
      <c r="AO35" s="238"/>
      <c r="AP35" s="238"/>
      <c r="AQ35" s="238"/>
      <c r="AR35" s="238"/>
      <c r="AS35" s="238"/>
      <c r="AT35" s="238"/>
      <c r="AU35" s="238"/>
      <c r="AV35" s="273"/>
      <c r="AW35" s="277"/>
      <c r="AX35" s="278"/>
      <c r="AY35" s="278"/>
      <c r="AZ35" s="129"/>
      <c r="BA35" s="278"/>
      <c r="BB35" s="278"/>
      <c r="BC35" s="278"/>
      <c r="BD35" s="129"/>
      <c r="BE35" s="278"/>
      <c r="BF35" s="281"/>
      <c r="BG35" s="214"/>
      <c r="BH35" s="207"/>
      <c r="BI35" s="207"/>
      <c r="BJ35" s="207"/>
      <c r="BK35" s="207"/>
      <c r="BL35" s="207"/>
      <c r="BM35" s="207"/>
      <c r="BN35" s="207"/>
      <c r="BO35" s="207"/>
      <c r="BP35" s="215"/>
      <c r="BQ35" s="226"/>
      <c r="BR35" s="227"/>
      <c r="BS35" s="227"/>
      <c r="BT35" s="227"/>
      <c r="BU35" s="227"/>
      <c r="BV35" s="227"/>
      <c r="BW35" s="227"/>
      <c r="BX35" s="227"/>
      <c r="BY35" s="227"/>
      <c r="BZ35" s="228"/>
      <c r="CA35" s="537"/>
      <c r="CB35" s="538"/>
      <c r="CC35" s="538"/>
      <c r="CD35" s="538"/>
      <c r="CE35" s="538"/>
      <c r="CF35" s="538"/>
      <c r="CG35" s="538"/>
      <c r="CH35" s="538"/>
      <c r="CI35" s="538"/>
      <c r="CJ35" s="538"/>
      <c r="CK35" s="237"/>
      <c r="CL35" s="238"/>
      <c r="CM35" s="238"/>
      <c r="CN35" s="238"/>
      <c r="CO35" s="238"/>
      <c r="CP35" s="238"/>
      <c r="CQ35" s="238"/>
      <c r="CR35" s="238"/>
      <c r="CS35" s="238"/>
      <c r="CT35" s="273"/>
      <c r="CU35" s="295"/>
      <c r="CV35" s="296"/>
      <c r="CW35" s="296"/>
      <c r="CX35" s="296"/>
      <c r="CY35" s="296"/>
      <c r="CZ35" s="296"/>
      <c r="DA35" s="296"/>
      <c r="DB35" s="296"/>
      <c r="DC35" s="297"/>
      <c r="DD35" s="298"/>
      <c r="DE35" s="214"/>
      <c r="DF35" s="207"/>
      <c r="DG35" s="207"/>
      <c r="DH35" s="207"/>
      <c r="DI35" s="207"/>
      <c r="DJ35" s="207"/>
      <c r="DK35" s="207"/>
      <c r="DL35" s="207"/>
      <c r="DM35" s="207"/>
      <c r="DN35" s="215"/>
      <c r="DO35" s="226"/>
      <c r="DP35" s="227"/>
      <c r="DQ35" s="227"/>
      <c r="DR35" s="227"/>
      <c r="DS35" s="227"/>
      <c r="DT35" s="227"/>
      <c r="DU35" s="227"/>
      <c r="DV35" s="227"/>
      <c r="DW35" s="227"/>
      <c r="DX35" s="228"/>
      <c r="DY35" s="90"/>
      <c r="DZ35" s="91"/>
      <c r="EA35" s="91"/>
      <c r="EB35" s="91"/>
      <c r="EC35" s="91"/>
      <c r="ED35" s="91"/>
      <c r="EE35" s="91"/>
      <c r="EF35" s="91"/>
      <c r="EG35" s="91"/>
      <c r="EH35" s="92"/>
      <c r="EI35" s="237"/>
      <c r="EJ35" s="238"/>
      <c r="EK35" s="238"/>
      <c r="EL35" s="238"/>
      <c r="EM35" s="238"/>
      <c r="EN35" s="238"/>
      <c r="EO35" s="238"/>
      <c r="EP35" s="238"/>
      <c r="EQ35" s="238"/>
      <c r="ER35" s="273"/>
      <c r="ES35" s="316">
        <f t="shared" si="2"/>
        <v>0</v>
      </c>
      <c r="ET35" s="317">
        <f t="shared" ref="ET35:FD35" si="23">SUM(J35:S35)</f>
        <v>0</v>
      </c>
      <c r="EU35" s="317">
        <f t="shared" si="23"/>
        <v>0</v>
      </c>
      <c r="EV35" s="317">
        <f t="shared" si="23"/>
        <v>0</v>
      </c>
      <c r="EW35" s="317">
        <f t="shared" si="16"/>
        <v>0</v>
      </c>
      <c r="EX35" s="317">
        <f t="shared" si="23"/>
        <v>0</v>
      </c>
      <c r="EY35" s="317">
        <f t="shared" si="23"/>
        <v>0</v>
      </c>
      <c r="EZ35" s="317">
        <f t="shared" si="23"/>
        <v>0</v>
      </c>
      <c r="FA35" s="317">
        <f t="shared" si="23"/>
        <v>0</v>
      </c>
      <c r="FB35" s="317">
        <f t="shared" si="23"/>
        <v>0</v>
      </c>
      <c r="FC35" s="317">
        <f t="shared" si="23"/>
        <v>0</v>
      </c>
      <c r="FD35" s="317">
        <f t="shared" si="23"/>
        <v>0</v>
      </c>
      <c r="FE35" s="317">
        <f t="shared" si="12"/>
        <v>0</v>
      </c>
      <c r="FF35" s="317">
        <f t="shared" si="13"/>
        <v>0</v>
      </c>
      <c r="FG35" s="318">
        <f t="shared" si="18"/>
        <v>33</v>
      </c>
      <c r="FH35" s="319">
        <f t="shared" si="14"/>
        <v>0</v>
      </c>
      <c r="FI35" s="319">
        <f>SUM(I7:ER7)-SUM(ES35:FF35)</f>
        <v>128</v>
      </c>
      <c r="FJ35" s="319">
        <f t="shared" si="15"/>
        <v>128</v>
      </c>
      <c r="FK35" s="7"/>
    </row>
    <row r="36" spans="1:167" ht="15.75" customHeight="1">
      <c r="A36" s="2"/>
      <c r="B36" s="3">
        <f t="shared" si="0"/>
        <v>0</v>
      </c>
      <c r="C36" s="182">
        <f t="shared" si="1"/>
        <v>29</v>
      </c>
      <c r="D36" s="184"/>
      <c r="E36" s="203"/>
      <c r="F36" s="203"/>
      <c r="G36" s="571">
        <v>45915</v>
      </c>
      <c r="H36" s="572"/>
      <c r="I36" s="214"/>
      <c r="J36" s="207"/>
      <c r="K36" s="207"/>
      <c r="L36" s="207"/>
      <c r="M36" s="207"/>
      <c r="N36" s="207"/>
      <c r="O36" s="207"/>
      <c r="P36" s="207"/>
      <c r="Q36" s="207"/>
      <c r="R36" s="215"/>
      <c r="S36" s="226"/>
      <c r="T36" s="227"/>
      <c r="U36" s="227"/>
      <c r="V36" s="227"/>
      <c r="W36" s="227"/>
      <c r="X36" s="227"/>
      <c r="Y36" s="247"/>
      <c r="Z36" s="248"/>
      <c r="AA36" s="249"/>
      <c r="AB36" s="228"/>
      <c r="AC36" s="264"/>
      <c r="AD36" s="178"/>
      <c r="AE36" s="178"/>
      <c r="AF36" s="178"/>
      <c r="AG36" s="582"/>
      <c r="AH36" s="583"/>
      <c r="AI36" s="178"/>
      <c r="AJ36" s="178"/>
      <c r="AK36" s="178"/>
      <c r="AL36" s="265"/>
      <c r="AM36" s="237"/>
      <c r="AN36" s="271"/>
      <c r="AO36" s="238"/>
      <c r="AP36" s="238"/>
      <c r="AQ36" s="238"/>
      <c r="AR36" s="238"/>
      <c r="AS36" s="238"/>
      <c r="AT36" s="238"/>
      <c r="AU36" s="238"/>
      <c r="AV36" s="273"/>
      <c r="AW36" s="277"/>
      <c r="AX36" s="278"/>
      <c r="AY36" s="278"/>
      <c r="AZ36" s="129"/>
      <c r="BA36" s="278"/>
      <c r="BB36" s="278"/>
      <c r="BC36" s="278"/>
      <c r="BD36" s="129"/>
      <c r="BE36" s="278"/>
      <c r="BF36" s="281"/>
      <c r="BG36" s="214"/>
      <c r="BH36" s="207"/>
      <c r="BI36" s="207"/>
      <c r="BJ36" s="207"/>
      <c r="BK36" s="207"/>
      <c r="BL36" s="207"/>
      <c r="BM36" s="207"/>
      <c r="BN36" s="207"/>
      <c r="BO36" s="207"/>
      <c r="BP36" s="215"/>
      <c r="BQ36" s="226"/>
      <c r="BR36" s="227"/>
      <c r="BS36" s="227"/>
      <c r="BT36" s="227"/>
      <c r="BU36" s="227"/>
      <c r="BV36" s="227"/>
      <c r="BW36" s="227"/>
      <c r="BX36" s="227"/>
      <c r="BY36" s="227"/>
      <c r="BZ36" s="228"/>
      <c r="CA36" s="537"/>
      <c r="CB36" s="538"/>
      <c r="CC36" s="538"/>
      <c r="CD36" s="538"/>
      <c r="CE36" s="538"/>
      <c r="CF36" s="538"/>
      <c r="CG36" s="538"/>
      <c r="CH36" s="538"/>
      <c r="CI36" s="538"/>
      <c r="CJ36" s="538"/>
      <c r="CK36" s="237"/>
      <c r="CL36" s="238"/>
      <c r="CM36" s="238"/>
      <c r="CN36" s="238"/>
      <c r="CO36" s="238"/>
      <c r="CP36" s="238"/>
      <c r="CQ36" s="238"/>
      <c r="CR36" s="238"/>
      <c r="CS36" s="238"/>
      <c r="CT36" s="273"/>
      <c r="CU36" s="295"/>
      <c r="CV36" s="296"/>
      <c r="CW36" s="296"/>
      <c r="CX36" s="296"/>
      <c r="CY36" s="296"/>
      <c r="CZ36" s="296"/>
      <c r="DA36" s="296"/>
      <c r="DB36" s="296"/>
      <c r="DC36" s="297"/>
      <c r="DD36" s="298"/>
      <c r="DE36" s="214"/>
      <c r="DF36" s="207"/>
      <c r="DG36" s="207"/>
      <c r="DH36" s="207"/>
      <c r="DI36" s="207"/>
      <c r="DJ36" s="207"/>
      <c r="DK36" s="207"/>
      <c r="DL36" s="207"/>
      <c r="DM36" s="207"/>
      <c r="DN36" s="215"/>
      <c r="DO36" s="226"/>
      <c r="DP36" s="227"/>
      <c r="DQ36" s="227"/>
      <c r="DR36" s="227"/>
      <c r="DS36" s="227"/>
      <c r="DT36" s="227"/>
      <c r="DU36" s="227"/>
      <c r="DV36" s="227"/>
      <c r="DW36" s="227"/>
      <c r="DX36" s="228"/>
      <c r="DY36" s="90"/>
      <c r="DZ36" s="91"/>
      <c r="EA36" s="91"/>
      <c r="EB36" s="91"/>
      <c r="EC36" s="91"/>
      <c r="ED36" s="91"/>
      <c r="EE36" s="91"/>
      <c r="EF36" s="91"/>
      <c r="EG36" s="91"/>
      <c r="EH36" s="92"/>
      <c r="EI36" s="237"/>
      <c r="EJ36" s="238"/>
      <c r="EK36" s="238"/>
      <c r="EL36" s="238"/>
      <c r="EM36" s="238"/>
      <c r="EN36" s="238"/>
      <c r="EO36" s="238"/>
      <c r="EP36" s="238"/>
      <c r="EQ36" s="238"/>
      <c r="ER36" s="273"/>
      <c r="ES36" s="316">
        <f t="shared" si="2"/>
        <v>0</v>
      </c>
      <c r="ET36" s="317">
        <f t="shared" ref="ET36:FD36" si="24">SUM(J36:S36)</f>
        <v>0</v>
      </c>
      <c r="EU36" s="317">
        <f t="shared" si="24"/>
        <v>0</v>
      </c>
      <c r="EV36" s="317">
        <f t="shared" si="24"/>
        <v>0</v>
      </c>
      <c r="EW36" s="317">
        <f t="shared" si="16"/>
        <v>0</v>
      </c>
      <c r="EX36" s="317">
        <f t="shared" si="24"/>
        <v>0</v>
      </c>
      <c r="EY36" s="317">
        <f t="shared" si="24"/>
        <v>0</v>
      </c>
      <c r="EZ36" s="317">
        <f t="shared" si="24"/>
        <v>0</v>
      </c>
      <c r="FA36" s="317">
        <f t="shared" si="24"/>
        <v>0</v>
      </c>
      <c r="FB36" s="317">
        <f t="shared" si="24"/>
        <v>0</v>
      </c>
      <c r="FC36" s="317">
        <f t="shared" si="24"/>
        <v>0</v>
      </c>
      <c r="FD36" s="317">
        <f t="shared" si="24"/>
        <v>0</v>
      </c>
      <c r="FE36" s="317">
        <f t="shared" si="12"/>
        <v>0</v>
      </c>
      <c r="FF36" s="317">
        <f t="shared" si="13"/>
        <v>0</v>
      </c>
      <c r="FG36" s="318">
        <f t="shared" si="18"/>
        <v>34</v>
      </c>
      <c r="FH36" s="319">
        <f t="shared" si="14"/>
        <v>0</v>
      </c>
      <c r="FI36" s="319">
        <f>SUM(I7:ER7)-SUM(ES36:FF36)</f>
        <v>128</v>
      </c>
      <c r="FJ36" s="319">
        <f t="shared" si="15"/>
        <v>128</v>
      </c>
      <c r="FK36" s="7"/>
    </row>
    <row r="37" spans="1:167" ht="15.75" customHeight="1">
      <c r="A37" s="2"/>
      <c r="B37" s="3">
        <f t="shared" si="0"/>
        <v>0</v>
      </c>
      <c r="C37" s="182">
        <f t="shared" si="1"/>
        <v>30</v>
      </c>
      <c r="D37" s="184"/>
      <c r="E37" s="203"/>
      <c r="F37" s="203"/>
      <c r="G37" s="571">
        <v>45915</v>
      </c>
      <c r="H37" s="572"/>
      <c r="I37" s="214"/>
      <c r="J37" s="207"/>
      <c r="K37" s="207"/>
      <c r="L37" s="207"/>
      <c r="M37" s="207"/>
      <c r="N37" s="207"/>
      <c r="O37" s="207"/>
      <c r="P37" s="207"/>
      <c r="Q37" s="207"/>
      <c r="R37" s="215"/>
      <c r="S37" s="226"/>
      <c r="T37" s="227"/>
      <c r="U37" s="227"/>
      <c r="V37" s="227"/>
      <c r="W37" s="227"/>
      <c r="X37" s="227"/>
      <c r="Y37" s="247"/>
      <c r="Z37" s="248"/>
      <c r="AA37" s="249"/>
      <c r="AB37" s="228"/>
      <c r="AC37" s="264"/>
      <c r="AD37" s="178"/>
      <c r="AE37" s="178"/>
      <c r="AF37" s="178"/>
      <c r="AG37" s="582"/>
      <c r="AH37" s="583"/>
      <c r="AI37" s="178"/>
      <c r="AJ37" s="178"/>
      <c r="AK37" s="178"/>
      <c r="AL37" s="265"/>
      <c r="AM37" s="237"/>
      <c r="AN37" s="271"/>
      <c r="AO37" s="238"/>
      <c r="AP37" s="238"/>
      <c r="AQ37" s="238"/>
      <c r="AR37" s="238"/>
      <c r="AS37" s="238"/>
      <c r="AT37" s="238"/>
      <c r="AU37" s="238"/>
      <c r="AV37" s="273"/>
      <c r="AW37" s="277"/>
      <c r="AX37" s="278"/>
      <c r="AY37" s="278"/>
      <c r="AZ37" s="129"/>
      <c r="BA37" s="278"/>
      <c r="BB37" s="278"/>
      <c r="BC37" s="278"/>
      <c r="BD37" s="129"/>
      <c r="BE37" s="278"/>
      <c r="BF37" s="281"/>
      <c r="BG37" s="214"/>
      <c r="BH37" s="207"/>
      <c r="BI37" s="207"/>
      <c r="BJ37" s="207"/>
      <c r="BK37" s="207"/>
      <c r="BL37" s="207"/>
      <c r="BM37" s="207"/>
      <c r="BN37" s="207"/>
      <c r="BO37" s="207"/>
      <c r="BP37" s="215"/>
      <c r="BQ37" s="226"/>
      <c r="BR37" s="227"/>
      <c r="BS37" s="227"/>
      <c r="BT37" s="227"/>
      <c r="BU37" s="227"/>
      <c r="BV37" s="227"/>
      <c r="BW37" s="227"/>
      <c r="BX37" s="227"/>
      <c r="BY37" s="227"/>
      <c r="BZ37" s="228"/>
      <c r="CA37" s="537"/>
      <c r="CB37" s="538"/>
      <c r="CC37" s="538"/>
      <c r="CD37" s="538"/>
      <c r="CE37" s="538"/>
      <c r="CF37" s="538"/>
      <c r="CG37" s="538"/>
      <c r="CH37" s="538"/>
      <c r="CI37" s="538"/>
      <c r="CJ37" s="538"/>
      <c r="CK37" s="237"/>
      <c r="CL37" s="238"/>
      <c r="CM37" s="238"/>
      <c r="CN37" s="238"/>
      <c r="CO37" s="238"/>
      <c r="CP37" s="238"/>
      <c r="CQ37" s="238"/>
      <c r="CR37" s="238"/>
      <c r="CS37" s="238"/>
      <c r="CT37" s="273"/>
      <c r="CU37" s="295"/>
      <c r="CV37" s="296"/>
      <c r="CW37" s="296"/>
      <c r="CX37" s="296"/>
      <c r="CY37" s="296"/>
      <c r="CZ37" s="296"/>
      <c r="DA37" s="296"/>
      <c r="DB37" s="296"/>
      <c r="DC37" s="297"/>
      <c r="DD37" s="298"/>
      <c r="DE37" s="214"/>
      <c r="DF37" s="207"/>
      <c r="DG37" s="207"/>
      <c r="DH37" s="207"/>
      <c r="DI37" s="207"/>
      <c r="DJ37" s="207"/>
      <c r="DK37" s="207"/>
      <c r="DL37" s="207"/>
      <c r="DM37" s="207"/>
      <c r="DN37" s="215"/>
      <c r="DO37" s="226"/>
      <c r="DP37" s="227"/>
      <c r="DQ37" s="227"/>
      <c r="DR37" s="227"/>
      <c r="DS37" s="227"/>
      <c r="DT37" s="227"/>
      <c r="DU37" s="227"/>
      <c r="DV37" s="227"/>
      <c r="DW37" s="227"/>
      <c r="DX37" s="228"/>
      <c r="DY37" s="90"/>
      <c r="DZ37" s="91"/>
      <c r="EA37" s="91"/>
      <c r="EB37" s="91"/>
      <c r="EC37" s="91"/>
      <c r="ED37" s="91"/>
      <c r="EE37" s="91"/>
      <c r="EF37" s="91"/>
      <c r="EG37" s="91"/>
      <c r="EH37" s="92"/>
      <c r="EI37" s="237"/>
      <c r="EJ37" s="238"/>
      <c r="EK37" s="238"/>
      <c r="EL37" s="238"/>
      <c r="EM37" s="238"/>
      <c r="EN37" s="238"/>
      <c r="EO37" s="238"/>
      <c r="EP37" s="238"/>
      <c r="EQ37" s="238"/>
      <c r="ER37" s="273"/>
      <c r="ES37" s="316">
        <f t="shared" si="2"/>
        <v>0</v>
      </c>
      <c r="ET37" s="317">
        <f t="shared" ref="ET37:FD37" si="25">SUM(J37:S37)</f>
        <v>0</v>
      </c>
      <c r="EU37" s="317">
        <f t="shared" si="25"/>
        <v>0</v>
      </c>
      <c r="EV37" s="317">
        <f t="shared" si="25"/>
        <v>0</v>
      </c>
      <c r="EW37" s="317">
        <f t="shared" si="16"/>
        <v>0</v>
      </c>
      <c r="EX37" s="317">
        <f t="shared" si="25"/>
        <v>0</v>
      </c>
      <c r="EY37" s="317">
        <f t="shared" si="25"/>
        <v>0</v>
      </c>
      <c r="EZ37" s="317">
        <f t="shared" si="25"/>
        <v>0</v>
      </c>
      <c r="FA37" s="317">
        <f t="shared" si="25"/>
        <v>0</v>
      </c>
      <c r="FB37" s="317">
        <f t="shared" si="25"/>
        <v>0</v>
      </c>
      <c r="FC37" s="317">
        <f t="shared" si="25"/>
        <v>0</v>
      </c>
      <c r="FD37" s="317">
        <f t="shared" si="25"/>
        <v>0</v>
      </c>
      <c r="FE37" s="317">
        <f t="shared" si="12"/>
        <v>0</v>
      </c>
      <c r="FF37" s="317">
        <f t="shared" si="13"/>
        <v>0</v>
      </c>
      <c r="FG37" s="318">
        <f t="shared" si="18"/>
        <v>35</v>
      </c>
      <c r="FH37" s="319">
        <f t="shared" si="14"/>
        <v>0</v>
      </c>
      <c r="FI37" s="319">
        <f>SUM(I7:ER7)-SUM(ES37:FF37)</f>
        <v>128</v>
      </c>
      <c r="FJ37" s="319">
        <f t="shared" si="15"/>
        <v>128</v>
      </c>
      <c r="FK37" s="7"/>
    </row>
    <row r="38" spans="1:167" ht="15.75" customHeight="1">
      <c r="A38" s="2"/>
      <c r="B38" s="3">
        <f t="shared" si="0"/>
        <v>0</v>
      </c>
      <c r="C38" s="182">
        <f t="shared" si="1"/>
        <v>31</v>
      </c>
      <c r="D38" s="184"/>
      <c r="E38" s="203"/>
      <c r="F38" s="203"/>
      <c r="G38" s="571">
        <v>45915</v>
      </c>
      <c r="H38" s="572"/>
      <c r="I38" s="214"/>
      <c r="J38" s="207"/>
      <c r="K38" s="207"/>
      <c r="L38" s="207"/>
      <c r="M38" s="207"/>
      <c r="N38" s="207"/>
      <c r="O38" s="207"/>
      <c r="P38" s="207"/>
      <c r="Q38" s="207"/>
      <c r="R38" s="215"/>
      <c r="S38" s="226"/>
      <c r="T38" s="227"/>
      <c r="U38" s="227"/>
      <c r="V38" s="227"/>
      <c r="W38" s="227"/>
      <c r="X38" s="227"/>
      <c r="Y38" s="247"/>
      <c r="Z38" s="248"/>
      <c r="AA38" s="249"/>
      <c r="AB38" s="228"/>
      <c r="AC38" s="264"/>
      <c r="AD38" s="178"/>
      <c r="AE38" s="178"/>
      <c r="AF38" s="178"/>
      <c r="AG38" s="582"/>
      <c r="AH38" s="583"/>
      <c r="AI38" s="178"/>
      <c r="AJ38" s="178"/>
      <c r="AK38" s="178"/>
      <c r="AL38" s="265"/>
      <c r="AM38" s="237"/>
      <c r="AN38" s="271"/>
      <c r="AO38" s="238"/>
      <c r="AP38" s="238"/>
      <c r="AQ38" s="238"/>
      <c r="AR38" s="238"/>
      <c r="AS38" s="238"/>
      <c r="AT38" s="238"/>
      <c r="AU38" s="238"/>
      <c r="AV38" s="273"/>
      <c r="AW38" s="277"/>
      <c r="AX38" s="278"/>
      <c r="AY38" s="278"/>
      <c r="AZ38" s="129"/>
      <c r="BA38" s="278"/>
      <c r="BB38" s="278"/>
      <c r="BC38" s="278"/>
      <c r="BD38" s="129"/>
      <c r="BE38" s="278"/>
      <c r="BF38" s="281"/>
      <c r="BG38" s="214"/>
      <c r="BH38" s="207"/>
      <c r="BI38" s="207"/>
      <c r="BJ38" s="207"/>
      <c r="BK38" s="207"/>
      <c r="BL38" s="207"/>
      <c r="BM38" s="207"/>
      <c r="BN38" s="207"/>
      <c r="BO38" s="207"/>
      <c r="BP38" s="215"/>
      <c r="BQ38" s="226"/>
      <c r="BR38" s="227"/>
      <c r="BS38" s="227"/>
      <c r="BT38" s="227"/>
      <c r="BU38" s="227"/>
      <c r="BV38" s="227"/>
      <c r="BW38" s="227"/>
      <c r="BX38" s="227"/>
      <c r="BY38" s="227"/>
      <c r="BZ38" s="228"/>
      <c r="CA38" s="537"/>
      <c r="CB38" s="538"/>
      <c r="CC38" s="538"/>
      <c r="CD38" s="538"/>
      <c r="CE38" s="538"/>
      <c r="CF38" s="538"/>
      <c r="CG38" s="538"/>
      <c r="CH38" s="538"/>
      <c r="CI38" s="538"/>
      <c r="CJ38" s="538"/>
      <c r="CK38" s="237"/>
      <c r="CL38" s="238"/>
      <c r="CM38" s="238"/>
      <c r="CN38" s="238"/>
      <c r="CO38" s="238"/>
      <c r="CP38" s="238"/>
      <c r="CQ38" s="238"/>
      <c r="CR38" s="238"/>
      <c r="CS38" s="238"/>
      <c r="CT38" s="273"/>
      <c r="CU38" s="295"/>
      <c r="CV38" s="296"/>
      <c r="CW38" s="296"/>
      <c r="CX38" s="296"/>
      <c r="CY38" s="296"/>
      <c r="CZ38" s="296"/>
      <c r="DA38" s="296"/>
      <c r="DB38" s="296"/>
      <c r="DC38" s="297"/>
      <c r="DD38" s="298"/>
      <c r="DE38" s="214"/>
      <c r="DF38" s="207"/>
      <c r="DG38" s="207"/>
      <c r="DH38" s="207"/>
      <c r="DI38" s="207"/>
      <c r="DJ38" s="207"/>
      <c r="DK38" s="207"/>
      <c r="DL38" s="207"/>
      <c r="DM38" s="207"/>
      <c r="DN38" s="215"/>
      <c r="DO38" s="226"/>
      <c r="DP38" s="227"/>
      <c r="DQ38" s="227"/>
      <c r="DR38" s="227"/>
      <c r="DS38" s="227"/>
      <c r="DT38" s="227"/>
      <c r="DU38" s="227"/>
      <c r="DV38" s="227"/>
      <c r="DW38" s="227"/>
      <c r="DX38" s="228"/>
      <c r="DY38" s="90"/>
      <c r="DZ38" s="91"/>
      <c r="EA38" s="91"/>
      <c r="EB38" s="91"/>
      <c r="EC38" s="91"/>
      <c r="ED38" s="91"/>
      <c r="EE38" s="91"/>
      <c r="EF38" s="91"/>
      <c r="EG38" s="91"/>
      <c r="EH38" s="92"/>
      <c r="EI38" s="237"/>
      <c r="EJ38" s="238"/>
      <c r="EK38" s="238"/>
      <c r="EL38" s="238"/>
      <c r="EM38" s="238"/>
      <c r="EN38" s="238"/>
      <c r="EO38" s="238"/>
      <c r="EP38" s="238"/>
      <c r="EQ38" s="238"/>
      <c r="ER38" s="273"/>
      <c r="ES38" s="316">
        <f t="shared" si="2"/>
        <v>0</v>
      </c>
      <c r="ET38" s="317">
        <f t="shared" ref="ET38:FD38" si="26">SUM(J38:S38)</f>
        <v>0</v>
      </c>
      <c r="EU38" s="317">
        <f t="shared" si="26"/>
        <v>0</v>
      </c>
      <c r="EV38" s="317">
        <f t="shared" si="26"/>
        <v>0</v>
      </c>
      <c r="EW38" s="317">
        <f t="shared" si="16"/>
        <v>0</v>
      </c>
      <c r="EX38" s="317">
        <f t="shared" si="26"/>
        <v>0</v>
      </c>
      <c r="EY38" s="317">
        <f t="shared" si="26"/>
        <v>0</v>
      </c>
      <c r="EZ38" s="317">
        <f t="shared" si="26"/>
        <v>0</v>
      </c>
      <c r="FA38" s="317">
        <f t="shared" si="26"/>
        <v>0</v>
      </c>
      <c r="FB38" s="317">
        <f t="shared" si="26"/>
        <v>0</v>
      </c>
      <c r="FC38" s="317">
        <f t="shared" si="26"/>
        <v>0</v>
      </c>
      <c r="FD38" s="317">
        <f t="shared" si="26"/>
        <v>0</v>
      </c>
      <c r="FE38" s="317">
        <f t="shared" si="12"/>
        <v>0</v>
      </c>
      <c r="FF38" s="317">
        <f t="shared" si="13"/>
        <v>0</v>
      </c>
      <c r="FG38" s="318">
        <f t="shared" si="18"/>
        <v>36</v>
      </c>
      <c r="FH38" s="319">
        <f t="shared" si="14"/>
        <v>0</v>
      </c>
      <c r="FI38" s="319">
        <f>SUM(I7:ER7)-SUM(ES38:FF38)</f>
        <v>128</v>
      </c>
      <c r="FJ38" s="319">
        <f t="shared" si="15"/>
        <v>128</v>
      </c>
      <c r="FK38" s="7"/>
    </row>
    <row r="39" spans="1:167" ht="15.75" customHeight="1">
      <c r="A39" s="2"/>
      <c r="B39" s="3">
        <f t="shared" si="0"/>
        <v>0</v>
      </c>
      <c r="C39" s="182">
        <f t="shared" si="1"/>
        <v>32</v>
      </c>
      <c r="D39" s="184"/>
      <c r="E39" s="203"/>
      <c r="F39" s="203"/>
      <c r="G39" s="571">
        <v>45915</v>
      </c>
      <c r="H39" s="572"/>
      <c r="I39" s="214"/>
      <c r="J39" s="207"/>
      <c r="K39" s="207"/>
      <c r="L39" s="207"/>
      <c r="M39" s="207"/>
      <c r="N39" s="207"/>
      <c r="O39" s="207"/>
      <c r="P39" s="207"/>
      <c r="Q39" s="207"/>
      <c r="R39" s="215"/>
      <c r="S39" s="226"/>
      <c r="T39" s="227"/>
      <c r="U39" s="227"/>
      <c r="V39" s="227"/>
      <c r="W39" s="227"/>
      <c r="X39" s="227"/>
      <c r="Y39" s="247"/>
      <c r="Z39" s="248"/>
      <c r="AA39" s="249"/>
      <c r="AB39" s="228"/>
      <c r="AC39" s="264"/>
      <c r="AD39" s="178"/>
      <c r="AE39" s="178"/>
      <c r="AF39" s="178"/>
      <c r="AG39" s="582"/>
      <c r="AH39" s="583"/>
      <c r="AI39" s="178"/>
      <c r="AJ39" s="178"/>
      <c r="AK39" s="178"/>
      <c r="AL39" s="265"/>
      <c r="AM39" s="237"/>
      <c r="AN39" s="271"/>
      <c r="AO39" s="238"/>
      <c r="AP39" s="238"/>
      <c r="AQ39" s="238"/>
      <c r="AR39" s="238"/>
      <c r="AS39" s="238"/>
      <c r="AT39" s="238"/>
      <c r="AU39" s="238"/>
      <c r="AV39" s="273"/>
      <c r="AW39" s="277"/>
      <c r="AX39" s="278"/>
      <c r="AY39" s="278"/>
      <c r="AZ39" s="129"/>
      <c r="BA39" s="278"/>
      <c r="BB39" s="278"/>
      <c r="BC39" s="278"/>
      <c r="BD39" s="129"/>
      <c r="BE39" s="278"/>
      <c r="BF39" s="281"/>
      <c r="BG39" s="214"/>
      <c r="BH39" s="207"/>
      <c r="BI39" s="207"/>
      <c r="BJ39" s="207"/>
      <c r="BK39" s="207"/>
      <c r="BL39" s="207"/>
      <c r="BM39" s="207"/>
      <c r="BN39" s="207"/>
      <c r="BO39" s="207"/>
      <c r="BP39" s="215"/>
      <c r="BQ39" s="226"/>
      <c r="BR39" s="227"/>
      <c r="BS39" s="227"/>
      <c r="BT39" s="227"/>
      <c r="BU39" s="227"/>
      <c r="BV39" s="227"/>
      <c r="BW39" s="227"/>
      <c r="BX39" s="227"/>
      <c r="BY39" s="227"/>
      <c r="BZ39" s="228"/>
      <c r="CA39" s="537"/>
      <c r="CB39" s="538"/>
      <c r="CC39" s="538"/>
      <c r="CD39" s="538"/>
      <c r="CE39" s="538"/>
      <c r="CF39" s="538"/>
      <c r="CG39" s="538"/>
      <c r="CH39" s="538"/>
      <c r="CI39" s="538"/>
      <c r="CJ39" s="538"/>
      <c r="CK39" s="237"/>
      <c r="CL39" s="238"/>
      <c r="CM39" s="238"/>
      <c r="CN39" s="238"/>
      <c r="CO39" s="238"/>
      <c r="CP39" s="238"/>
      <c r="CQ39" s="238"/>
      <c r="CR39" s="238"/>
      <c r="CS39" s="238"/>
      <c r="CT39" s="273"/>
      <c r="CU39" s="295"/>
      <c r="CV39" s="296"/>
      <c r="CW39" s="296"/>
      <c r="CX39" s="296"/>
      <c r="CY39" s="296"/>
      <c r="CZ39" s="296"/>
      <c r="DA39" s="296"/>
      <c r="DB39" s="296"/>
      <c r="DC39" s="297"/>
      <c r="DD39" s="298"/>
      <c r="DE39" s="214"/>
      <c r="DF39" s="207"/>
      <c r="DG39" s="207"/>
      <c r="DH39" s="207"/>
      <c r="DI39" s="207"/>
      <c r="DJ39" s="207"/>
      <c r="DK39" s="207"/>
      <c r="DL39" s="207"/>
      <c r="DM39" s="207"/>
      <c r="DN39" s="215"/>
      <c r="DO39" s="226"/>
      <c r="DP39" s="227"/>
      <c r="DQ39" s="227"/>
      <c r="DR39" s="227"/>
      <c r="DS39" s="227"/>
      <c r="DT39" s="227"/>
      <c r="DU39" s="227"/>
      <c r="DV39" s="227"/>
      <c r="DW39" s="227"/>
      <c r="DX39" s="228"/>
      <c r="DY39" s="90"/>
      <c r="DZ39" s="91"/>
      <c r="EA39" s="91"/>
      <c r="EB39" s="91"/>
      <c r="EC39" s="91"/>
      <c r="ED39" s="91"/>
      <c r="EE39" s="91"/>
      <c r="EF39" s="91"/>
      <c r="EG39" s="91"/>
      <c r="EH39" s="92"/>
      <c r="EI39" s="237"/>
      <c r="EJ39" s="238"/>
      <c r="EK39" s="238"/>
      <c r="EL39" s="238"/>
      <c r="EM39" s="238"/>
      <c r="EN39" s="238"/>
      <c r="EO39" s="238"/>
      <c r="EP39" s="238"/>
      <c r="EQ39" s="238"/>
      <c r="ER39" s="273"/>
      <c r="ES39" s="316">
        <f t="shared" si="2"/>
        <v>0</v>
      </c>
      <c r="ET39" s="317">
        <f t="shared" ref="ET39:FD39" si="27">SUM(J39:S39)</f>
        <v>0</v>
      </c>
      <c r="EU39" s="317">
        <f t="shared" si="27"/>
        <v>0</v>
      </c>
      <c r="EV39" s="317">
        <f t="shared" si="27"/>
        <v>0</v>
      </c>
      <c r="EW39" s="317">
        <f t="shared" si="16"/>
        <v>0</v>
      </c>
      <c r="EX39" s="317">
        <f t="shared" si="27"/>
        <v>0</v>
      </c>
      <c r="EY39" s="317">
        <f t="shared" si="27"/>
        <v>0</v>
      </c>
      <c r="EZ39" s="317">
        <f t="shared" si="27"/>
        <v>0</v>
      </c>
      <c r="FA39" s="317">
        <f t="shared" si="27"/>
        <v>0</v>
      </c>
      <c r="FB39" s="317">
        <f t="shared" si="27"/>
        <v>0</v>
      </c>
      <c r="FC39" s="317">
        <f t="shared" si="27"/>
        <v>0</v>
      </c>
      <c r="FD39" s="317">
        <f t="shared" si="27"/>
        <v>0</v>
      </c>
      <c r="FE39" s="317">
        <f t="shared" si="12"/>
        <v>0</v>
      </c>
      <c r="FF39" s="317">
        <f t="shared" si="13"/>
        <v>0</v>
      </c>
      <c r="FG39" s="318">
        <f t="shared" si="18"/>
        <v>37</v>
      </c>
      <c r="FH39" s="319">
        <f t="shared" si="14"/>
        <v>0</v>
      </c>
      <c r="FI39" s="319">
        <f>SUM(I7:ER7)-SUM(ES39:FF39)</f>
        <v>128</v>
      </c>
      <c r="FJ39" s="319">
        <f t="shared" si="15"/>
        <v>128</v>
      </c>
      <c r="FK39" s="7"/>
    </row>
    <row r="40" spans="1:167" ht="15.75" customHeight="1">
      <c r="A40" s="2"/>
      <c r="B40" s="3">
        <f t="shared" si="0"/>
        <v>0</v>
      </c>
      <c r="C40" s="182">
        <f t="shared" si="1"/>
        <v>33</v>
      </c>
      <c r="D40" s="184"/>
      <c r="E40" s="203"/>
      <c r="F40" s="203"/>
      <c r="G40" s="571">
        <v>45915</v>
      </c>
      <c r="H40" s="572"/>
      <c r="I40" s="214"/>
      <c r="J40" s="207"/>
      <c r="K40" s="207"/>
      <c r="L40" s="207"/>
      <c r="M40" s="207"/>
      <c r="N40" s="207"/>
      <c r="O40" s="207"/>
      <c r="P40" s="207"/>
      <c r="Q40" s="207"/>
      <c r="R40" s="215"/>
      <c r="S40" s="226"/>
      <c r="T40" s="227"/>
      <c r="U40" s="227"/>
      <c r="V40" s="227"/>
      <c r="W40" s="227"/>
      <c r="X40" s="227"/>
      <c r="Y40" s="247"/>
      <c r="Z40" s="248"/>
      <c r="AA40" s="249"/>
      <c r="AB40" s="228"/>
      <c r="AC40" s="264"/>
      <c r="AD40" s="178"/>
      <c r="AE40" s="178"/>
      <c r="AF40" s="178"/>
      <c r="AG40" s="582"/>
      <c r="AH40" s="583"/>
      <c r="AI40" s="178"/>
      <c r="AJ40" s="178"/>
      <c r="AK40" s="178"/>
      <c r="AL40" s="265"/>
      <c r="AM40" s="237"/>
      <c r="AN40" s="271"/>
      <c r="AO40" s="238"/>
      <c r="AP40" s="238"/>
      <c r="AQ40" s="238"/>
      <c r="AR40" s="238"/>
      <c r="AS40" s="238"/>
      <c r="AT40" s="238"/>
      <c r="AU40" s="238"/>
      <c r="AV40" s="273"/>
      <c r="AW40" s="277"/>
      <c r="AX40" s="278"/>
      <c r="AY40" s="278"/>
      <c r="AZ40" s="129"/>
      <c r="BA40" s="278"/>
      <c r="BB40" s="278"/>
      <c r="BC40" s="278"/>
      <c r="BD40" s="129"/>
      <c r="BE40" s="278"/>
      <c r="BF40" s="281"/>
      <c r="BG40" s="214"/>
      <c r="BH40" s="207"/>
      <c r="BI40" s="207"/>
      <c r="BJ40" s="207"/>
      <c r="BK40" s="207"/>
      <c r="BL40" s="207"/>
      <c r="BM40" s="207"/>
      <c r="BN40" s="207"/>
      <c r="BO40" s="207"/>
      <c r="BP40" s="215"/>
      <c r="BQ40" s="226"/>
      <c r="BR40" s="227"/>
      <c r="BS40" s="227"/>
      <c r="BT40" s="227"/>
      <c r="BU40" s="227"/>
      <c r="BV40" s="227"/>
      <c r="BW40" s="227"/>
      <c r="BX40" s="227"/>
      <c r="BY40" s="227"/>
      <c r="BZ40" s="228"/>
      <c r="CA40" s="537"/>
      <c r="CB40" s="538"/>
      <c r="CC40" s="538"/>
      <c r="CD40" s="538"/>
      <c r="CE40" s="538"/>
      <c r="CF40" s="538"/>
      <c r="CG40" s="538"/>
      <c r="CH40" s="538"/>
      <c r="CI40" s="538"/>
      <c r="CJ40" s="538"/>
      <c r="CK40" s="237"/>
      <c r="CL40" s="238"/>
      <c r="CM40" s="238"/>
      <c r="CN40" s="238"/>
      <c r="CO40" s="238"/>
      <c r="CP40" s="238"/>
      <c r="CQ40" s="238"/>
      <c r="CR40" s="238"/>
      <c r="CS40" s="238"/>
      <c r="CT40" s="273"/>
      <c r="CU40" s="295"/>
      <c r="CV40" s="296"/>
      <c r="CW40" s="296"/>
      <c r="CX40" s="296"/>
      <c r="CY40" s="296"/>
      <c r="CZ40" s="296"/>
      <c r="DA40" s="296"/>
      <c r="DB40" s="296"/>
      <c r="DC40" s="297"/>
      <c r="DD40" s="298"/>
      <c r="DE40" s="214"/>
      <c r="DF40" s="207"/>
      <c r="DG40" s="207"/>
      <c r="DH40" s="207"/>
      <c r="DI40" s="207"/>
      <c r="DJ40" s="207"/>
      <c r="DK40" s="207"/>
      <c r="DL40" s="207"/>
      <c r="DM40" s="207"/>
      <c r="DN40" s="215"/>
      <c r="DO40" s="226"/>
      <c r="DP40" s="227"/>
      <c r="DQ40" s="227"/>
      <c r="DR40" s="227"/>
      <c r="DS40" s="227"/>
      <c r="DT40" s="227"/>
      <c r="DU40" s="227"/>
      <c r="DV40" s="227"/>
      <c r="DW40" s="227"/>
      <c r="DX40" s="228"/>
      <c r="DY40" s="90"/>
      <c r="DZ40" s="91"/>
      <c r="EA40" s="91"/>
      <c r="EB40" s="91"/>
      <c r="EC40" s="91"/>
      <c r="ED40" s="91"/>
      <c r="EE40" s="91"/>
      <c r="EF40" s="91"/>
      <c r="EG40" s="91"/>
      <c r="EH40" s="92"/>
      <c r="EI40" s="237"/>
      <c r="EJ40" s="238"/>
      <c r="EK40" s="238"/>
      <c r="EL40" s="238"/>
      <c r="EM40" s="238"/>
      <c r="EN40" s="238"/>
      <c r="EO40" s="238"/>
      <c r="EP40" s="238"/>
      <c r="EQ40" s="238"/>
      <c r="ER40" s="273"/>
      <c r="ES40" s="316">
        <f t="shared" si="2"/>
        <v>0</v>
      </c>
      <c r="ET40" s="317">
        <f t="shared" ref="ET40:FD40" si="28">SUM(J40:S40)</f>
        <v>0</v>
      </c>
      <c r="EU40" s="317">
        <f t="shared" si="28"/>
        <v>0</v>
      </c>
      <c r="EV40" s="317">
        <f t="shared" si="28"/>
        <v>0</v>
      </c>
      <c r="EW40" s="317">
        <f t="shared" si="16"/>
        <v>0</v>
      </c>
      <c r="EX40" s="317">
        <f t="shared" si="28"/>
        <v>0</v>
      </c>
      <c r="EY40" s="317">
        <f t="shared" si="28"/>
        <v>0</v>
      </c>
      <c r="EZ40" s="317">
        <f t="shared" si="28"/>
        <v>0</v>
      </c>
      <c r="FA40" s="317">
        <f t="shared" si="28"/>
        <v>0</v>
      </c>
      <c r="FB40" s="317">
        <f t="shared" si="28"/>
        <v>0</v>
      </c>
      <c r="FC40" s="317">
        <f t="shared" si="28"/>
        <v>0</v>
      </c>
      <c r="FD40" s="317">
        <f t="shared" si="28"/>
        <v>0</v>
      </c>
      <c r="FE40" s="317">
        <f t="shared" si="12"/>
        <v>0</v>
      </c>
      <c r="FF40" s="317">
        <f t="shared" si="13"/>
        <v>0</v>
      </c>
      <c r="FG40" s="318">
        <f t="shared" si="18"/>
        <v>38</v>
      </c>
      <c r="FH40" s="319">
        <f t="shared" si="14"/>
        <v>0</v>
      </c>
      <c r="FI40" s="319">
        <f>SUM(I7:ER7)-SUM(ES40:FF40)</f>
        <v>128</v>
      </c>
      <c r="FJ40" s="319">
        <f t="shared" si="15"/>
        <v>128</v>
      </c>
      <c r="FK40" s="7"/>
    </row>
    <row r="41" spans="1:167" ht="15.75" customHeight="1">
      <c r="A41" s="2"/>
      <c r="B41" s="3">
        <f t="shared" si="0"/>
        <v>0</v>
      </c>
      <c r="C41" s="182">
        <f t="shared" si="1"/>
        <v>34</v>
      </c>
      <c r="D41" s="184"/>
      <c r="E41" s="203"/>
      <c r="F41" s="203"/>
      <c r="G41" s="571">
        <v>45915</v>
      </c>
      <c r="H41" s="572"/>
      <c r="I41" s="214"/>
      <c r="J41" s="207"/>
      <c r="K41" s="207"/>
      <c r="L41" s="207"/>
      <c r="M41" s="207"/>
      <c r="N41" s="207"/>
      <c r="O41" s="207"/>
      <c r="P41" s="207"/>
      <c r="Q41" s="207"/>
      <c r="R41" s="215"/>
      <c r="S41" s="226"/>
      <c r="T41" s="227"/>
      <c r="U41" s="227"/>
      <c r="V41" s="227"/>
      <c r="W41" s="227"/>
      <c r="X41" s="227"/>
      <c r="Y41" s="247"/>
      <c r="Z41" s="248"/>
      <c r="AA41" s="249"/>
      <c r="AB41" s="228"/>
      <c r="AC41" s="264"/>
      <c r="AD41" s="178"/>
      <c r="AE41" s="178"/>
      <c r="AF41" s="178"/>
      <c r="AG41" s="582"/>
      <c r="AH41" s="583"/>
      <c r="AI41" s="178"/>
      <c r="AJ41" s="178"/>
      <c r="AK41" s="178"/>
      <c r="AL41" s="265"/>
      <c r="AM41" s="237"/>
      <c r="AN41" s="271"/>
      <c r="AO41" s="238"/>
      <c r="AP41" s="238"/>
      <c r="AQ41" s="238"/>
      <c r="AR41" s="238"/>
      <c r="AS41" s="238"/>
      <c r="AT41" s="238"/>
      <c r="AU41" s="238"/>
      <c r="AV41" s="273"/>
      <c r="AW41" s="277"/>
      <c r="AX41" s="278"/>
      <c r="AY41" s="278"/>
      <c r="AZ41" s="129"/>
      <c r="BA41" s="278"/>
      <c r="BB41" s="278"/>
      <c r="BC41" s="278"/>
      <c r="BD41" s="129"/>
      <c r="BE41" s="278"/>
      <c r="BF41" s="281"/>
      <c r="BG41" s="214"/>
      <c r="BH41" s="207"/>
      <c r="BI41" s="207"/>
      <c r="BJ41" s="207"/>
      <c r="BK41" s="207"/>
      <c r="BL41" s="207"/>
      <c r="BM41" s="207"/>
      <c r="BN41" s="207"/>
      <c r="BO41" s="207"/>
      <c r="BP41" s="215"/>
      <c r="BQ41" s="226"/>
      <c r="BR41" s="227"/>
      <c r="BS41" s="227"/>
      <c r="BT41" s="227"/>
      <c r="BU41" s="227"/>
      <c r="BV41" s="227"/>
      <c r="BW41" s="227"/>
      <c r="BX41" s="227"/>
      <c r="BY41" s="227"/>
      <c r="BZ41" s="228"/>
      <c r="CA41" s="537"/>
      <c r="CB41" s="538"/>
      <c r="CC41" s="538"/>
      <c r="CD41" s="538"/>
      <c r="CE41" s="538"/>
      <c r="CF41" s="538"/>
      <c r="CG41" s="538"/>
      <c r="CH41" s="538"/>
      <c r="CI41" s="538"/>
      <c r="CJ41" s="538"/>
      <c r="CK41" s="237"/>
      <c r="CL41" s="238"/>
      <c r="CM41" s="238"/>
      <c r="CN41" s="238"/>
      <c r="CO41" s="238"/>
      <c r="CP41" s="238"/>
      <c r="CQ41" s="238"/>
      <c r="CR41" s="238"/>
      <c r="CS41" s="238"/>
      <c r="CT41" s="273"/>
      <c r="CU41" s="295"/>
      <c r="CV41" s="296"/>
      <c r="CW41" s="296"/>
      <c r="CX41" s="296"/>
      <c r="CY41" s="296"/>
      <c r="CZ41" s="296"/>
      <c r="DA41" s="296"/>
      <c r="DB41" s="296"/>
      <c r="DC41" s="297"/>
      <c r="DD41" s="298"/>
      <c r="DE41" s="214"/>
      <c r="DF41" s="207"/>
      <c r="DG41" s="207"/>
      <c r="DH41" s="207"/>
      <c r="DI41" s="207"/>
      <c r="DJ41" s="207"/>
      <c r="DK41" s="207"/>
      <c r="DL41" s="207"/>
      <c r="DM41" s="207"/>
      <c r="DN41" s="215"/>
      <c r="DO41" s="226"/>
      <c r="DP41" s="227"/>
      <c r="DQ41" s="227"/>
      <c r="DR41" s="227"/>
      <c r="DS41" s="227"/>
      <c r="DT41" s="227"/>
      <c r="DU41" s="227"/>
      <c r="DV41" s="227"/>
      <c r="DW41" s="227"/>
      <c r="DX41" s="228"/>
      <c r="DY41" s="90"/>
      <c r="DZ41" s="91"/>
      <c r="EA41" s="91"/>
      <c r="EB41" s="91"/>
      <c r="EC41" s="91"/>
      <c r="ED41" s="91"/>
      <c r="EE41" s="91"/>
      <c r="EF41" s="91"/>
      <c r="EG41" s="91"/>
      <c r="EH41" s="92"/>
      <c r="EI41" s="237"/>
      <c r="EJ41" s="238"/>
      <c r="EK41" s="238"/>
      <c r="EL41" s="238"/>
      <c r="EM41" s="238"/>
      <c r="EN41" s="238"/>
      <c r="EO41" s="238"/>
      <c r="EP41" s="238"/>
      <c r="EQ41" s="238"/>
      <c r="ER41" s="273"/>
      <c r="ES41" s="316">
        <f t="shared" si="2"/>
        <v>0</v>
      </c>
      <c r="ET41" s="317">
        <f t="shared" ref="ET41:FD41" si="29">SUM(J41:S41)</f>
        <v>0</v>
      </c>
      <c r="EU41" s="317">
        <f t="shared" si="29"/>
        <v>0</v>
      </c>
      <c r="EV41" s="317">
        <f t="shared" si="29"/>
        <v>0</v>
      </c>
      <c r="EW41" s="317">
        <f t="shared" si="16"/>
        <v>0</v>
      </c>
      <c r="EX41" s="317">
        <f t="shared" si="29"/>
        <v>0</v>
      </c>
      <c r="EY41" s="317">
        <f t="shared" si="29"/>
        <v>0</v>
      </c>
      <c r="EZ41" s="317">
        <f t="shared" si="29"/>
        <v>0</v>
      </c>
      <c r="FA41" s="317">
        <f t="shared" si="29"/>
        <v>0</v>
      </c>
      <c r="FB41" s="317">
        <f t="shared" si="29"/>
        <v>0</v>
      </c>
      <c r="FC41" s="317">
        <f t="shared" si="29"/>
        <v>0</v>
      </c>
      <c r="FD41" s="317">
        <f t="shared" si="29"/>
        <v>0</v>
      </c>
      <c r="FE41" s="317">
        <f t="shared" si="12"/>
        <v>0</v>
      </c>
      <c r="FF41" s="317">
        <f t="shared" si="13"/>
        <v>0</v>
      </c>
      <c r="FG41" s="318">
        <f t="shared" si="18"/>
        <v>39</v>
      </c>
      <c r="FH41" s="319">
        <f t="shared" si="14"/>
        <v>0</v>
      </c>
      <c r="FI41" s="319">
        <f>SUM(I7:ER7)-SUM(ES41:FF41)</f>
        <v>128</v>
      </c>
      <c r="FJ41" s="319">
        <f t="shared" si="15"/>
        <v>128</v>
      </c>
      <c r="FK41" s="7"/>
    </row>
    <row r="42" spans="1:167" ht="15.75" customHeight="1">
      <c r="A42" s="2"/>
      <c r="B42" s="3">
        <f t="shared" si="0"/>
        <v>0</v>
      </c>
      <c r="C42" s="182">
        <f t="shared" si="1"/>
        <v>35</v>
      </c>
      <c r="D42" s="184"/>
      <c r="E42" s="203"/>
      <c r="F42" s="203"/>
      <c r="G42" s="571">
        <v>45915</v>
      </c>
      <c r="H42" s="572"/>
      <c r="I42" s="214"/>
      <c r="J42" s="207"/>
      <c r="K42" s="207"/>
      <c r="L42" s="207"/>
      <c r="M42" s="207"/>
      <c r="N42" s="207"/>
      <c r="O42" s="207"/>
      <c r="P42" s="207"/>
      <c r="Q42" s="207"/>
      <c r="R42" s="215"/>
      <c r="S42" s="226"/>
      <c r="T42" s="227"/>
      <c r="U42" s="227"/>
      <c r="V42" s="227"/>
      <c r="W42" s="227"/>
      <c r="X42" s="227"/>
      <c r="Y42" s="247"/>
      <c r="Z42" s="248"/>
      <c r="AA42" s="249"/>
      <c r="AB42" s="228"/>
      <c r="AC42" s="264"/>
      <c r="AD42" s="178"/>
      <c r="AE42" s="178"/>
      <c r="AF42" s="178"/>
      <c r="AG42" s="582"/>
      <c r="AH42" s="583"/>
      <c r="AI42" s="178"/>
      <c r="AJ42" s="178"/>
      <c r="AK42" s="178"/>
      <c r="AL42" s="265"/>
      <c r="AM42" s="237"/>
      <c r="AN42" s="271"/>
      <c r="AO42" s="238"/>
      <c r="AP42" s="238"/>
      <c r="AQ42" s="238"/>
      <c r="AR42" s="238"/>
      <c r="AS42" s="238"/>
      <c r="AT42" s="238"/>
      <c r="AU42" s="238"/>
      <c r="AV42" s="273"/>
      <c r="AW42" s="277"/>
      <c r="AX42" s="278"/>
      <c r="AY42" s="278"/>
      <c r="AZ42" s="129"/>
      <c r="BA42" s="278"/>
      <c r="BB42" s="278"/>
      <c r="BC42" s="278"/>
      <c r="BD42" s="129"/>
      <c r="BE42" s="278"/>
      <c r="BF42" s="281"/>
      <c r="BG42" s="214"/>
      <c r="BH42" s="207"/>
      <c r="BI42" s="207"/>
      <c r="BJ42" s="207"/>
      <c r="BK42" s="207"/>
      <c r="BL42" s="207"/>
      <c r="BM42" s="207"/>
      <c r="BN42" s="207"/>
      <c r="BO42" s="207"/>
      <c r="BP42" s="215"/>
      <c r="BQ42" s="226"/>
      <c r="BR42" s="227"/>
      <c r="BS42" s="227"/>
      <c r="BT42" s="227"/>
      <c r="BU42" s="227"/>
      <c r="BV42" s="227"/>
      <c r="BW42" s="227"/>
      <c r="BX42" s="227"/>
      <c r="BY42" s="227"/>
      <c r="BZ42" s="228"/>
      <c r="CA42" s="537"/>
      <c r="CB42" s="538"/>
      <c r="CC42" s="538"/>
      <c r="CD42" s="538"/>
      <c r="CE42" s="538"/>
      <c r="CF42" s="538"/>
      <c r="CG42" s="538"/>
      <c r="CH42" s="538"/>
      <c r="CI42" s="538"/>
      <c r="CJ42" s="538"/>
      <c r="CK42" s="237"/>
      <c r="CL42" s="238"/>
      <c r="CM42" s="238"/>
      <c r="CN42" s="238"/>
      <c r="CO42" s="238"/>
      <c r="CP42" s="238"/>
      <c r="CQ42" s="238"/>
      <c r="CR42" s="238"/>
      <c r="CS42" s="238"/>
      <c r="CT42" s="273"/>
      <c r="CU42" s="295"/>
      <c r="CV42" s="296"/>
      <c r="CW42" s="296"/>
      <c r="CX42" s="296"/>
      <c r="CY42" s="296"/>
      <c r="CZ42" s="296"/>
      <c r="DA42" s="296"/>
      <c r="DB42" s="296"/>
      <c r="DC42" s="297"/>
      <c r="DD42" s="298"/>
      <c r="DE42" s="214"/>
      <c r="DF42" s="207"/>
      <c r="DG42" s="207"/>
      <c r="DH42" s="207"/>
      <c r="DI42" s="207"/>
      <c r="DJ42" s="207"/>
      <c r="DK42" s="207"/>
      <c r="DL42" s="207"/>
      <c r="DM42" s="207"/>
      <c r="DN42" s="215"/>
      <c r="DO42" s="226"/>
      <c r="DP42" s="227"/>
      <c r="DQ42" s="227"/>
      <c r="DR42" s="227"/>
      <c r="DS42" s="227"/>
      <c r="DT42" s="227"/>
      <c r="DU42" s="227"/>
      <c r="DV42" s="227"/>
      <c r="DW42" s="227"/>
      <c r="DX42" s="228"/>
      <c r="DY42" s="90"/>
      <c r="DZ42" s="91"/>
      <c r="EA42" s="91"/>
      <c r="EB42" s="91"/>
      <c r="EC42" s="91"/>
      <c r="ED42" s="91"/>
      <c r="EE42" s="91"/>
      <c r="EF42" s="91"/>
      <c r="EG42" s="91"/>
      <c r="EH42" s="92"/>
      <c r="EI42" s="237"/>
      <c r="EJ42" s="238"/>
      <c r="EK42" s="238"/>
      <c r="EL42" s="238"/>
      <c r="EM42" s="238"/>
      <c r="EN42" s="238"/>
      <c r="EO42" s="238"/>
      <c r="EP42" s="238"/>
      <c r="EQ42" s="238"/>
      <c r="ER42" s="273"/>
      <c r="ES42" s="316">
        <f t="shared" si="2"/>
        <v>0</v>
      </c>
      <c r="ET42" s="317">
        <f t="shared" ref="ET42:FD42" si="30">SUM(J42:S42)</f>
        <v>0</v>
      </c>
      <c r="EU42" s="317">
        <f t="shared" si="30"/>
        <v>0</v>
      </c>
      <c r="EV42" s="317">
        <f t="shared" si="30"/>
        <v>0</v>
      </c>
      <c r="EW42" s="317">
        <f t="shared" si="16"/>
        <v>0</v>
      </c>
      <c r="EX42" s="317">
        <f t="shared" si="30"/>
        <v>0</v>
      </c>
      <c r="EY42" s="317">
        <f t="shared" si="30"/>
        <v>0</v>
      </c>
      <c r="EZ42" s="317">
        <f t="shared" si="30"/>
        <v>0</v>
      </c>
      <c r="FA42" s="317">
        <f t="shared" si="30"/>
        <v>0</v>
      </c>
      <c r="FB42" s="317">
        <f t="shared" si="30"/>
        <v>0</v>
      </c>
      <c r="FC42" s="317">
        <f t="shared" si="30"/>
        <v>0</v>
      </c>
      <c r="FD42" s="317">
        <f t="shared" si="30"/>
        <v>0</v>
      </c>
      <c r="FE42" s="317">
        <f t="shared" si="12"/>
        <v>0</v>
      </c>
      <c r="FF42" s="317">
        <f t="shared" si="13"/>
        <v>0</v>
      </c>
      <c r="FG42" s="318">
        <f t="shared" si="18"/>
        <v>40</v>
      </c>
      <c r="FH42" s="319">
        <f t="shared" si="14"/>
        <v>0</v>
      </c>
      <c r="FI42" s="319">
        <f>SUM(I7:ER7)-SUM(ES42:FF42)</f>
        <v>128</v>
      </c>
      <c r="FJ42" s="319">
        <f t="shared" si="15"/>
        <v>128</v>
      </c>
      <c r="FK42" s="7"/>
    </row>
    <row r="43" spans="1:167" ht="15.75" customHeight="1">
      <c r="A43" s="2"/>
      <c r="B43" s="3">
        <f t="shared" si="0"/>
        <v>0</v>
      </c>
      <c r="C43" s="182">
        <f t="shared" si="1"/>
        <v>36</v>
      </c>
      <c r="D43" s="184"/>
      <c r="E43" s="203"/>
      <c r="F43" s="203"/>
      <c r="G43" s="571">
        <v>45915</v>
      </c>
      <c r="H43" s="572"/>
      <c r="I43" s="214"/>
      <c r="J43" s="207"/>
      <c r="K43" s="207"/>
      <c r="L43" s="207"/>
      <c r="M43" s="207"/>
      <c r="N43" s="207"/>
      <c r="O43" s="207"/>
      <c r="P43" s="207"/>
      <c r="Q43" s="207"/>
      <c r="R43" s="215"/>
      <c r="S43" s="226"/>
      <c r="T43" s="227"/>
      <c r="U43" s="227"/>
      <c r="V43" s="227"/>
      <c r="W43" s="227"/>
      <c r="X43" s="227"/>
      <c r="Y43" s="247"/>
      <c r="Z43" s="248"/>
      <c r="AA43" s="249"/>
      <c r="AB43" s="228"/>
      <c r="AC43" s="264"/>
      <c r="AD43" s="178"/>
      <c r="AE43" s="178"/>
      <c r="AF43" s="178"/>
      <c r="AG43" s="582"/>
      <c r="AH43" s="583"/>
      <c r="AI43" s="178"/>
      <c r="AJ43" s="178"/>
      <c r="AK43" s="178"/>
      <c r="AL43" s="265"/>
      <c r="AM43" s="237"/>
      <c r="AN43" s="271"/>
      <c r="AO43" s="238"/>
      <c r="AP43" s="238"/>
      <c r="AQ43" s="238"/>
      <c r="AR43" s="238"/>
      <c r="AS43" s="238"/>
      <c r="AT43" s="238"/>
      <c r="AU43" s="238"/>
      <c r="AV43" s="273"/>
      <c r="AW43" s="277"/>
      <c r="AX43" s="278"/>
      <c r="AY43" s="278"/>
      <c r="AZ43" s="129"/>
      <c r="BA43" s="278"/>
      <c r="BB43" s="278"/>
      <c r="BC43" s="278"/>
      <c r="BD43" s="129"/>
      <c r="BE43" s="278"/>
      <c r="BF43" s="281"/>
      <c r="BG43" s="214"/>
      <c r="BH43" s="207"/>
      <c r="BI43" s="207"/>
      <c r="BJ43" s="207"/>
      <c r="BK43" s="207"/>
      <c r="BL43" s="207"/>
      <c r="BM43" s="207"/>
      <c r="BN43" s="207"/>
      <c r="BO43" s="207"/>
      <c r="BP43" s="215"/>
      <c r="BQ43" s="226"/>
      <c r="BR43" s="227"/>
      <c r="BS43" s="227"/>
      <c r="BT43" s="227"/>
      <c r="BU43" s="227"/>
      <c r="BV43" s="227"/>
      <c r="BW43" s="227"/>
      <c r="BX43" s="227"/>
      <c r="BY43" s="227"/>
      <c r="BZ43" s="228"/>
      <c r="CA43" s="537"/>
      <c r="CB43" s="538"/>
      <c r="CC43" s="538"/>
      <c r="CD43" s="538"/>
      <c r="CE43" s="538"/>
      <c r="CF43" s="538"/>
      <c r="CG43" s="538"/>
      <c r="CH43" s="538"/>
      <c r="CI43" s="538"/>
      <c r="CJ43" s="538"/>
      <c r="CK43" s="237"/>
      <c r="CL43" s="238"/>
      <c r="CM43" s="238"/>
      <c r="CN43" s="238"/>
      <c r="CO43" s="238"/>
      <c r="CP43" s="238"/>
      <c r="CQ43" s="238"/>
      <c r="CR43" s="238"/>
      <c r="CS43" s="238"/>
      <c r="CT43" s="273"/>
      <c r="CU43" s="295"/>
      <c r="CV43" s="296"/>
      <c r="CW43" s="296"/>
      <c r="CX43" s="296"/>
      <c r="CY43" s="296"/>
      <c r="CZ43" s="296"/>
      <c r="DA43" s="296"/>
      <c r="DB43" s="296"/>
      <c r="DC43" s="297"/>
      <c r="DD43" s="298"/>
      <c r="DE43" s="214"/>
      <c r="DF43" s="207"/>
      <c r="DG43" s="207"/>
      <c r="DH43" s="207"/>
      <c r="DI43" s="207"/>
      <c r="DJ43" s="207"/>
      <c r="DK43" s="207"/>
      <c r="DL43" s="207"/>
      <c r="DM43" s="207"/>
      <c r="DN43" s="215"/>
      <c r="DO43" s="226"/>
      <c r="DP43" s="227"/>
      <c r="DQ43" s="227"/>
      <c r="DR43" s="227"/>
      <c r="DS43" s="227"/>
      <c r="DT43" s="227"/>
      <c r="DU43" s="227"/>
      <c r="DV43" s="227"/>
      <c r="DW43" s="227"/>
      <c r="DX43" s="228"/>
      <c r="DY43" s="90"/>
      <c r="DZ43" s="91"/>
      <c r="EA43" s="91"/>
      <c r="EB43" s="91"/>
      <c r="EC43" s="91"/>
      <c r="ED43" s="91"/>
      <c r="EE43" s="91"/>
      <c r="EF43" s="91"/>
      <c r="EG43" s="91"/>
      <c r="EH43" s="92"/>
      <c r="EI43" s="237"/>
      <c r="EJ43" s="238"/>
      <c r="EK43" s="238"/>
      <c r="EL43" s="238"/>
      <c r="EM43" s="238"/>
      <c r="EN43" s="238"/>
      <c r="EO43" s="238"/>
      <c r="EP43" s="238"/>
      <c r="EQ43" s="238"/>
      <c r="ER43" s="273"/>
      <c r="ES43" s="316">
        <f t="shared" si="2"/>
        <v>0</v>
      </c>
      <c r="ET43" s="317">
        <f t="shared" ref="ET43:FD43" si="31">SUM(J43:S43)</f>
        <v>0</v>
      </c>
      <c r="EU43" s="317">
        <f t="shared" si="31"/>
        <v>0</v>
      </c>
      <c r="EV43" s="317">
        <f t="shared" si="31"/>
        <v>0</v>
      </c>
      <c r="EW43" s="317">
        <f t="shared" si="16"/>
        <v>0</v>
      </c>
      <c r="EX43" s="317">
        <f t="shared" si="31"/>
        <v>0</v>
      </c>
      <c r="EY43" s="317">
        <f t="shared" si="31"/>
        <v>0</v>
      </c>
      <c r="EZ43" s="317">
        <f t="shared" si="31"/>
        <v>0</v>
      </c>
      <c r="FA43" s="317">
        <f t="shared" si="31"/>
        <v>0</v>
      </c>
      <c r="FB43" s="317">
        <f t="shared" si="31"/>
        <v>0</v>
      </c>
      <c r="FC43" s="317">
        <f t="shared" si="31"/>
        <v>0</v>
      </c>
      <c r="FD43" s="317">
        <f t="shared" si="31"/>
        <v>0</v>
      </c>
      <c r="FE43" s="317">
        <f t="shared" si="12"/>
        <v>0</v>
      </c>
      <c r="FF43" s="317">
        <f t="shared" si="13"/>
        <v>0</v>
      </c>
      <c r="FG43" s="318">
        <f t="shared" si="18"/>
        <v>41</v>
      </c>
      <c r="FH43" s="319">
        <f t="shared" si="14"/>
        <v>0</v>
      </c>
      <c r="FI43" s="319">
        <f>SUM(I7:ER7)-SUM(ES43:FF43)</f>
        <v>128</v>
      </c>
      <c r="FJ43" s="319">
        <f t="shared" si="15"/>
        <v>128</v>
      </c>
      <c r="FK43" s="7"/>
    </row>
    <row r="44" spans="1:167" ht="15.75" customHeight="1">
      <c r="A44" s="2"/>
      <c r="B44" s="3">
        <f t="shared" si="0"/>
        <v>0</v>
      </c>
      <c r="C44" s="182">
        <f t="shared" si="1"/>
        <v>37</v>
      </c>
      <c r="D44" s="184"/>
      <c r="E44" s="203"/>
      <c r="F44" s="203"/>
      <c r="G44" s="571">
        <v>45915</v>
      </c>
      <c r="H44" s="572"/>
      <c r="I44" s="214"/>
      <c r="J44" s="207"/>
      <c r="K44" s="207"/>
      <c r="L44" s="207"/>
      <c r="M44" s="207"/>
      <c r="N44" s="207"/>
      <c r="O44" s="207"/>
      <c r="P44" s="207"/>
      <c r="Q44" s="207"/>
      <c r="R44" s="215"/>
      <c r="S44" s="226"/>
      <c r="T44" s="227"/>
      <c r="U44" s="227"/>
      <c r="V44" s="227"/>
      <c r="W44" s="227"/>
      <c r="X44" s="227"/>
      <c r="Y44" s="247"/>
      <c r="Z44" s="248"/>
      <c r="AA44" s="249"/>
      <c r="AB44" s="228"/>
      <c r="AC44" s="264"/>
      <c r="AD44" s="178"/>
      <c r="AE44" s="178"/>
      <c r="AF44" s="178"/>
      <c r="AG44" s="582"/>
      <c r="AH44" s="583"/>
      <c r="AI44" s="178"/>
      <c r="AJ44" s="178"/>
      <c r="AK44" s="178"/>
      <c r="AL44" s="265"/>
      <c r="AM44" s="237"/>
      <c r="AN44" s="271"/>
      <c r="AO44" s="238"/>
      <c r="AP44" s="238"/>
      <c r="AQ44" s="238"/>
      <c r="AR44" s="238"/>
      <c r="AS44" s="238"/>
      <c r="AT44" s="238"/>
      <c r="AU44" s="238"/>
      <c r="AV44" s="273"/>
      <c r="AW44" s="277"/>
      <c r="AX44" s="278"/>
      <c r="AY44" s="278"/>
      <c r="AZ44" s="129"/>
      <c r="BA44" s="278"/>
      <c r="BB44" s="278"/>
      <c r="BC44" s="278"/>
      <c r="BD44" s="129"/>
      <c r="BE44" s="278"/>
      <c r="BF44" s="281"/>
      <c r="BG44" s="214"/>
      <c r="BH44" s="207"/>
      <c r="BI44" s="207"/>
      <c r="BJ44" s="207"/>
      <c r="BK44" s="207"/>
      <c r="BL44" s="207"/>
      <c r="BM44" s="207"/>
      <c r="BN44" s="207"/>
      <c r="BO44" s="207"/>
      <c r="BP44" s="215"/>
      <c r="BQ44" s="226"/>
      <c r="BR44" s="227"/>
      <c r="BS44" s="227"/>
      <c r="BT44" s="227"/>
      <c r="BU44" s="227"/>
      <c r="BV44" s="227"/>
      <c r="BW44" s="227"/>
      <c r="BX44" s="227"/>
      <c r="BY44" s="227"/>
      <c r="BZ44" s="228"/>
      <c r="CA44" s="537"/>
      <c r="CB44" s="538"/>
      <c r="CC44" s="538"/>
      <c r="CD44" s="538"/>
      <c r="CE44" s="538"/>
      <c r="CF44" s="538"/>
      <c r="CG44" s="538"/>
      <c r="CH44" s="538"/>
      <c r="CI44" s="538"/>
      <c r="CJ44" s="538"/>
      <c r="CK44" s="237"/>
      <c r="CL44" s="238"/>
      <c r="CM44" s="238"/>
      <c r="CN44" s="238"/>
      <c r="CO44" s="238"/>
      <c r="CP44" s="238"/>
      <c r="CQ44" s="238"/>
      <c r="CR44" s="238"/>
      <c r="CS44" s="238"/>
      <c r="CT44" s="273"/>
      <c r="CU44" s="295"/>
      <c r="CV44" s="296"/>
      <c r="CW44" s="296"/>
      <c r="CX44" s="296"/>
      <c r="CY44" s="296"/>
      <c r="CZ44" s="296"/>
      <c r="DA44" s="296"/>
      <c r="DB44" s="296"/>
      <c r="DC44" s="297"/>
      <c r="DD44" s="298"/>
      <c r="DE44" s="214"/>
      <c r="DF44" s="207"/>
      <c r="DG44" s="207"/>
      <c r="DH44" s="207"/>
      <c r="DI44" s="207"/>
      <c r="DJ44" s="207"/>
      <c r="DK44" s="207"/>
      <c r="DL44" s="207"/>
      <c r="DM44" s="207"/>
      <c r="DN44" s="215"/>
      <c r="DO44" s="226"/>
      <c r="DP44" s="227"/>
      <c r="DQ44" s="227"/>
      <c r="DR44" s="227"/>
      <c r="DS44" s="227"/>
      <c r="DT44" s="227"/>
      <c r="DU44" s="227"/>
      <c r="DV44" s="227"/>
      <c r="DW44" s="227"/>
      <c r="DX44" s="228"/>
      <c r="DY44" s="90"/>
      <c r="DZ44" s="91"/>
      <c r="EA44" s="91"/>
      <c r="EB44" s="91"/>
      <c r="EC44" s="91"/>
      <c r="ED44" s="91"/>
      <c r="EE44" s="91"/>
      <c r="EF44" s="91"/>
      <c r="EG44" s="91"/>
      <c r="EH44" s="92"/>
      <c r="EI44" s="237"/>
      <c r="EJ44" s="238"/>
      <c r="EK44" s="238"/>
      <c r="EL44" s="238"/>
      <c r="EM44" s="238"/>
      <c r="EN44" s="238"/>
      <c r="EO44" s="238"/>
      <c r="EP44" s="238"/>
      <c r="EQ44" s="238"/>
      <c r="ER44" s="273"/>
      <c r="ES44" s="316">
        <f t="shared" si="2"/>
        <v>0</v>
      </c>
      <c r="ET44" s="317">
        <f t="shared" ref="ET44:FD44" si="32">SUM(J44:S44)</f>
        <v>0</v>
      </c>
      <c r="EU44" s="317">
        <f t="shared" si="32"/>
        <v>0</v>
      </c>
      <c r="EV44" s="317">
        <f t="shared" si="32"/>
        <v>0</v>
      </c>
      <c r="EW44" s="317">
        <f t="shared" si="16"/>
        <v>0</v>
      </c>
      <c r="EX44" s="317">
        <f t="shared" si="32"/>
        <v>0</v>
      </c>
      <c r="EY44" s="317">
        <f t="shared" si="32"/>
        <v>0</v>
      </c>
      <c r="EZ44" s="317">
        <f t="shared" si="32"/>
        <v>0</v>
      </c>
      <c r="FA44" s="317">
        <f t="shared" si="32"/>
        <v>0</v>
      </c>
      <c r="FB44" s="317">
        <f t="shared" si="32"/>
        <v>0</v>
      </c>
      <c r="FC44" s="317">
        <f t="shared" si="32"/>
        <v>0</v>
      </c>
      <c r="FD44" s="317">
        <f t="shared" si="32"/>
        <v>0</v>
      </c>
      <c r="FE44" s="317">
        <f t="shared" si="12"/>
        <v>0</v>
      </c>
      <c r="FF44" s="317">
        <f t="shared" si="13"/>
        <v>0</v>
      </c>
      <c r="FG44" s="318">
        <f t="shared" si="18"/>
        <v>42</v>
      </c>
      <c r="FH44" s="319">
        <f t="shared" si="14"/>
        <v>0</v>
      </c>
      <c r="FI44" s="319">
        <f>SUM(I7:ER7)-SUM(ES44:FF44)</f>
        <v>128</v>
      </c>
      <c r="FJ44" s="319">
        <f t="shared" si="15"/>
        <v>128</v>
      </c>
      <c r="FK44" s="7"/>
    </row>
    <row r="45" spans="1:167" ht="15.75" customHeight="1">
      <c r="A45" s="2"/>
      <c r="B45" s="3">
        <f t="shared" si="0"/>
        <v>0</v>
      </c>
      <c r="C45" s="182">
        <f t="shared" si="1"/>
        <v>38</v>
      </c>
      <c r="D45" s="184"/>
      <c r="E45" s="203"/>
      <c r="F45" s="203"/>
      <c r="G45" s="571">
        <v>45915</v>
      </c>
      <c r="H45" s="572"/>
      <c r="I45" s="214"/>
      <c r="J45" s="207"/>
      <c r="K45" s="207"/>
      <c r="L45" s="207"/>
      <c r="M45" s="207"/>
      <c r="N45" s="207"/>
      <c r="O45" s="207"/>
      <c r="P45" s="207"/>
      <c r="Q45" s="207"/>
      <c r="R45" s="215"/>
      <c r="S45" s="226"/>
      <c r="T45" s="227"/>
      <c r="U45" s="227"/>
      <c r="V45" s="227"/>
      <c r="W45" s="227"/>
      <c r="X45" s="227"/>
      <c r="Y45" s="247"/>
      <c r="Z45" s="248"/>
      <c r="AA45" s="249"/>
      <c r="AB45" s="228"/>
      <c r="AC45" s="264"/>
      <c r="AD45" s="178"/>
      <c r="AE45" s="178"/>
      <c r="AF45" s="178"/>
      <c r="AG45" s="582"/>
      <c r="AH45" s="583"/>
      <c r="AI45" s="178"/>
      <c r="AJ45" s="178"/>
      <c r="AK45" s="178"/>
      <c r="AL45" s="265"/>
      <c r="AM45" s="237"/>
      <c r="AN45" s="271"/>
      <c r="AO45" s="238"/>
      <c r="AP45" s="238"/>
      <c r="AQ45" s="238"/>
      <c r="AR45" s="238"/>
      <c r="AS45" s="238"/>
      <c r="AT45" s="238"/>
      <c r="AU45" s="238"/>
      <c r="AV45" s="273"/>
      <c r="AW45" s="277"/>
      <c r="AX45" s="278"/>
      <c r="AY45" s="278"/>
      <c r="AZ45" s="129"/>
      <c r="BA45" s="278"/>
      <c r="BB45" s="278"/>
      <c r="BC45" s="278"/>
      <c r="BD45" s="129"/>
      <c r="BE45" s="278"/>
      <c r="BF45" s="281"/>
      <c r="BG45" s="214"/>
      <c r="BH45" s="207"/>
      <c r="BI45" s="207"/>
      <c r="BJ45" s="207"/>
      <c r="BK45" s="207"/>
      <c r="BL45" s="207"/>
      <c r="BM45" s="207"/>
      <c r="BN45" s="207"/>
      <c r="BO45" s="207"/>
      <c r="BP45" s="215"/>
      <c r="BQ45" s="226"/>
      <c r="BR45" s="227"/>
      <c r="BS45" s="227"/>
      <c r="BT45" s="227"/>
      <c r="BU45" s="227"/>
      <c r="BV45" s="227"/>
      <c r="BW45" s="227"/>
      <c r="BX45" s="227"/>
      <c r="BY45" s="227"/>
      <c r="BZ45" s="228"/>
      <c r="CA45" s="537"/>
      <c r="CB45" s="538"/>
      <c r="CC45" s="538"/>
      <c r="CD45" s="538"/>
      <c r="CE45" s="538"/>
      <c r="CF45" s="538"/>
      <c r="CG45" s="538"/>
      <c r="CH45" s="538"/>
      <c r="CI45" s="538"/>
      <c r="CJ45" s="538"/>
      <c r="CK45" s="237"/>
      <c r="CL45" s="238"/>
      <c r="CM45" s="238"/>
      <c r="CN45" s="238"/>
      <c r="CO45" s="238"/>
      <c r="CP45" s="238"/>
      <c r="CQ45" s="238"/>
      <c r="CR45" s="238"/>
      <c r="CS45" s="238"/>
      <c r="CT45" s="273"/>
      <c r="CU45" s="295"/>
      <c r="CV45" s="296"/>
      <c r="CW45" s="296"/>
      <c r="CX45" s="296"/>
      <c r="CY45" s="296"/>
      <c r="CZ45" s="296"/>
      <c r="DA45" s="296"/>
      <c r="DB45" s="296"/>
      <c r="DC45" s="297"/>
      <c r="DD45" s="298"/>
      <c r="DE45" s="214"/>
      <c r="DF45" s="207"/>
      <c r="DG45" s="207"/>
      <c r="DH45" s="207"/>
      <c r="DI45" s="207"/>
      <c r="DJ45" s="207"/>
      <c r="DK45" s="207"/>
      <c r="DL45" s="207"/>
      <c r="DM45" s="207"/>
      <c r="DN45" s="215"/>
      <c r="DO45" s="226"/>
      <c r="DP45" s="227"/>
      <c r="DQ45" s="227"/>
      <c r="DR45" s="227"/>
      <c r="DS45" s="227"/>
      <c r="DT45" s="227"/>
      <c r="DU45" s="227"/>
      <c r="DV45" s="227"/>
      <c r="DW45" s="227"/>
      <c r="DX45" s="228"/>
      <c r="DY45" s="90"/>
      <c r="DZ45" s="91"/>
      <c r="EA45" s="91"/>
      <c r="EB45" s="91"/>
      <c r="EC45" s="91"/>
      <c r="ED45" s="91"/>
      <c r="EE45" s="91"/>
      <c r="EF45" s="91"/>
      <c r="EG45" s="91"/>
      <c r="EH45" s="92"/>
      <c r="EI45" s="237"/>
      <c r="EJ45" s="238"/>
      <c r="EK45" s="238"/>
      <c r="EL45" s="238"/>
      <c r="EM45" s="238"/>
      <c r="EN45" s="238"/>
      <c r="EO45" s="238"/>
      <c r="EP45" s="238"/>
      <c r="EQ45" s="238"/>
      <c r="ER45" s="273"/>
      <c r="ES45" s="316">
        <f t="shared" si="2"/>
        <v>0</v>
      </c>
      <c r="ET45" s="317">
        <f t="shared" ref="ET45:FD45" si="33">SUM(J45:S45)</f>
        <v>0</v>
      </c>
      <c r="EU45" s="317">
        <f t="shared" si="33"/>
        <v>0</v>
      </c>
      <c r="EV45" s="317">
        <f t="shared" si="33"/>
        <v>0</v>
      </c>
      <c r="EW45" s="317">
        <f t="shared" si="16"/>
        <v>0</v>
      </c>
      <c r="EX45" s="317">
        <f t="shared" si="33"/>
        <v>0</v>
      </c>
      <c r="EY45" s="317">
        <f t="shared" si="33"/>
        <v>0</v>
      </c>
      <c r="EZ45" s="317">
        <f t="shared" si="33"/>
        <v>0</v>
      </c>
      <c r="FA45" s="317">
        <f t="shared" si="33"/>
        <v>0</v>
      </c>
      <c r="FB45" s="317">
        <f t="shared" si="33"/>
        <v>0</v>
      </c>
      <c r="FC45" s="317">
        <f t="shared" si="33"/>
        <v>0</v>
      </c>
      <c r="FD45" s="317">
        <f t="shared" si="33"/>
        <v>0</v>
      </c>
      <c r="FE45" s="317">
        <f t="shared" si="12"/>
        <v>0</v>
      </c>
      <c r="FF45" s="317">
        <f t="shared" si="13"/>
        <v>0</v>
      </c>
      <c r="FG45" s="318">
        <f t="shared" si="18"/>
        <v>43</v>
      </c>
      <c r="FH45" s="319">
        <f t="shared" si="14"/>
        <v>0</v>
      </c>
      <c r="FI45" s="319">
        <f>SUM(I7:ER7)-SUM(ES45:FF45)</f>
        <v>128</v>
      </c>
      <c r="FJ45" s="319">
        <f t="shared" si="15"/>
        <v>128</v>
      </c>
      <c r="FK45" s="7"/>
    </row>
    <row r="46" spans="1:167" ht="15.75" customHeight="1">
      <c r="A46" s="2"/>
      <c r="B46" s="3">
        <f t="shared" si="0"/>
        <v>0</v>
      </c>
      <c r="C46" s="182">
        <f t="shared" si="1"/>
        <v>39</v>
      </c>
      <c r="D46" s="184"/>
      <c r="E46" s="203"/>
      <c r="F46" s="203"/>
      <c r="G46" s="571">
        <v>45915</v>
      </c>
      <c r="H46" s="572"/>
      <c r="I46" s="214"/>
      <c r="J46" s="207"/>
      <c r="K46" s="207"/>
      <c r="L46" s="207"/>
      <c r="M46" s="207"/>
      <c r="N46" s="207"/>
      <c r="O46" s="207"/>
      <c r="P46" s="207"/>
      <c r="Q46" s="207"/>
      <c r="R46" s="215"/>
      <c r="S46" s="226"/>
      <c r="T46" s="227"/>
      <c r="U46" s="227"/>
      <c r="V46" s="227"/>
      <c r="W46" s="227"/>
      <c r="X46" s="227"/>
      <c r="Y46" s="247"/>
      <c r="Z46" s="248"/>
      <c r="AA46" s="249"/>
      <c r="AB46" s="228"/>
      <c r="AC46" s="264"/>
      <c r="AD46" s="178"/>
      <c r="AE46" s="178"/>
      <c r="AF46" s="178"/>
      <c r="AG46" s="582"/>
      <c r="AH46" s="583"/>
      <c r="AI46" s="178"/>
      <c r="AJ46" s="178"/>
      <c r="AK46" s="178"/>
      <c r="AL46" s="265"/>
      <c r="AM46" s="237"/>
      <c r="AN46" s="271"/>
      <c r="AO46" s="238"/>
      <c r="AP46" s="238"/>
      <c r="AQ46" s="238"/>
      <c r="AR46" s="238"/>
      <c r="AS46" s="238"/>
      <c r="AT46" s="238"/>
      <c r="AU46" s="238"/>
      <c r="AV46" s="273"/>
      <c r="AW46" s="277"/>
      <c r="AX46" s="278"/>
      <c r="AY46" s="278"/>
      <c r="AZ46" s="129"/>
      <c r="BA46" s="278"/>
      <c r="BB46" s="278"/>
      <c r="BC46" s="278"/>
      <c r="BD46" s="129"/>
      <c r="BE46" s="278"/>
      <c r="BF46" s="281"/>
      <c r="BG46" s="214"/>
      <c r="BH46" s="207"/>
      <c r="BI46" s="207"/>
      <c r="BJ46" s="207"/>
      <c r="BK46" s="207"/>
      <c r="BL46" s="207"/>
      <c r="BM46" s="207"/>
      <c r="BN46" s="207"/>
      <c r="BO46" s="207"/>
      <c r="BP46" s="215"/>
      <c r="BQ46" s="226"/>
      <c r="BR46" s="227"/>
      <c r="BS46" s="227"/>
      <c r="BT46" s="227"/>
      <c r="BU46" s="227"/>
      <c r="BV46" s="227"/>
      <c r="BW46" s="227"/>
      <c r="BX46" s="227"/>
      <c r="BY46" s="227"/>
      <c r="BZ46" s="228"/>
      <c r="CA46" s="537"/>
      <c r="CB46" s="538"/>
      <c r="CC46" s="538"/>
      <c r="CD46" s="538"/>
      <c r="CE46" s="538"/>
      <c r="CF46" s="538"/>
      <c r="CG46" s="538"/>
      <c r="CH46" s="538"/>
      <c r="CI46" s="538"/>
      <c r="CJ46" s="538"/>
      <c r="CK46" s="237"/>
      <c r="CL46" s="238"/>
      <c r="CM46" s="238"/>
      <c r="CN46" s="238"/>
      <c r="CO46" s="238"/>
      <c r="CP46" s="238"/>
      <c r="CQ46" s="238"/>
      <c r="CR46" s="238"/>
      <c r="CS46" s="238"/>
      <c r="CT46" s="273"/>
      <c r="CU46" s="295"/>
      <c r="CV46" s="296"/>
      <c r="CW46" s="296"/>
      <c r="CX46" s="296"/>
      <c r="CY46" s="296"/>
      <c r="CZ46" s="296"/>
      <c r="DA46" s="296"/>
      <c r="DB46" s="296"/>
      <c r="DC46" s="297"/>
      <c r="DD46" s="298"/>
      <c r="DE46" s="214"/>
      <c r="DF46" s="207"/>
      <c r="DG46" s="207"/>
      <c r="DH46" s="207"/>
      <c r="DI46" s="207"/>
      <c r="DJ46" s="207"/>
      <c r="DK46" s="207"/>
      <c r="DL46" s="207"/>
      <c r="DM46" s="207"/>
      <c r="DN46" s="215"/>
      <c r="DO46" s="226"/>
      <c r="DP46" s="227"/>
      <c r="DQ46" s="227"/>
      <c r="DR46" s="227"/>
      <c r="DS46" s="227"/>
      <c r="DT46" s="227"/>
      <c r="DU46" s="227"/>
      <c r="DV46" s="227"/>
      <c r="DW46" s="227"/>
      <c r="DX46" s="228"/>
      <c r="DY46" s="90"/>
      <c r="DZ46" s="91"/>
      <c r="EA46" s="91"/>
      <c r="EB46" s="91"/>
      <c r="EC46" s="91"/>
      <c r="ED46" s="91"/>
      <c r="EE46" s="91"/>
      <c r="EF46" s="91"/>
      <c r="EG46" s="91"/>
      <c r="EH46" s="92"/>
      <c r="EI46" s="237"/>
      <c r="EJ46" s="238"/>
      <c r="EK46" s="238"/>
      <c r="EL46" s="238"/>
      <c r="EM46" s="238"/>
      <c r="EN46" s="238"/>
      <c r="EO46" s="238"/>
      <c r="EP46" s="238"/>
      <c r="EQ46" s="238"/>
      <c r="ER46" s="273"/>
      <c r="ES46" s="316">
        <f t="shared" si="2"/>
        <v>0</v>
      </c>
      <c r="ET46" s="317">
        <f t="shared" ref="ET46:FD46" si="34">SUM(J46:S46)</f>
        <v>0</v>
      </c>
      <c r="EU46" s="317">
        <f t="shared" si="34"/>
        <v>0</v>
      </c>
      <c r="EV46" s="317">
        <f t="shared" si="34"/>
        <v>0</v>
      </c>
      <c r="EW46" s="317">
        <f t="shared" si="16"/>
        <v>0</v>
      </c>
      <c r="EX46" s="317">
        <f t="shared" si="34"/>
        <v>0</v>
      </c>
      <c r="EY46" s="317">
        <f t="shared" si="34"/>
        <v>0</v>
      </c>
      <c r="EZ46" s="317">
        <f t="shared" si="34"/>
        <v>0</v>
      </c>
      <c r="FA46" s="317">
        <f t="shared" si="34"/>
        <v>0</v>
      </c>
      <c r="FB46" s="317">
        <f t="shared" si="34"/>
        <v>0</v>
      </c>
      <c r="FC46" s="317">
        <f t="shared" si="34"/>
        <v>0</v>
      </c>
      <c r="FD46" s="317">
        <f t="shared" si="34"/>
        <v>0</v>
      </c>
      <c r="FE46" s="317">
        <f t="shared" si="12"/>
        <v>0</v>
      </c>
      <c r="FF46" s="317">
        <f t="shared" si="13"/>
        <v>0</v>
      </c>
      <c r="FG46" s="318">
        <f t="shared" si="18"/>
        <v>44</v>
      </c>
      <c r="FH46" s="319">
        <f t="shared" si="14"/>
        <v>0</v>
      </c>
      <c r="FI46" s="319">
        <f>SUM(I7:ER7)-SUM(ES46:FF46)</f>
        <v>128</v>
      </c>
      <c r="FJ46" s="319">
        <f t="shared" si="15"/>
        <v>128</v>
      </c>
      <c r="FK46" s="7"/>
    </row>
    <row r="47" spans="1:167" ht="15.75" customHeight="1">
      <c r="A47" s="2"/>
      <c r="B47" s="3">
        <f t="shared" si="0"/>
        <v>0</v>
      </c>
      <c r="C47" s="182">
        <f t="shared" si="1"/>
        <v>40</v>
      </c>
      <c r="D47" s="184"/>
      <c r="E47" s="203"/>
      <c r="F47" s="203"/>
      <c r="G47" s="571">
        <v>45915</v>
      </c>
      <c r="H47" s="572"/>
      <c r="I47" s="214"/>
      <c r="J47" s="207"/>
      <c r="K47" s="207"/>
      <c r="L47" s="207"/>
      <c r="M47" s="207"/>
      <c r="N47" s="207"/>
      <c r="O47" s="207"/>
      <c r="P47" s="207"/>
      <c r="Q47" s="207"/>
      <c r="R47" s="215"/>
      <c r="S47" s="226"/>
      <c r="T47" s="227"/>
      <c r="U47" s="227"/>
      <c r="V47" s="227"/>
      <c r="W47" s="227"/>
      <c r="X47" s="227"/>
      <c r="Y47" s="247"/>
      <c r="Z47" s="248"/>
      <c r="AA47" s="249"/>
      <c r="AB47" s="228"/>
      <c r="AC47" s="264"/>
      <c r="AD47" s="178"/>
      <c r="AE47" s="178"/>
      <c r="AF47" s="178"/>
      <c r="AG47" s="582"/>
      <c r="AH47" s="583"/>
      <c r="AI47" s="178"/>
      <c r="AJ47" s="178"/>
      <c r="AK47" s="178"/>
      <c r="AL47" s="265"/>
      <c r="AM47" s="237"/>
      <c r="AN47" s="271"/>
      <c r="AO47" s="238"/>
      <c r="AP47" s="238"/>
      <c r="AQ47" s="238"/>
      <c r="AR47" s="238"/>
      <c r="AS47" s="238"/>
      <c r="AT47" s="238"/>
      <c r="AU47" s="238"/>
      <c r="AV47" s="273"/>
      <c r="AW47" s="277"/>
      <c r="AX47" s="278"/>
      <c r="AY47" s="278"/>
      <c r="AZ47" s="129"/>
      <c r="BA47" s="278"/>
      <c r="BB47" s="278"/>
      <c r="BC47" s="278"/>
      <c r="BD47" s="129"/>
      <c r="BE47" s="278"/>
      <c r="BF47" s="281"/>
      <c r="BG47" s="214"/>
      <c r="BH47" s="207"/>
      <c r="BI47" s="207"/>
      <c r="BJ47" s="207"/>
      <c r="BK47" s="207"/>
      <c r="BL47" s="207"/>
      <c r="BM47" s="207"/>
      <c r="BN47" s="207"/>
      <c r="BO47" s="207"/>
      <c r="BP47" s="215"/>
      <c r="BQ47" s="226"/>
      <c r="BR47" s="227"/>
      <c r="BS47" s="227"/>
      <c r="BT47" s="227"/>
      <c r="BU47" s="227"/>
      <c r="BV47" s="227"/>
      <c r="BW47" s="227"/>
      <c r="BX47" s="227"/>
      <c r="BY47" s="227"/>
      <c r="BZ47" s="228"/>
      <c r="CA47" s="537"/>
      <c r="CB47" s="538"/>
      <c r="CC47" s="538"/>
      <c r="CD47" s="538"/>
      <c r="CE47" s="538"/>
      <c r="CF47" s="538"/>
      <c r="CG47" s="538"/>
      <c r="CH47" s="538"/>
      <c r="CI47" s="538"/>
      <c r="CJ47" s="538"/>
      <c r="CK47" s="237"/>
      <c r="CL47" s="238"/>
      <c r="CM47" s="238"/>
      <c r="CN47" s="238"/>
      <c r="CO47" s="238"/>
      <c r="CP47" s="238"/>
      <c r="CQ47" s="238"/>
      <c r="CR47" s="238"/>
      <c r="CS47" s="238"/>
      <c r="CT47" s="273"/>
      <c r="CU47" s="295"/>
      <c r="CV47" s="296"/>
      <c r="CW47" s="296"/>
      <c r="CX47" s="296"/>
      <c r="CY47" s="296"/>
      <c r="CZ47" s="296"/>
      <c r="DA47" s="296"/>
      <c r="DB47" s="296"/>
      <c r="DC47" s="297"/>
      <c r="DD47" s="298"/>
      <c r="DE47" s="214"/>
      <c r="DF47" s="207"/>
      <c r="DG47" s="207"/>
      <c r="DH47" s="207"/>
      <c r="DI47" s="207"/>
      <c r="DJ47" s="207"/>
      <c r="DK47" s="207"/>
      <c r="DL47" s="207"/>
      <c r="DM47" s="207"/>
      <c r="DN47" s="215"/>
      <c r="DO47" s="226"/>
      <c r="DP47" s="227"/>
      <c r="DQ47" s="227"/>
      <c r="DR47" s="227"/>
      <c r="DS47" s="227"/>
      <c r="DT47" s="227"/>
      <c r="DU47" s="227"/>
      <c r="DV47" s="227"/>
      <c r="DW47" s="227"/>
      <c r="DX47" s="228"/>
      <c r="DY47" s="90"/>
      <c r="DZ47" s="91"/>
      <c r="EA47" s="91"/>
      <c r="EB47" s="91"/>
      <c r="EC47" s="91"/>
      <c r="ED47" s="91"/>
      <c r="EE47" s="91"/>
      <c r="EF47" s="91"/>
      <c r="EG47" s="91"/>
      <c r="EH47" s="92"/>
      <c r="EI47" s="237"/>
      <c r="EJ47" s="238"/>
      <c r="EK47" s="238"/>
      <c r="EL47" s="238"/>
      <c r="EM47" s="238"/>
      <c r="EN47" s="238"/>
      <c r="EO47" s="238"/>
      <c r="EP47" s="238"/>
      <c r="EQ47" s="238"/>
      <c r="ER47" s="273"/>
      <c r="ES47" s="316">
        <f t="shared" si="2"/>
        <v>0</v>
      </c>
      <c r="ET47" s="317">
        <f t="shared" ref="ET47:FD47" si="35">SUM(J47:S47)</f>
        <v>0</v>
      </c>
      <c r="EU47" s="317">
        <f t="shared" si="35"/>
        <v>0</v>
      </c>
      <c r="EV47" s="317">
        <f t="shared" si="35"/>
        <v>0</v>
      </c>
      <c r="EW47" s="317">
        <f t="shared" si="16"/>
        <v>0</v>
      </c>
      <c r="EX47" s="317">
        <f t="shared" si="35"/>
        <v>0</v>
      </c>
      <c r="EY47" s="317">
        <f t="shared" si="35"/>
        <v>0</v>
      </c>
      <c r="EZ47" s="317">
        <f t="shared" si="35"/>
        <v>0</v>
      </c>
      <c r="FA47" s="317">
        <f t="shared" si="35"/>
        <v>0</v>
      </c>
      <c r="FB47" s="317">
        <f t="shared" si="35"/>
        <v>0</v>
      </c>
      <c r="FC47" s="317">
        <f t="shared" si="35"/>
        <v>0</v>
      </c>
      <c r="FD47" s="317">
        <f t="shared" si="35"/>
        <v>0</v>
      </c>
      <c r="FE47" s="317">
        <f t="shared" si="12"/>
        <v>0</v>
      </c>
      <c r="FF47" s="317">
        <f t="shared" si="13"/>
        <v>0</v>
      </c>
      <c r="FG47" s="318">
        <f t="shared" si="18"/>
        <v>45</v>
      </c>
      <c r="FH47" s="319">
        <f t="shared" si="14"/>
        <v>0</v>
      </c>
      <c r="FI47" s="319">
        <f>SUM(I7:ER7)-SUM(ES47:FF47)</f>
        <v>128</v>
      </c>
      <c r="FJ47" s="319">
        <f t="shared" si="15"/>
        <v>128</v>
      </c>
      <c r="FK47" s="7"/>
    </row>
    <row r="48" spans="1:167" ht="15.75" customHeight="1">
      <c r="A48" s="2"/>
      <c r="B48" s="3">
        <f t="shared" si="0"/>
        <v>0</v>
      </c>
      <c r="C48" s="182">
        <f t="shared" si="1"/>
        <v>41</v>
      </c>
      <c r="D48" s="184"/>
      <c r="E48" s="203"/>
      <c r="F48" s="203"/>
      <c r="G48" s="571">
        <v>45915</v>
      </c>
      <c r="H48" s="572"/>
      <c r="I48" s="214"/>
      <c r="J48" s="207"/>
      <c r="K48" s="207"/>
      <c r="L48" s="207"/>
      <c r="M48" s="207"/>
      <c r="N48" s="207"/>
      <c r="O48" s="207"/>
      <c r="P48" s="207"/>
      <c r="Q48" s="207"/>
      <c r="R48" s="215"/>
      <c r="S48" s="226"/>
      <c r="T48" s="227"/>
      <c r="U48" s="227"/>
      <c r="V48" s="227"/>
      <c r="W48" s="227"/>
      <c r="X48" s="227"/>
      <c r="Y48" s="247"/>
      <c r="Z48" s="248"/>
      <c r="AA48" s="249"/>
      <c r="AB48" s="228"/>
      <c r="AC48" s="264"/>
      <c r="AD48" s="178"/>
      <c r="AE48" s="178"/>
      <c r="AF48" s="178"/>
      <c r="AG48" s="582"/>
      <c r="AH48" s="583"/>
      <c r="AI48" s="178"/>
      <c r="AJ48" s="178"/>
      <c r="AK48" s="178"/>
      <c r="AL48" s="265"/>
      <c r="AM48" s="237"/>
      <c r="AN48" s="271"/>
      <c r="AO48" s="238"/>
      <c r="AP48" s="238"/>
      <c r="AQ48" s="238"/>
      <c r="AR48" s="238"/>
      <c r="AS48" s="238"/>
      <c r="AT48" s="238"/>
      <c r="AU48" s="238"/>
      <c r="AV48" s="273"/>
      <c r="AW48" s="277"/>
      <c r="AX48" s="278"/>
      <c r="AY48" s="278"/>
      <c r="AZ48" s="129"/>
      <c r="BA48" s="278"/>
      <c r="BB48" s="278"/>
      <c r="BC48" s="278"/>
      <c r="BD48" s="129"/>
      <c r="BE48" s="278"/>
      <c r="BF48" s="281"/>
      <c r="BG48" s="214"/>
      <c r="BH48" s="207"/>
      <c r="BI48" s="207"/>
      <c r="BJ48" s="207"/>
      <c r="BK48" s="207"/>
      <c r="BL48" s="207"/>
      <c r="BM48" s="207"/>
      <c r="BN48" s="207"/>
      <c r="BO48" s="207"/>
      <c r="BP48" s="215"/>
      <c r="BQ48" s="226"/>
      <c r="BR48" s="227"/>
      <c r="BS48" s="227"/>
      <c r="BT48" s="227"/>
      <c r="BU48" s="227"/>
      <c r="BV48" s="227"/>
      <c r="BW48" s="227"/>
      <c r="BX48" s="227"/>
      <c r="BY48" s="227"/>
      <c r="BZ48" s="228"/>
      <c r="CA48" s="537"/>
      <c r="CB48" s="538"/>
      <c r="CC48" s="538"/>
      <c r="CD48" s="538"/>
      <c r="CE48" s="538"/>
      <c r="CF48" s="538"/>
      <c r="CG48" s="538"/>
      <c r="CH48" s="538"/>
      <c r="CI48" s="538"/>
      <c r="CJ48" s="538"/>
      <c r="CK48" s="237"/>
      <c r="CL48" s="238"/>
      <c r="CM48" s="238"/>
      <c r="CN48" s="238"/>
      <c r="CO48" s="238"/>
      <c r="CP48" s="238"/>
      <c r="CQ48" s="238"/>
      <c r="CR48" s="238"/>
      <c r="CS48" s="238"/>
      <c r="CT48" s="273"/>
      <c r="CU48" s="295"/>
      <c r="CV48" s="296"/>
      <c r="CW48" s="296"/>
      <c r="CX48" s="296"/>
      <c r="CY48" s="296"/>
      <c r="CZ48" s="296"/>
      <c r="DA48" s="296"/>
      <c r="DB48" s="296"/>
      <c r="DC48" s="297"/>
      <c r="DD48" s="298"/>
      <c r="DE48" s="214"/>
      <c r="DF48" s="207"/>
      <c r="DG48" s="207"/>
      <c r="DH48" s="207"/>
      <c r="DI48" s="207"/>
      <c r="DJ48" s="207"/>
      <c r="DK48" s="207"/>
      <c r="DL48" s="207"/>
      <c r="DM48" s="207"/>
      <c r="DN48" s="215"/>
      <c r="DO48" s="226"/>
      <c r="DP48" s="227"/>
      <c r="DQ48" s="227"/>
      <c r="DR48" s="227"/>
      <c r="DS48" s="227"/>
      <c r="DT48" s="227"/>
      <c r="DU48" s="227"/>
      <c r="DV48" s="227"/>
      <c r="DW48" s="227"/>
      <c r="DX48" s="228"/>
      <c r="DY48" s="90"/>
      <c r="DZ48" s="91"/>
      <c r="EA48" s="91"/>
      <c r="EB48" s="91"/>
      <c r="EC48" s="91"/>
      <c r="ED48" s="91"/>
      <c r="EE48" s="91"/>
      <c r="EF48" s="91"/>
      <c r="EG48" s="91"/>
      <c r="EH48" s="92"/>
      <c r="EI48" s="237"/>
      <c r="EJ48" s="238"/>
      <c r="EK48" s="238"/>
      <c r="EL48" s="238"/>
      <c r="EM48" s="238"/>
      <c r="EN48" s="238"/>
      <c r="EO48" s="238"/>
      <c r="EP48" s="238"/>
      <c r="EQ48" s="238"/>
      <c r="ER48" s="273"/>
      <c r="ES48" s="316">
        <f t="shared" si="2"/>
        <v>0</v>
      </c>
      <c r="ET48" s="317">
        <f t="shared" ref="ET48:FD48" si="36">SUM(J48:S48)</f>
        <v>0</v>
      </c>
      <c r="EU48" s="317">
        <f t="shared" si="36"/>
        <v>0</v>
      </c>
      <c r="EV48" s="317">
        <f t="shared" si="36"/>
        <v>0</v>
      </c>
      <c r="EW48" s="317">
        <f t="shared" si="16"/>
        <v>0</v>
      </c>
      <c r="EX48" s="317">
        <f t="shared" si="36"/>
        <v>0</v>
      </c>
      <c r="EY48" s="317">
        <f t="shared" si="36"/>
        <v>0</v>
      </c>
      <c r="EZ48" s="317">
        <f t="shared" si="36"/>
        <v>0</v>
      </c>
      <c r="FA48" s="317">
        <f t="shared" si="36"/>
        <v>0</v>
      </c>
      <c r="FB48" s="317">
        <f t="shared" si="36"/>
        <v>0</v>
      </c>
      <c r="FC48" s="317">
        <f t="shared" si="36"/>
        <v>0</v>
      </c>
      <c r="FD48" s="317">
        <f t="shared" si="36"/>
        <v>0</v>
      </c>
      <c r="FE48" s="317">
        <f t="shared" si="12"/>
        <v>0</v>
      </c>
      <c r="FF48" s="317">
        <f t="shared" si="13"/>
        <v>0</v>
      </c>
      <c r="FG48" s="318">
        <f t="shared" si="18"/>
        <v>46</v>
      </c>
      <c r="FH48" s="319">
        <f t="shared" si="14"/>
        <v>0</v>
      </c>
      <c r="FI48" s="319">
        <f>SUM(I7:ER7)-SUM(ES48:FF48)</f>
        <v>128</v>
      </c>
      <c r="FJ48" s="319">
        <f t="shared" si="15"/>
        <v>128</v>
      </c>
      <c r="FK48" s="7"/>
    </row>
    <row r="49" spans="1:167" ht="15.75" customHeight="1">
      <c r="A49" s="2"/>
      <c r="B49" s="3">
        <f t="shared" si="0"/>
        <v>0</v>
      </c>
      <c r="C49" s="182">
        <f t="shared" si="1"/>
        <v>42</v>
      </c>
      <c r="D49" s="184"/>
      <c r="E49" s="203"/>
      <c r="F49" s="203"/>
      <c r="G49" s="571">
        <v>45915</v>
      </c>
      <c r="H49" s="572"/>
      <c r="I49" s="214"/>
      <c r="J49" s="207"/>
      <c r="K49" s="207"/>
      <c r="L49" s="207"/>
      <c r="M49" s="207"/>
      <c r="N49" s="207"/>
      <c r="O49" s="207"/>
      <c r="P49" s="207"/>
      <c r="Q49" s="207"/>
      <c r="R49" s="215"/>
      <c r="S49" s="226"/>
      <c r="T49" s="227"/>
      <c r="U49" s="227"/>
      <c r="V49" s="227"/>
      <c r="W49" s="227"/>
      <c r="X49" s="227"/>
      <c r="Y49" s="247"/>
      <c r="Z49" s="248"/>
      <c r="AA49" s="249"/>
      <c r="AB49" s="228"/>
      <c r="AC49" s="264"/>
      <c r="AD49" s="178"/>
      <c r="AE49" s="178"/>
      <c r="AF49" s="178"/>
      <c r="AG49" s="582"/>
      <c r="AH49" s="583"/>
      <c r="AI49" s="178"/>
      <c r="AJ49" s="178"/>
      <c r="AK49" s="178"/>
      <c r="AL49" s="265"/>
      <c r="AM49" s="237"/>
      <c r="AN49" s="271"/>
      <c r="AO49" s="238"/>
      <c r="AP49" s="238"/>
      <c r="AQ49" s="238"/>
      <c r="AR49" s="238"/>
      <c r="AS49" s="238"/>
      <c r="AT49" s="238"/>
      <c r="AU49" s="238"/>
      <c r="AV49" s="273"/>
      <c r="AW49" s="277"/>
      <c r="AX49" s="278"/>
      <c r="AY49" s="278"/>
      <c r="AZ49" s="129"/>
      <c r="BA49" s="278"/>
      <c r="BB49" s="278"/>
      <c r="BC49" s="278"/>
      <c r="BD49" s="129"/>
      <c r="BE49" s="278"/>
      <c r="BF49" s="281"/>
      <c r="BG49" s="214"/>
      <c r="BH49" s="207"/>
      <c r="BI49" s="207"/>
      <c r="BJ49" s="207"/>
      <c r="BK49" s="207"/>
      <c r="BL49" s="207"/>
      <c r="BM49" s="207"/>
      <c r="BN49" s="207"/>
      <c r="BO49" s="207"/>
      <c r="BP49" s="215"/>
      <c r="BQ49" s="226"/>
      <c r="BR49" s="227"/>
      <c r="BS49" s="227"/>
      <c r="BT49" s="227"/>
      <c r="BU49" s="227"/>
      <c r="BV49" s="227"/>
      <c r="BW49" s="227"/>
      <c r="BX49" s="227"/>
      <c r="BY49" s="227"/>
      <c r="BZ49" s="228"/>
      <c r="CA49" s="537"/>
      <c r="CB49" s="538"/>
      <c r="CC49" s="538"/>
      <c r="CD49" s="538"/>
      <c r="CE49" s="538"/>
      <c r="CF49" s="538"/>
      <c r="CG49" s="538"/>
      <c r="CH49" s="538"/>
      <c r="CI49" s="538"/>
      <c r="CJ49" s="538"/>
      <c r="CK49" s="237"/>
      <c r="CL49" s="238"/>
      <c r="CM49" s="238"/>
      <c r="CN49" s="238"/>
      <c r="CO49" s="238"/>
      <c r="CP49" s="238"/>
      <c r="CQ49" s="238"/>
      <c r="CR49" s="238"/>
      <c r="CS49" s="238"/>
      <c r="CT49" s="273"/>
      <c r="CU49" s="295"/>
      <c r="CV49" s="296"/>
      <c r="CW49" s="296"/>
      <c r="CX49" s="296"/>
      <c r="CY49" s="296"/>
      <c r="CZ49" s="296"/>
      <c r="DA49" s="296"/>
      <c r="DB49" s="296"/>
      <c r="DC49" s="297"/>
      <c r="DD49" s="298"/>
      <c r="DE49" s="214"/>
      <c r="DF49" s="207"/>
      <c r="DG49" s="207"/>
      <c r="DH49" s="207"/>
      <c r="DI49" s="207"/>
      <c r="DJ49" s="207"/>
      <c r="DK49" s="207"/>
      <c r="DL49" s="207"/>
      <c r="DM49" s="207"/>
      <c r="DN49" s="215"/>
      <c r="DO49" s="226"/>
      <c r="DP49" s="227"/>
      <c r="DQ49" s="227"/>
      <c r="DR49" s="227"/>
      <c r="DS49" s="227"/>
      <c r="DT49" s="227"/>
      <c r="DU49" s="227"/>
      <c r="DV49" s="227"/>
      <c r="DW49" s="227"/>
      <c r="DX49" s="228"/>
      <c r="DY49" s="90"/>
      <c r="DZ49" s="91"/>
      <c r="EA49" s="91"/>
      <c r="EB49" s="91"/>
      <c r="EC49" s="91"/>
      <c r="ED49" s="91"/>
      <c r="EE49" s="91"/>
      <c r="EF49" s="91"/>
      <c r="EG49" s="91"/>
      <c r="EH49" s="92"/>
      <c r="EI49" s="237"/>
      <c r="EJ49" s="238"/>
      <c r="EK49" s="238"/>
      <c r="EL49" s="238"/>
      <c r="EM49" s="238"/>
      <c r="EN49" s="238"/>
      <c r="EO49" s="238"/>
      <c r="EP49" s="238"/>
      <c r="EQ49" s="238"/>
      <c r="ER49" s="273"/>
      <c r="ES49" s="316">
        <f t="shared" si="2"/>
        <v>0</v>
      </c>
      <c r="ET49" s="317">
        <f t="shared" ref="ET49:FD49" si="37">SUM(J49:S49)</f>
        <v>0</v>
      </c>
      <c r="EU49" s="317">
        <f t="shared" si="37"/>
        <v>0</v>
      </c>
      <c r="EV49" s="317">
        <f t="shared" si="37"/>
        <v>0</v>
      </c>
      <c r="EW49" s="317">
        <f t="shared" si="16"/>
        <v>0</v>
      </c>
      <c r="EX49" s="317">
        <f t="shared" si="37"/>
        <v>0</v>
      </c>
      <c r="EY49" s="317">
        <f t="shared" si="37"/>
        <v>0</v>
      </c>
      <c r="EZ49" s="317">
        <f t="shared" si="37"/>
        <v>0</v>
      </c>
      <c r="FA49" s="317">
        <f t="shared" si="37"/>
        <v>0</v>
      </c>
      <c r="FB49" s="317">
        <f t="shared" si="37"/>
        <v>0</v>
      </c>
      <c r="FC49" s="317">
        <f t="shared" si="37"/>
        <v>0</v>
      </c>
      <c r="FD49" s="317">
        <f t="shared" si="37"/>
        <v>0</v>
      </c>
      <c r="FE49" s="317">
        <f t="shared" si="12"/>
        <v>0</v>
      </c>
      <c r="FF49" s="317">
        <f t="shared" si="13"/>
        <v>0</v>
      </c>
      <c r="FG49" s="318">
        <f t="shared" si="18"/>
        <v>47</v>
      </c>
      <c r="FH49" s="319">
        <f t="shared" si="14"/>
        <v>0</v>
      </c>
      <c r="FI49" s="319">
        <f>SUM(I7:ER7)-SUM(ES49:FF49)</f>
        <v>128</v>
      </c>
      <c r="FJ49" s="319">
        <f t="shared" si="15"/>
        <v>128</v>
      </c>
      <c r="FK49" s="7"/>
    </row>
    <row r="50" spans="1:167" ht="15.75" customHeight="1">
      <c r="A50" s="2"/>
      <c r="B50" s="3">
        <f t="shared" si="0"/>
        <v>0</v>
      </c>
      <c r="C50" s="182">
        <f t="shared" si="1"/>
        <v>43</v>
      </c>
      <c r="D50" s="184"/>
      <c r="E50" s="203"/>
      <c r="F50" s="203"/>
      <c r="G50" s="571">
        <v>45915</v>
      </c>
      <c r="H50" s="572"/>
      <c r="I50" s="214"/>
      <c r="J50" s="207"/>
      <c r="K50" s="207"/>
      <c r="L50" s="207"/>
      <c r="M50" s="207"/>
      <c r="N50" s="207"/>
      <c r="O50" s="207"/>
      <c r="P50" s="207"/>
      <c r="Q50" s="207"/>
      <c r="R50" s="215"/>
      <c r="S50" s="226"/>
      <c r="T50" s="227"/>
      <c r="U50" s="227"/>
      <c r="V50" s="227"/>
      <c r="W50" s="227"/>
      <c r="X50" s="227"/>
      <c r="Y50" s="247"/>
      <c r="Z50" s="248"/>
      <c r="AA50" s="249"/>
      <c r="AB50" s="228"/>
      <c r="AC50" s="264"/>
      <c r="AD50" s="178"/>
      <c r="AE50" s="178"/>
      <c r="AF50" s="178"/>
      <c r="AG50" s="582"/>
      <c r="AH50" s="583"/>
      <c r="AI50" s="178"/>
      <c r="AJ50" s="178"/>
      <c r="AK50" s="178"/>
      <c r="AL50" s="265"/>
      <c r="AM50" s="237"/>
      <c r="AN50" s="271"/>
      <c r="AO50" s="238"/>
      <c r="AP50" s="238"/>
      <c r="AQ50" s="238"/>
      <c r="AR50" s="238"/>
      <c r="AS50" s="238"/>
      <c r="AT50" s="238"/>
      <c r="AU50" s="238"/>
      <c r="AV50" s="273"/>
      <c r="AW50" s="277"/>
      <c r="AX50" s="278"/>
      <c r="AY50" s="278"/>
      <c r="AZ50" s="129"/>
      <c r="BA50" s="278"/>
      <c r="BB50" s="278"/>
      <c r="BC50" s="278"/>
      <c r="BD50" s="129"/>
      <c r="BE50" s="278"/>
      <c r="BF50" s="281"/>
      <c r="BG50" s="214"/>
      <c r="BH50" s="207"/>
      <c r="BI50" s="207"/>
      <c r="BJ50" s="207"/>
      <c r="BK50" s="207"/>
      <c r="BL50" s="207"/>
      <c r="BM50" s="207"/>
      <c r="BN50" s="207"/>
      <c r="BO50" s="207"/>
      <c r="BP50" s="215"/>
      <c r="BQ50" s="226"/>
      <c r="BR50" s="227"/>
      <c r="BS50" s="227"/>
      <c r="BT50" s="227"/>
      <c r="BU50" s="227"/>
      <c r="BV50" s="227"/>
      <c r="BW50" s="227"/>
      <c r="BX50" s="227"/>
      <c r="BY50" s="227"/>
      <c r="BZ50" s="228"/>
      <c r="CA50" s="537"/>
      <c r="CB50" s="538"/>
      <c r="CC50" s="538"/>
      <c r="CD50" s="538"/>
      <c r="CE50" s="538"/>
      <c r="CF50" s="538"/>
      <c r="CG50" s="538"/>
      <c r="CH50" s="538"/>
      <c r="CI50" s="538"/>
      <c r="CJ50" s="538"/>
      <c r="CK50" s="237"/>
      <c r="CL50" s="238"/>
      <c r="CM50" s="238"/>
      <c r="CN50" s="238"/>
      <c r="CO50" s="238"/>
      <c r="CP50" s="238"/>
      <c r="CQ50" s="238"/>
      <c r="CR50" s="238"/>
      <c r="CS50" s="238"/>
      <c r="CT50" s="273"/>
      <c r="CU50" s="295"/>
      <c r="CV50" s="296"/>
      <c r="CW50" s="296"/>
      <c r="CX50" s="296"/>
      <c r="CY50" s="296"/>
      <c r="CZ50" s="296"/>
      <c r="DA50" s="296"/>
      <c r="DB50" s="296"/>
      <c r="DC50" s="297"/>
      <c r="DD50" s="298"/>
      <c r="DE50" s="214"/>
      <c r="DF50" s="207"/>
      <c r="DG50" s="207"/>
      <c r="DH50" s="207"/>
      <c r="DI50" s="207"/>
      <c r="DJ50" s="207"/>
      <c r="DK50" s="207"/>
      <c r="DL50" s="207"/>
      <c r="DM50" s="207"/>
      <c r="DN50" s="215"/>
      <c r="DO50" s="226"/>
      <c r="DP50" s="227"/>
      <c r="DQ50" s="227"/>
      <c r="DR50" s="227"/>
      <c r="DS50" s="227"/>
      <c r="DT50" s="227"/>
      <c r="DU50" s="227"/>
      <c r="DV50" s="227"/>
      <c r="DW50" s="227"/>
      <c r="DX50" s="228"/>
      <c r="DY50" s="90"/>
      <c r="DZ50" s="91"/>
      <c r="EA50" s="91"/>
      <c r="EB50" s="91"/>
      <c r="EC50" s="91"/>
      <c r="ED50" s="91"/>
      <c r="EE50" s="91"/>
      <c r="EF50" s="91"/>
      <c r="EG50" s="91"/>
      <c r="EH50" s="92"/>
      <c r="EI50" s="237"/>
      <c r="EJ50" s="238"/>
      <c r="EK50" s="238"/>
      <c r="EL50" s="238"/>
      <c r="EM50" s="238"/>
      <c r="EN50" s="238"/>
      <c r="EO50" s="238"/>
      <c r="EP50" s="238"/>
      <c r="EQ50" s="238"/>
      <c r="ER50" s="273"/>
      <c r="ES50" s="316">
        <f t="shared" si="2"/>
        <v>0</v>
      </c>
      <c r="ET50" s="317">
        <f t="shared" ref="ET50:FD50" si="38">SUM(J50:S50)</f>
        <v>0</v>
      </c>
      <c r="EU50" s="317">
        <f t="shared" si="38"/>
        <v>0</v>
      </c>
      <c r="EV50" s="317">
        <f t="shared" si="38"/>
        <v>0</v>
      </c>
      <c r="EW50" s="317">
        <f t="shared" si="16"/>
        <v>0</v>
      </c>
      <c r="EX50" s="317">
        <f t="shared" si="38"/>
        <v>0</v>
      </c>
      <c r="EY50" s="317">
        <f t="shared" si="38"/>
        <v>0</v>
      </c>
      <c r="EZ50" s="317">
        <f t="shared" si="38"/>
        <v>0</v>
      </c>
      <c r="FA50" s="317">
        <f t="shared" si="38"/>
        <v>0</v>
      </c>
      <c r="FB50" s="317">
        <f t="shared" si="38"/>
        <v>0</v>
      </c>
      <c r="FC50" s="317">
        <f t="shared" si="38"/>
        <v>0</v>
      </c>
      <c r="FD50" s="317">
        <f t="shared" si="38"/>
        <v>0</v>
      </c>
      <c r="FE50" s="317">
        <f t="shared" si="12"/>
        <v>0</v>
      </c>
      <c r="FF50" s="317">
        <f t="shared" si="13"/>
        <v>0</v>
      </c>
      <c r="FG50" s="318">
        <f t="shared" si="18"/>
        <v>48</v>
      </c>
      <c r="FH50" s="319">
        <f t="shared" si="14"/>
        <v>0</v>
      </c>
      <c r="FI50" s="319">
        <f>SUM(I7:ER7)-SUM(ES50:FF50)</f>
        <v>128</v>
      </c>
      <c r="FJ50" s="319">
        <f t="shared" si="15"/>
        <v>128</v>
      </c>
      <c r="FK50" s="7"/>
    </row>
    <row r="51" spans="1:167" ht="15.75" customHeight="1">
      <c r="A51" s="2"/>
      <c r="B51" s="3">
        <f t="shared" si="0"/>
        <v>0</v>
      </c>
      <c r="C51" s="182">
        <f t="shared" si="1"/>
        <v>44</v>
      </c>
      <c r="D51" s="184"/>
      <c r="E51" s="203"/>
      <c r="F51" s="203"/>
      <c r="G51" s="571">
        <v>45915</v>
      </c>
      <c r="H51" s="572"/>
      <c r="I51" s="214"/>
      <c r="J51" s="207"/>
      <c r="K51" s="207"/>
      <c r="L51" s="207"/>
      <c r="M51" s="207"/>
      <c r="N51" s="207"/>
      <c r="O51" s="207"/>
      <c r="P51" s="207"/>
      <c r="Q51" s="207"/>
      <c r="R51" s="215"/>
      <c r="S51" s="226"/>
      <c r="T51" s="227"/>
      <c r="U51" s="227"/>
      <c r="V51" s="227"/>
      <c r="W51" s="227"/>
      <c r="X51" s="227"/>
      <c r="Y51" s="247"/>
      <c r="Z51" s="248"/>
      <c r="AA51" s="249"/>
      <c r="AB51" s="228"/>
      <c r="AC51" s="264"/>
      <c r="AD51" s="178"/>
      <c r="AE51" s="178"/>
      <c r="AF51" s="178"/>
      <c r="AG51" s="582"/>
      <c r="AH51" s="583"/>
      <c r="AI51" s="178"/>
      <c r="AJ51" s="178"/>
      <c r="AK51" s="178"/>
      <c r="AL51" s="265"/>
      <c r="AM51" s="237"/>
      <c r="AN51" s="271"/>
      <c r="AO51" s="238"/>
      <c r="AP51" s="238"/>
      <c r="AQ51" s="238"/>
      <c r="AR51" s="238"/>
      <c r="AS51" s="238"/>
      <c r="AT51" s="238"/>
      <c r="AU51" s="238"/>
      <c r="AV51" s="273"/>
      <c r="AW51" s="277"/>
      <c r="AX51" s="278"/>
      <c r="AY51" s="278"/>
      <c r="AZ51" s="129"/>
      <c r="BA51" s="278"/>
      <c r="BB51" s="278"/>
      <c r="BC51" s="278"/>
      <c r="BD51" s="129"/>
      <c r="BE51" s="278"/>
      <c r="BF51" s="281"/>
      <c r="BG51" s="214"/>
      <c r="BH51" s="207"/>
      <c r="BI51" s="207"/>
      <c r="BJ51" s="207"/>
      <c r="BK51" s="207"/>
      <c r="BL51" s="207"/>
      <c r="BM51" s="207"/>
      <c r="BN51" s="207"/>
      <c r="BO51" s="207"/>
      <c r="BP51" s="215"/>
      <c r="BQ51" s="226"/>
      <c r="BR51" s="227"/>
      <c r="BS51" s="227"/>
      <c r="BT51" s="227"/>
      <c r="BU51" s="227"/>
      <c r="BV51" s="227"/>
      <c r="BW51" s="227"/>
      <c r="BX51" s="227"/>
      <c r="BY51" s="227"/>
      <c r="BZ51" s="228"/>
      <c r="CA51" s="537"/>
      <c r="CB51" s="538"/>
      <c r="CC51" s="538"/>
      <c r="CD51" s="538"/>
      <c r="CE51" s="538"/>
      <c r="CF51" s="538"/>
      <c r="CG51" s="538"/>
      <c r="CH51" s="538"/>
      <c r="CI51" s="538"/>
      <c r="CJ51" s="538"/>
      <c r="CK51" s="237"/>
      <c r="CL51" s="238"/>
      <c r="CM51" s="238"/>
      <c r="CN51" s="238"/>
      <c r="CO51" s="238"/>
      <c r="CP51" s="238"/>
      <c r="CQ51" s="238"/>
      <c r="CR51" s="238"/>
      <c r="CS51" s="238"/>
      <c r="CT51" s="273"/>
      <c r="CU51" s="295"/>
      <c r="CV51" s="296"/>
      <c r="CW51" s="296"/>
      <c r="CX51" s="296"/>
      <c r="CY51" s="296"/>
      <c r="CZ51" s="296"/>
      <c r="DA51" s="296"/>
      <c r="DB51" s="296"/>
      <c r="DC51" s="297"/>
      <c r="DD51" s="298"/>
      <c r="DE51" s="214"/>
      <c r="DF51" s="207"/>
      <c r="DG51" s="207"/>
      <c r="DH51" s="207"/>
      <c r="DI51" s="207"/>
      <c r="DJ51" s="207"/>
      <c r="DK51" s="207"/>
      <c r="DL51" s="207"/>
      <c r="DM51" s="207"/>
      <c r="DN51" s="215"/>
      <c r="DO51" s="226"/>
      <c r="DP51" s="227"/>
      <c r="DQ51" s="227"/>
      <c r="DR51" s="227"/>
      <c r="DS51" s="227"/>
      <c r="DT51" s="227"/>
      <c r="DU51" s="227"/>
      <c r="DV51" s="227"/>
      <c r="DW51" s="227"/>
      <c r="DX51" s="228"/>
      <c r="DY51" s="90"/>
      <c r="DZ51" s="91"/>
      <c r="EA51" s="91"/>
      <c r="EB51" s="91"/>
      <c r="EC51" s="91"/>
      <c r="ED51" s="91"/>
      <c r="EE51" s="91"/>
      <c r="EF51" s="91"/>
      <c r="EG51" s="91"/>
      <c r="EH51" s="92"/>
      <c r="EI51" s="237"/>
      <c r="EJ51" s="238"/>
      <c r="EK51" s="238"/>
      <c r="EL51" s="238"/>
      <c r="EM51" s="238"/>
      <c r="EN51" s="238"/>
      <c r="EO51" s="238"/>
      <c r="EP51" s="238"/>
      <c r="EQ51" s="238"/>
      <c r="ER51" s="273"/>
      <c r="ES51" s="316">
        <f t="shared" si="2"/>
        <v>0</v>
      </c>
      <c r="ET51" s="317">
        <f t="shared" ref="ET51:FD51" si="39">SUM(J51:S51)</f>
        <v>0</v>
      </c>
      <c r="EU51" s="317">
        <f t="shared" si="39"/>
        <v>0</v>
      </c>
      <c r="EV51" s="317">
        <f t="shared" si="39"/>
        <v>0</v>
      </c>
      <c r="EW51" s="317">
        <f t="shared" si="16"/>
        <v>0</v>
      </c>
      <c r="EX51" s="317">
        <f t="shared" si="39"/>
        <v>0</v>
      </c>
      <c r="EY51" s="317">
        <f t="shared" si="39"/>
        <v>0</v>
      </c>
      <c r="EZ51" s="317">
        <f t="shared" si="39"/>
        <v>0</v>
      </c>
      <c r="FA51" s="317">
        <f t="shared" si="39"/>
        <v>0</v>
      </c>
      <c r="FB51" s="317">
        <f t="shared" si="39"/>
        <v>0</v>
      </c>
      <c r="FC51" s="317">
        <f t="shared" si="39"/>
        <v>0</v>
      </c>
      <c r="FD51" s="317">
        <f t="shared" si="39"/>
        <v>0</v>
      </c>
      <c r="FE51" s="317">
        <f t="shared" si="12"/>
        <v>0</v>
      </c>
      <c r="FF51" s="317">
        <f t="shared" si="13"/>
        <v>0</v>
      </c>
      <c r="FG51" s="318">
        <f t="shared" si="18"/>
        <v>49</v>
      </c>
      <c r="FH51" s="319">
        <f t="shared" si="14"/>
        <v>0</v>
      </c>
      <c r="FI51" s="319">
        <f>SUM(I7:ER7)-SUM(ES51:FF51)</f>
        <v>128</v>
      </c>
      <c r="FJ51" s="319">
        <f t="shared" si="15"/>
        <v>128</v>
      </c>
      <c r="FK51" s="7"/>
    </row>
    <row r="52" spans="1:167" ht="15.75" customHeight="1">
      <c r="A52" s="2"/>
      <c r="B52" s="3">
        <f t="shared" si="0"/>
        <v>0</v>
      </c>
      <c r="C52" s="182">
        <f t="shared" si="1"/>
        <v>45</v>
      </c>
      <c r="D52" s="184"/>
      <c r="E52" s="203"/>
      <c r="F52" s="203"/>
      <c r="G52" s="571">
        <v>45915</v>
      </c>
      <c r="H52" s="572"/>
      <c r="I52" s="214"/>
      <c r="J52" s="207"/>
      <c r="K52" s="207"/>
      <c r="L52" s="207"/>
      <c r="M52" s="207"/>
      <c r="N52" s="207"/>
      <c r="O52" s="207"/>
      <c r="P52" s="207"/>
      <c r="Q52" s="207"/>
      <c r="R52" s="215"/>
      <c r="S52" s="226"/>
      <c r="T52" s="227"/>
      <c r="U52" s="227"/>
      <c r="V52" s="227"/>
      <c r="W52" s="227"/>
      <c r="X52" s="227"/>
      <c r="Y52" s="247"/>
      <c r="Z52" s="248"/>
      <c r="AA52" s="249"/>
      <c r="AB52" s="228"/>
      <c r="AC52" s="264"/>
      <c r="AD52" s="178"/>
      <c r="AE52" s="178"/>
      <c r="AF52" s="178"/>
      <c r="AG52" s="582"/>
      <c r="AH52" s="583"/>
      <c r="AI52" s="178"/>
      <c r="AJ52" s="178"/>
      <c r="AK52" s="178"/>
      <c r="AL52" s="265"/>
      <c r="AM52" s="237"/>
      <c r="AN52" s="271"/>
      <c r="AO52" s="238"/>
      <c r="AP52" s="238"/>
      <c r="AQ52" s="238"/>
      <c r="AR52" s="238"/>
      <c r="AS52" s="238"/>
      <c r="AT52" s="238"/>
      <c r="AU52" s="238"/>
      <c r="AV52" s="273"/>
      <c r="AW52" s="277"/>
      <c r="AX52" s="278"/>
      <c r="AY52" s="278"/>
      <c r="AZ52" s="129"/>
      <c r="BA52" s="278"/>
      <c r="BB52" s="278"/>
      <c r="BC52" s="278"/>
      <c r="BD52" s="129"/>
      <c r="BE52" s="278"/>
      <c r="BF52" s="281"/>
      <c r="BG52" s="214"/>
      <c r="BH52" s="207"/>
      <c r="BI52" s="207"/>
      <c r="BJ52" s="207"/>
      <c r="BK52" s="207"/>
      <c r="BL52" s="207"/>
      <c r="BM52" s="207"/>
      <c r="BN52" s="207"/>
      <c r="BO52" s="207"/>
      <c r="BP52" s="215"/>
      <c r="BQ52" s="226"/>
      <c r="BR52" s="227"/>
      <c r="BS52" s="227"/>
      <c r="BT52" s="227"/>
      <c r="BU52" s="227"/>
      <c r="BV52" s="227"/>
      <c r="BW52" s="227"/>
      <c r="BX52" s="227"/>
      <c r="BY52" s="227"/>
      <c r="BZ52" s="228"/>
      <c r="CA52" s="537"/>
      <c r="CB52" s="538"/>
      <c r="CC52" s="538"/>
      <c r="CD52" s="538"/>
      <c r="CE52" s="538"/>
      <c r="CF52" s="538"/>
      <c r="CG52" s="538"/>
      <c r="CH52" s="538"/>
      <c r="CI52" s="538"/>
      <c r="CJ52" s="538"/>
      <c r="CK52" s="237"/>
      <c r="CL52" s="238"/>
      <c r="CM52" s="238"/>
      <c r="CN52" s="238"/>
      <c r="CO52" s="238"/>
      <c r="CP52" s="238"/>
      <c r="CQ52" s="238"/>
      <c r="CR52" s="238"/>
      <c r="CS52" s="238"/>
      <c r="CT52" s="273"/>
      <c r="CU52" s="295"/>
      <c r="CV52" s="296"/>
      <c r="CW52" s="296"/>
      <c r="CX52" s="296"/>
      <c r="CY52" s="296"/>
      <c r="CZ52" s="296"/>
      <c r="DA52" s="296"/>
      <c r="DB52" s="296"/>
      <c r="DC52" s="297"/>
      <c r="DD52" s="298"/>
      <c r="DE52" s="214"/>
      <c r="DF52" s="207"/>
      <c r="DG52" s="207"/>
      <c r="DH52" s="207"/>
      <c r="DI52" s="207"/>
      <c r="DJ52" s="207"/>
      <c r="DK52" s="207"/>
      <c r="DL52" s="207"/>
      <c r="DM52" s="207"/>
      <c r="DN52" s="215"/>
      <c r="DO52" s="226"/>
      <c r="DP52" s="227"/>
      <c r="DQ52" s="227"/>
      <c r="DR52" s="227"/>
      <c r="DS52" s="227"/>
      <c r="DT52" s="227"/>
      <c r="DU52" s="227"/>
      <c r="DV52" s="227"/>
      <c r="DW52" s="227"/>
      <c r="DX52" s="228"/>
      <c r="DY52" s="90"/>
      <c r="DZ52" s="91"/>
      <c r="EA52" s="91"/>
      <c r="EB52" s="91"/>
      <c r="EC52" s="91"/>
      <c r="ED52" s="91"/>
      <c r="EE52" s="91"/>
      <c r="EF52" s="91"/>
      <c r="EG52" s="91"/>
      <c r="EH52" s="92"/>
      <c r="EI52" s="237"/>
      <c r="EJ52" s="238"/>
      <c r="EK52" s="238"/>
      <c r="EL52" s="238"/>
      <c r="EM52" s="238"/>
      <c r="EN52" s="238"/>
      <c r="EO52" s="238"/>
      <c r="EP52" s="238"/>
      <c r="EQ52" s="238"/>
      <c r="ER52" s="273"/>
      <c r="ES52" s="316">
        <f t="shared" si="2"/>
        <v>0</v>
      </c>
      <c r="ET52" s="317">
        <f t="shared" ref="ET52:FD52" si="40">SUM(J52:S52)</f>
        <v>0</v>
      </c>
      <c r="EU52" s="317">
        <f t="shared" si="40"/>
        <v>0</v>
      </c>
      <c r="EV52" s="317">
        <f t="shared" si="40"/>
        <v>0</v>
      </c>
      <c r="EW52" s="317">
        <f t="shared" si="16"/>
        <v>0</v>
      </c>
      <c r="EX52" s="317">
        <f t="shared" si="40"/>
        <v>0</v>
      </c>
      <c r="EY52" s="317">
        <f t="shared" si="40"/>
        <v>0</v>
      </c>
      <c r="EZ52" s="317">
        <f t="shared" si="40"/>
        <v>0</v>
      </c>
      <c r="FA52" s="317">
        <f t="shared" si="40"/>
        <v>0</v>
      </c>
      <c r="FB52" s="317">
        <f t="shared" si="40"/>
        <v>0</v>
      </c>
      <c r="FC52" s="317">
        <f t="shared" si="40"/>
        <v>0</v>
      </c>
      <c r="FD52" s="317">
        <f t="shared" si="40"/>
        <v>0</v>
      </c>
      <c r="FE52" s="317">
        <f t="shared" si="12"/>
        <v>0</v>
      </c>
      <c r="FF52" s="317">
        <f t="shared" si="13"/>
        <v>0</v>
      </c>
      <c r="FG52" s="318">
        <f t="shared" si="18"/>
        <v>50</v>
      </c>
      <c r="FH52" s="319">
        <f t="shared" si="14"/>
        <v>0</v>
      </c>
      <c r="FI52" s="319">
        <f>SUM(I7:ER7)-SUM(ES52:FF52)</f>
        <v>128</v>
      </c>
      <c r="FJ52" s="319">
        <f t="shared" si="15"/>
        <v>128</v>
      </c>
      <c r="FK52" s="7"/>
    </row>
    <row r="53" spans="1:167" ht="15.75" customHeight="1">
      <c r="A53" s="2"/>
      <c r="B53" s="3">
        <f t="shared" si="0"/>
        <v>0</v>
      </c>
      <c r="C53" s="182">
        <f t="shared" si="1"/>
        <v>46</v>
      </c>
      <c r="D53" s="184"/>
      <c r="E53" s="203"/>
      <c r="F53" s="203"/>
      <c r="G53" s="571">
        <v>45915</v>
      </c>
      <c r="H53" s="572"/>
      <c r="I53" s="214"/>
      <c r="J53" s="207"/>
      <c r="K53" s="207"/>
      <c r="L53" s="207"/>
      <c r="M53" s="207"/>
      <c r="N53" s="207"/>
      <c r="O53" s="207"/>
      <c r="P53" s="207"/>
      <c r="Q53" s="207"/>
      <c r="R53" s="215"/>
      <c r="S53" s="226"/>
      <c r="T53" s="227"/>
      <c r="U53" s="227"/>
      <c r="V53" s="227"/>
      <c r="W53" s="227"/>
      <c r="X53" s="227"/>
      <c r="Y53" s="247"/>
      <c r="Z53" s="248"/>
      <c r="AA53" s="249"/>
      <c r="AB53" s="228"/>
      <c r="AC53" s="264"/>
      <c r="AD53" s="178"/>
      <c r="AE53" s="178"/>
      <c r="AF53" s="178"/>
      <c r="AG53" s="582"/>
      <c r="AH53" s="583"/>
      <c r="AI53" s="178"/>
      <c r="AJ53" s="178"/>
      <c r="AK53" s="178"/>
      <c r="AL53" s="265"/>
      <c r="AM53" s="237"/>
      <c r="AN53" s="271"/>
      <c r="AO53" s="238"/>
      <c r="AP53" s="238"/>
      <c r="AQ53" s="238"/>
      <c r="AR53" s="238"/>
      <c r="AS53" s="238"/>
      <c r="AT53" s="238"/>
      <c r="AU53" s="238"/>
      <c r="AV53" s="273"/>
      <c r="AW53" s="277"/>
      <c r="AX53" s="278"/>
      <c r="AY53" s="278"/>
      <c r="AZ53" s="129"/>
      <c r="BA53" s="278"/>
      <c r="BB53" s="278"/>
      <c r="BC53" s="278"/>
      <c r="BD53" s="129"/>
      <c r="BE53" s="278"/>
      <c r="BF53" s="281"/>
      <c r="BG53" s="214"/>
      <c r="BH53" s="207"/>
      <c r="BI53" s="207"/>
      <c r="BJ53" s="207"/>
      <c r="BK53" s="207"/>
      <c r="BL53" s="207"/>
      <c r="BM53" s="207"/>
      <c r="BN53" s="207"/>
      <c r="BO53" s="207"/>
      <c r="BP53" s="215"/>
      <c r="BQ53" s="226"/>
      <c r="BR53" s="227"/>
      <c r="BS53" s="227"/>
      <c r="BT53" s="227"/>
      <c r="BU53" s="227"/>
      <c r="BV53" s="227"/>
      <c r="BW53" s="227"/>
      <c r="BX53" s="227"/>
      <c r="BY53" s="227"/>
      <c r="BZ53" s="228"/>
      <c r="CA53" s="537"/>
      <c r="CB53" s="538"/>
      <c r="CC53" s="538"/>
      <c r="CD53" s="538"/>
      <c r="CE53" s="538"/>
      <c r="CF53" s="538"/>
      <c r="CG53" s="538"/>
      <c r="CH53" s="538"/>
      <c r="CI53" s="538"/>
      <c r="CJ53" s="538"/>
      <c r="CK53" s="237"/>
      <c r="CL53" s="238"/>
      <c r="CM53" s="238"/>
      <c r="CN53" s="238"/>
      <c r="CO53" s="238"/>
      <c r="CP53" s="238"/>
      <c r="CQ53" s="238"/>
      <c r="CR53" s="238"/>
      <c r="CS53" s="238"/>
      <c r="CT53" s="273"/>
      <c r="CU53" s="295"/>
      <c r="CV53" s="296"/>
      <c r="CW53" s="296"/>
      <c r="CX53" s="296"/>
      <c r="CY53" s="296"/>
      <c r="CZ53" s="296"/>
      <c r="DA53" s="296"/>
      <c r="DB53" s="296"/>
      <c r="DC53" s="297"/>
      <c r="DD53" s="298"/>
      <c r="DE53" s="214"/>
      <c r="DF53" s="207"/>
      <c r="DG53" s="207"/>
      <c r="DH53" s="207"/>
      <c r="DI53" s="207"/>
      <c r="DJ53" s="207"/>
      <c r="DK53" s="207"/>
      <c r="DL53" s="207"/>
      <c r="DM53" s="207"/>
      <c r="DN53" s="215"/>
      <c r="DO53" s="226"/>
      <c r="DP53" s="227"/>
      <c r="DQ53" s="227"/>
      <c r="DR53" s="227"/>
      <c r="DS53" s="227"/>
      <c r="DT53" s="227"/>
      <c r="DU53" s="227"/>
      <c r="DV53" s="227"/>
      <c r="DW53" s="227"/>
      <c r="DX53" s="228"/>
      <c r="DY53" s="90"/>
      <c r="DZ53" s="91"/>
      <c r="EA53" s="91"/>
      <c r="EB53" s="91"/>
      <c r="EC53" s="91"/>
      <c r="ED53" s="91"/>
      <c r="EE53" s="91"/>
      <c r="EF53" s="91"/>
      <c r="EG53" s="91"/>
      <c r="EH53" s="92"/>
      <c r="EI53" s="237"/>
      <c r="EJ53" s="238"/>
      <c r="EK53" s="238"/>
      <c r="EL53" s="238"/>
      <c r="EM53" s="238"/>
      <c r="EN53" s="238"/>
      <c r="EO53" s="238"/>
      <c r="EP53" s="238"/>
      <c r="EQ53" s="238"/>
      <c r="ER53" s="273"/>
      <c r="ES53" s="316">
        <f t="shared" si="2"/>
        <v>0</v>
      </c>
      <c r="ET53" s="317">
        <f t="shared" ref="ET53:FD53" si="41">SUM(J53:S53)</f>
        <v>0</v>
      </c>
      <c r="EU53" s="317">
        <f t="shared" si="41"/>
        <v>0</v>
      </c>
      <c r="EV53" s="317">
        <f t="shared" si="41"/>
        <v>0</v>
      </c>
      <c r="EW53" s="317">
        <f t="shared" si="16"/>
        <v>0</v>
      </c>
      <c r="EX53" s="317">
        <f t="shared" si="41"/>
        <v>0</v>
      </c>
      <c r="EY53" s="317">
        <f t="shared" si="41"/>
        <v>0</v>
      </c>
      <c r="EZ53" s="317">
        <f t="shared" si="41"/>
        <v>0</v>
      </c>
      <c r="FA53" s="317">
        <f t="shared" si="41"/>
        <v>0</v>
      </c>
      <c r="FB53" s="317">
        <f t="shared" si="41"/>
        <v>0</v>
      </c>
      <c r="FC53" s="317">
        <f t="shared" si="41"/>
        <v>0</v>
      </c>
      <c r="FD53" s="317">
        <f t="shared" si="41"/>
        <v>0</v>
      </c>
      <c r="FE53" s="317">
        <f t="shared" si="12"/>
        <v>0</v>
      </c>
      <c r="FF53" s="317">
        <f t="shared" si="13"/>
        <v>0</v>
      </c>
      <c r="FG53" s="318">
        <f t="shared" si="18"/>
        <v>51</v>
      </c>
      <c r="FH53" s="319">
        <f t="shared" si="14"/>
        <v>0</v>
      </c>
      <c r="FI53" s="319">
        <f>SUM(I7:ER7)-SUM(ES53:FF53)</f>
        <v>128</v>
      </c>
      <c r="FJ53" s="319">
        <f t="shared" si="15"/>
        <v>128</v>
      </c>
      <c r="FK53" s="7"/>
    </row>
    <row r="54" spans="1:167" ht="15.75" customHeight="1">
      <c r="A54" s="2"/>
      <c r="B54" s="3">
        <f t="shared" si="0"/>
        <v>0</v>
      </c>
      <c r="C54" s="182">
        <f t="shared" si="1"/>
        <v>47</v>
      </c>
      <c r="D54" s="184"/>
      <c r="E54" s="203"/>
      <c r="F54" s="203"/>
      <c r="G54" s="571">
        <v>45915</v>
      </c>
      <c r="H54" s="572"/>
      <c r="I54" s="214"/>
      <c r="J54" s="207"/>
      <c r="K54" s="207"/>
      <c r="L54" s="207"/>
      <c r="M54" s="207"/>
      <c r="N54" s="207"/>
      <c r="O54" s="207"/>
      <c r="P54" s="207"/>
      <c r="Q54" s="207"/>
      <c r="R54" s="215"/>
      <c r="S54" s="226"/>
      <c r="T54" s="227"/>
      <c r="U54" s="227"/>
      <c r="V54" s="227"/>
      <c r="W54" s="227"/>
      <c r="X54" s="227"/>
      <c r="Y54" s="247"/>
      <c r="Z54" s="248"/>
      <c r="AA54" s="249"/>
      <c r="AB54" s="228"/>
      <c r="AC54" s="264"/>
      <c r="AD54" s="178"/>
      <c r="AE54" s="178"/>
      <c r="AF54" s="178"/>
      <c r="AG54" s="582"/>
      <c r="AH54" s="583"/>
      <c r="AI54" s="178"/>
      <c r="AJ54" s="178"/>
      <c r="AK54" s="178"/>
      <c r="AL54" s="265"/>
      <c r="AM54" s="237"/>
      <c r="AN54" s="271"/>
      <c r="AO54" s="238"/>
      <c r="AP54" s="238"/>
      <c r="AQ54" s="238"/>
      <c r="AR54" s="238"/>
      <c r="AS54" s="238"/>
      <c r="AT54" s="238"/>
      <c r="AU54" s="238"/>
      <c r="AV54" s="273"/>
      <c r="AW54" s="277"/>
      <c r="AX54" s="278"/>
      <c r="AY54" s="278"/>
      <c r="AZ54" s="129"/>
      <c r="BA54" s="278"/>
      <c r="BB54" s="278"/>
      <c r="BC54" s="278"/>
      <c r="BD54" s="129"/>
      <c r="BE54" s="278"/>
      <c r="BF54" s="281"/>
      <c r="BG54" s="214"/>
      <c r="BH54" s="207"/>
      <c r="BI54" s="207"/>
      <c r="BJ54" s="207"/>
      <c r="BK54" s="207"/>
      <c r="BL54" s="207"/>
      <c r="BM54" s="207"/>
      <c r="BN54" s="207"/>
      <c r="BO54" s="207"/>
      <c r="BP54" s="215"/>
      <c r="BQ54" s="226"/>
      <c r="BR54" s="227"/>
      <c r="BS54" s="227"/>
      <c r="BT54" s="227"/>
      <c r="BU54" s="227"/>
      <c r="BV54" s="227"/>
      <c r="BW54" s="227"/>
      <c r="BX54" s="227"/>
      <c r="BY54" s="227"/>
      <c r="BZ54" s="228"/>
      <c r="CA54" s="537"/>
      <c r="CB54" s="538"/>
      <c r="CC54" s="538"/>
      <c r="CD54" s="538"/>
      <c r="CE54" s="538"/>
      <c r="CF54" s="538"/>
      <c r="CG54" s="538"/>
      <c r="CH54" s="538"/>
      <c r="CI54" s="538"/>
      <c r="CJ54" s="538"/>
      <c r="CK54" s="237"/>
      <c r="CL54" s="238"/>
      <c r="CM54" s="238"/>
      <c r="CN54" s="238"/>
      <c r="CO54" s="238"/>
      <c r="CP54" s="238"/>
      <c r="CQ54" s="238"/>
      <c r="CR54" s="238"/>
      <c r="CS54" s="238"/>
      <c r="CT54" s="273"/>
      <c r="CU54" s="295"/>
      <c r="CV54" s="296"/>
      <c r="CW54" s="296"/>
      <c r="CX54" s="296"/>
      <c r="CY54" s="296"/>
      <c r="CZ54" s="296"/>
      <c r="DA54" s="296"/>
      <c r="DB54" s="296"/>
      <c r="DC54" s="297"/>
      <c r="DD54" s="298"/>
      <c r="DE54" s="214"/>
      <c r="DF54" s="207"/>
      <c r="DG54" s="207"/>
      <c r="DH54" s="207"/>
      <c r="DI54" s="207"/>
      <c r="DJ54" s="207"/>
      <c r="DK54" s="207"/>
      <c r="DL54" s="207"/>
      <c r="DM54" s="207"/>
      <c r="DN54" s="215"/>
      <c r="DO54" s="226"/>
      <c r="DP54" s="227"/>
      <c r="DQ54" s="227"/>
      <c r="DR54" s="227"/>
      <c r="DS54" s="227"/>
      <c r="DT54" s="227"/>
      <c r="DU54" s="227"/>
      <c r="DV54" s="227"/>
      <c r="DW54" s="227"/>
      <c r="DX54" s="228"/>
      <c r="DY54" s="90"/>
      <c r="DZ54" s="91"/>
      <c r="EA54" s="91"/>
      <c r="EB54" s="91"/>
      <c r="EC54" s="91"/>
      <c r="ED54" s="91"/>
      <c r="EE54" s="91"/>
      <c r="EF54" s="91"/>
      <c r="EG54" s="91"/>
      <c r="EH54" s="92"/>
      <c r="EI54" s="237"/>
      <c r="EJ54" s="238"/>
      <c r="EK54" s="238"/>
      <c r="EL54" s="238"/>
      <c r="EM54" s="238"/>
      <c r="EN54" s="238"/>
      <c r="EO54" s="238"/>
      <c r="EP54" s="238"/>
      <c r="EQ54" s="238"/>
      <c r="ER54" s="273"/>
      <c r="ES54" s="316">
        <f t="shared" si="2"/>
        <v>0</v>
      </c>
      <c r="ET54" s="317">
        <f t="shared" ref="ET54:FD54" si="42">SUM(J54:S54)</f>
        <v>0</v>
      </c>
      <c r="EU54" s="317">
        <f t="shared" si="42"/>
        <v>0</v>
      </c>
      <c r="EV54" s="317">
        <f t="shared" si="42"/>
        <v>0</v>
      </c>
      <c r="EW54" s="317">
        <f t="shared" si="16"/>
        <v>0</v>
      </c>
      <c r="EX54" s="317">
        <f t="shared" si="42"/>
        <v>0</v>
      </c>
      <c r="EY54" s="317">
        <f t="shared" si="42"/>
        <v>0</v>
      </c>
      <c r="EZ54" s="317">
        <f t="shared" si="42"/>
        <v>0</v>
      </c>
      <c r="FA54" s="317">
        <f t="shared" si="42"/>
        <v>0</v>
      </c>
      <c r="FB54" s="317">
        <f t="shared" si="42"/>
        <v>0</v>
      </c>
      <c r="FC54" s="317">
        <f t="shared" si="42"/>
        <v>0</v>
      </c>
      <c r="FD54" s="317">
        <f t="shared" si="42"/>
        <v>0</v>
      </c>
      <c r="FE54" s="317">
        <f t="shared" si="12"/>
        <v>0</v>
      </c>
      <c r="FF54" s="317">
        <f t="shared" si="13"/>
        <v>0</v>
      </c>
      <c r="FG54" s="318">
        <f t="shared" si="18"/>
        <v>52</v>
      </c>
      <c r="FH54" s="319">
        <f t="shared" si="14"/>
        <v>0</v>
      </c>
      <c r="FI54" s="319">
        <f>SUM(I7:ER7)-SUM(ES54:FF54)</f>
        <v>128</v>
      </c>
      <c r="FJ54" s="319">
        <f t="shared" si="15"/>
        <v>128</v>
      </c>
      <c r="FK54" s="7"/>
    </row>
    <row r="55" spans="1:167" ht="15.75" customHeight="1">
      <c r="A55" s="2"/>
      <c r="B55" s="3">
        <f t="shared" si="0"/>
        <v>0</v>
      </c>
      <c r="C55" s="182">
        <f t="shared" si="1"/>
        <v>48</v>
      </c>
      <c r="D55" s="184"/>
      <c r="E55" s="203"/>
      <c r="F55" s="203"/>
      <c r="G55" s="571">
        <v>45915</v>
      </c>
      <c r="H55" s="572"/>
      <c r="I55" s="214"/>
      <c r="J55" s="207"/>
      <c r="K55" s="207"/>
      <c r="L55" s="207"/>
      <c r="M55" s="207"/>
      <c r="N55" s="207"/>
      <c r="O55" s="207"/>
      <c r="P55" s="207"/>
      <c r="Q55" s="207"/>
      <c r="R55" s="215"/>
      <c r="S55" s="226"/>
      <c r="T55" s="227"/>
      <c r="U55" s="227"/>
      <c r="V55" s="227"/>
      <c r="W55" s="227"/>
      <c r="X55" s="227"/>
      <c r="Y55" s="247"/>
      <c r="Z55" s="248"/>
      <c r="AA55" s="249"/>
      <c r="AB55" s="228"/>
      <c r="AC55" s="264"/>
      <c r="AD55" s="178"/>
      <c r="AE55" s="178"/>
      <c r="AF55" s="178"/>
      <c r="AG55" s="582"/>
      <c r="AH55" s="583"/>
      <c r="AI55" s="178"/>
      <c r="AJ55" s="178"/>
      <c r="AK55" s="178"/>
      <c r="AL55" s="265"/>
      <c r="AM55" s="237"/>
      <c r="AN55" s="271"/>
      <c r="AO55" s="238"/>
      <c r="AP55" s="238"/>
      <c r="AQ55" s="238"/>
      <c r="AR55" s="238"/>
      <c r="AS55" s="238"/>
      <c r="AT55" s="238"/>
      <c r="AU55" s="238"/>
      <c r="AV55" s="273"/>
      <c r="AW55" s="277"/>
      <c r="AX55" s="278"/>
      <c r="AY55" s="278"/>
      <c r="AZ55" s="129"/>
      <c r="BA55" s="278"/>
      <c r="BB55" s="278"/>
      <c r="BC55" s="278"/>
      <c r="BD55" s="129"/>
      <c r="BE55" s="278"/>
      <c r="BF55" s="281"/>
      <c r="BG55" s="214"/>
      <c r="BH55" s="207"/>
      <c r="BI55" s="207"/>
      <c r="BJ55" s="207"/>
      <c r="BK55" s="207"/>
      <c r="BL55" s="207"/>
      <c r="BM55" s="207"/>
      <c r="BN55" s="207"/>
      <c r="BO55" s="207"/>
      <c r="BP55" s="215"/>
      <c r="BQ55" s="226"/>
      <c r="BR55" s="227"/>
      <c r="BS55" s="227"/>
      <c r="BT55" s="227"/>
      <c r="BU55" s="227"/>
      <c r="BV55" s="227"/>
      <c r="BW55" s="227"/>
      <c r="BX55" s="227"/>
      <c r="BY55" s="227"/>
      <c r="BZ55" s="228"/>
      <c r="CA55" s="537"/>
      <c r="CB55" s="538"/>
      <c r="CC55" s="538"/>
      <c r="CD55" s="538"/>
      <c r="CE55" s="538"/>
      <c r="CF55" s="538"/>
      <c r="CG55" s="538"/>
      <c r="CH55" s="538"/>
      <c r="CI55" s="538"/>
      <c r="CJ55" s="538"/>
      <c r="CK55" s="237"/>
      <c r="CL55" s="238"/>
      <c r="CM55" s="238"/>
      <c r="CN55" s="238"/>
      <c r="CO55" s="238"/>
      <c r="CP55" s="238"/>
      <c r="CQ55" s="238"/>
      <c r="CR55" s="238"/>
      <c r="CS55" s="238"/>
      <c r="CT55" s="273"/>
      <c r="CU55" s="295"/>
      <c r="CV55" s="296"/>
      <c r="CW55" s="296"/>
      <c r="CX55" s="296"/>
      <c r="CY55" s="296"/>
      <c r="CZ55" s="296"/>
      <c r="DA55" s="296"/>
      <c r="DB55" s="296"/>
      <c r="DC55" s="297"/>
      <c r="DD55" s="298"/>
      <c r="DE55" s="214"/>
      <c r="DF55" s="207"/>
      <c r="DG55" s="207"/>
      <c r="DH55" s="207"/>
      <c r="DI55" s="207"/>
      <c r="DJ55" s="207"/>
      <c r="DK55" s="207"/>
      <c r="DL55" s="207"/>
      <c r="DM55" s="207"/>
      <c r="DN55" s="215"/>
      <c r="DO55" s="226"/>
      <c r="DP55" s="227"/>
      <c r="DQ55" s="227"/>
      <c r="DR55" s="227"/>
      <c r="DS55" s="227"/>
      <c r="DT55" s="227"/>
      <c r="DU55" s="227"/>
      <c r="DV55" s="227"/>
      <c r="DW55" s="227"/>
      <c r="DX55" s="228"/>
      <c r="DY55" s="90"/>
      <c r="DZ55" s="91"/>
      <c r="EA55" s="91"/>
      <c r="EB55" s="91"/>
      <c r="EC55" s="91"/>
      <c r="ED55" s="91"/>
      <c r="EE55" s="91"/>
      <c r="EF55" s="91"/>
      <c r="EG55" s="91"/>
      <c r="EH55" s="92"/>
      <c r="EI55" s="237"/>
      <c r="EJ55" s="238"/>
      <c r="EK55" s="238"/>
      <c r="EL55" s="238"/>
      <c r="EM55" s="238"/>
      <c r="EN55" s="238"/>
      <c r="EO55" s="238"/>
      <c r="EP55" s="238"/>
      <c r="EQ55" s="238"/>
      <c r="ER55" s="273"/>
      <c r="ES55" s="316">
        <f t="shared" si="2"/>
        <v>0</v>
      </c>
      <c r="ET55" s="317">
        <f t="shared" ref="ET55:FD55" si="43">SUM(J55:S55)</f>
        <v>0</v>
      </c>
      <c r="EU55" s="317">
        <f t="shared" si="43"/>
        <v>0</v>
      </c>
      <c r="EV55" s="317">
        <f t="shared" si="43"/>
        <v>0</v>
      </c>
      <c r="EW55" s="317">
        <f t="shared" si="16"/>
        <v>0</v>
      </c>
      <c r="EX55" s="317">
        <f t="shared" si="43"/>
        <v>0</v>
      </c>
      <c r="EY55" s="317">
        <f t="shared" si="43"/>
        <v>0</v>
      </c>
      <c r="EZ55" s="317">
        <f t="shared" si="43"/>
        <v>0</v>
      </c>
      <c r="FA55" s="317">
        <f t="shared" si="43"/>
        <v>0</v>
      </c>
      <c r="FB55" s="317">
        <f t="shared" si="43"/>
        <v>0</v>
      </c>
      <c r="FC55" s="317">
        <f t="shared" si="43"/>
        <v>0</v>
      </c>
      <c r="FD55" s="317">
        <f t="shared" si="43"/>
        <v>0</v>
      </c>
      <c r="FE55" s="317">
        <f t="shared" si="12"/>
        <v>0</v>
      </c>
      <c r="FF55" s="317">
        <f t="shared" si="13"/>
        <v>0</v>
      </c>
      <c r="FG55" s="318">
        <f t="shared" si="18"/>
        <v>53</v>
      </c>
      <c r="FH55" s="319">
        <f t="shared" si="14"/>
        <v>0</v>
      </c>
      <c r="FI55" s="319">
        <f>SUM(I7:ER7)-SUM(ES55:FF55)</f>
        <v>128</v>
      </c>
      <c r="FJ55" s="319">
        <f t="shared" si="15"/>
        <v>128</v>
      </c>
      <c r="FK55" s="7"/>
    </row>
    <row r="56" spans="1:167" ht="15.75" customHeight="1">
      <c r="A56" s="2"/>
      <c r="B56" s="3">
        <f t="shared" si="0"/>
        <v>0</v>
      </c>
      <c r="C56" s="182">
        <f t="shared" si="1"/>
        <v>49</v>
      </c>
      <c r="D56" s="184"/>
      <c r="E56" s="203"/>
      <c r="F56" s="203"/>
      <c r="G56" s="571">
        <v>45915</v>
      </c>
      <c r="H56" s="572"/>
      <c r="I56" s="214"/>
      <c r="J56" s="207"/>
      <c r="K56" s="207"/>
      <c r="L56" s="207"/>
      <c r="M56" s="207"/>
      <c r="N56" s="207"/>
      <c r="O56" s="207"/>
      <c r="P56" s="207"/>
      <c r="Q56" s="207"/>
      <c r="R56" s="215"/>
      <c r="S56" s="226"/>
      <c r="T56" s="227"/>
      <c r="U56" s="227"/>
      <c r="V56" s="227"/>
      <c r="W56" s="227"/>
      <c r="X56" s="227"/>
      <c r="Y56" s="247"/>
      <c r="Z56" s="248"/>
      <c r="AA56" s="249"/>
      <c r="AB56" s="228"/>
      <c r="AC56" s="264"/>
      <c r="AD56" s="178"/>
      <c r="AE56" s="178"/>
      <c r="AF56" s="178"/>
      <c r="AG56" s="582"/>
      <c r="AH56" s="583"/>
      <c r="AI56" s="178"/>
      <c r="AJ56" s="178"/>
      <c r="AK56" s="178"/>
      <c r="AL56" s="265"/>
      <c r="AM56" s="237"/>
      <c r="AN56" s="271"/>
      <c r="AO56" s="238"/>
      <c r="AP56" s="238"/>
      <c r="AQ56" s="238"/>
      <c r="AR56" s="238"/>
      <c r="AS56" s="238"/>
      <c r="AT56" s="238"/>
      <c r="AU56" s="238"/>
      <c r="AV56" s="273"/>
      <c r="AW56" s="277"/>
      <c r="AX56" s="278"/>
      <c r="AY56" s="278"/>
      <c r="AZ56" s="129"/>
      <c r="BA56" s="278"/>
      <c r="BB56" s="278"/>
      <c r="BC56" s="278"/>
      <c r="BD56" s="129"/>
      <c r="BE56" s="278"/>
      <c r="BF56" s="281"/>
      <c r="BG56" s="214"/>
      <c r="BH56" s="207"/>
      <c r="BI56" s="207"/>
      <c r="BJ56" s="207"/>
      <c r="BK56" s="207"/>
      <c r="BL56" s="207"/>
      <c r="BM56" s="207"/>
      <c r="BN56" s="207"/>
      <c r="BO56" s="207"/>
      <c r="BP56" s="215"/>
      <c r="BQ56" s="226"/>
      <c r="BR56" s="227"/>
      <c r="BS56" s="227"/>
      <c r="BT56" s="227"/>
      <c r="BU56" s="227"/>
      <c r="BV56" s="227"/>
      <c r="BW56" s="227"/>
      <c r="BX56" s="227"/>
      <c r="BY56" s="227"/>
      <c r="BZ56" s="228"/>
      <c r="CA56" s="537"/>
      <c r="CB56" s="538"/>
      <c r="CC56" s="538"/>
      <c r="CD56" s="538"/>
      <c r="CE56" s="538"/>
      <c r="CF56" s="538"/>
      <c r="CG56" s="538"/>
      <c r="CH56" s="538"/>
      <c r="CI56" s="538"/>
      <c r="CJ56" s="538"/>
      <c r="CK56" s="237"/>
      <c r="CL56" s="238"/>
      <c r="CM56" s="238"/>
      <c r="CN56" s="238"/>
      <c r="CO56" s="238"/>
      <c r="CP56" s="238"/>
      <c r="CQ56" s="238"/>
      <c r="CR56" s="238"/>
      <c r="CS56" s="238"/>
      <c r="CT56" s="273"/>
      <c r="CU56" s="295"/>
      <c r="CV56" s="296"/>
      <c r="CW56" s="296"/>
      <c r="CX56" s="296"/>
      <c r="CY56" s="296"/>
      <c r="CZ56" s="296"/>
      <c r="DA56" s="296"/>
      <c r="DB56" s="296"/>
      <c r="DC56" s="297"/>
      <c r="DD56" s="298"/>
      <c r="DE56" s="214"/>
      <c r="DF56" s="207"/>
      <c r="DG56" s="207"/>
      <c r="DH56" s="207"/>
      <c r="DI56" s="207"/>
      <c r="DJ56" s="207"/>
      <c r="DK56" s="207"/>
      <c r="DL56" s="207"/>
      <c r="DM56" s="207"/>
      <c r="DN56" s="215"/>
      <c r="DO56" s="226"/>
      <c r="DP56" s="227"/>
      <c r="DQ56" s="227"/>
      <c r="DR56" s="227"/>
      <c r="DS56" s="227"/>
      <c r="DT56" s="227"/>
      <c r="DU56" s="227"/>
      <c r="DV56" s="227"/>
      <c r="DW56" s="227"/>
      <c r="DX56" s="228"/>
      <c r="DY56" s="90"/>
      <c r="DZ56" s="91"/>
      <c r="EA56" s="91"/>
      <c r="EB56" s="91"/>
      <c r="EC56" s="91"/>
      <c r="ED56" s="91"/>
      <c r="EE56" s="91"/>
      <c r="EF56" s="91"/>
      <c r="EG56" s="91"/>
      <c r="EH56" s="92"/>
      <c r="EI56" s="237"/>
      <c r="EJ56" s="238"/>
      <c r="EK56" s="238"/>
      <c r="EL56" s="238"/>
      <c r="EM56" s="238"/>
      <c r="EN56" s="238"/>
      <c r="EO56" s="238"/>
      <c r="EP56" s="238"/>
      <c r="EQ56" s="238"/>
      <c r="ER56" s="273"/>
      <c r="ES56" s="316">
        <f t="shared" si="2"/>
        <v>0</v>
      </c>
      <c r="ET56" s="317">
        <f t="shared" ref="ET56:FD56" si="44">SUM(J56:S56)</f>
        <v>0</v>
      </c>
      <c r="EU56" s="317">
        <f t="shared" si="44"/>
        <v>0</v>
      </c>
      <c r="EV56" s="317">
        <f t="shared" si="44"/>
        <v>0</v>
      </c>
      <c r="EW56" s="317">
        <f t="shared" si="16"/>
        <v>0</v>
      </c>
      <c r="EX56" s="317">
        <f t="shared" si="44"/>
        <v>0</v>
      </c>
      <c r="EY56" s="317">
        <f t="shared" si="44"/>
        <v>0</v>
      </c>
      <c r="EZ56" s="317">
        <f t="shared" si="44"/>
        <v>0</v>
      </c>
      <c r="FA56" s="317">
        <f t="shared" si="44"/>
        <v>0</v>
      </c>
      <c r="FB56" s="317">
        <f t="shared" si="44"/>
        <v>0</v>
      </c>
      <c r="FC56" s="317">
        <f t="shared" si="44"/>
        <v>0</v>
      </c>
      <c r="FD56" s="317">
        <f t="shared" si="44"/>
        <v>0</v>
      </c>
      <c r="FE56" s="317">
        <f t="shared" si="12"/>
        <v>0</v>
      </c>
      <c r="FF56" s="317">
        <f t="shared" si="13"/>
        <v>0</v>
      </c>
      <c r="FG56" s="318">
        <f t="shared" si="18"/>
        <v>54</v>
      </c>
      <c r="FH56" s="319">
        <f t="shared" si="14"/>
        <v>0</v>
      </c>
      <c r="FI56" s="319">
        <f>SUM(I7:ER7)-SUM(ES56:FF56)</f>
        <v>128</v>
      </c>
      <c r="FJ56" s="319">
        <f t="shared" si="15"/>
        <v>128</v>
      </c>
      <c r="FK56" s="7"/>
    </row>
    <row r="57" spans="1:167" ht="15.75" customHeight="1">
      <c r="A57" s="2"/>
      <c r="B57" s="3">
        <f t="shared" si="0"/>
        <v>0</v>
      </c>
      <c r="C57" s="182">
        <f t="shared" si="1"/>
        <v>50</v>
      </c>
      <c r="D57" s="184"/>
      <c r="E57" s="203"/>
      <c r="F57" s="203"/>
      <c r="G57" s="571">
        <v>45915</v>
      </c>
      <c r="H57" s="572"/>
      <c r="I57" s="214"/>
      <c r="J57" s="207"/>
      <c r="K57" s="207"/>
      <c r="L57" s="207"/>
      <c r="M57" s="207"/>
      <c r="N57" s="207"/>
      <c r="O57" s="207"/>
      <c r="P57" s="207"/>
      <c r="Q57" s="207"/>
      <c r="R57" s="215"/>
      <c r="S57" s="226"/>
      <c r="T57" s="227"/>
      <c r="U57" s="227"/>
      <c r="V57" s="227"/>
      <c r="W57" s="227"/>
      <c r="X57" s="227"/>
      <c r="Y57" s="247"/>
      <c r="Z57" s="248"/>
      <c r="AA57" s="249"/>
      <c r="AB57" s="228"/>
      <c r="AC57" s="264"/>
      <c r="AD57" s="178"/>
      <c r="AE57" s="178"/>
      <c r="AF57" s="178"/>
      <c r="AG57" s="582"/>
      <c r="AH57" s="583"/>
      <c r="AI57" s="178"/>
      <c r="AJ57" s="178"/>
      <c r="AK57" s="178"/>
      <c r="AL57" s="265"/>
      <c r="AM57" s="237"/>
      <c r="AN57" s="271"/>
      <c r="AO57" s="238"/>
      <c r="AP57" s="238"/>
      <c r="AQ57" s="238"/>
      <c r="AR57" s="238"/>
      <c r="AS57" s="238"/>
      <c r="AT57" s="238"/>
      <c r="AU57" s="238"/>
      <c r="AV57" s="273"/>
      <c r="AW57" s="277"/>
      <c r="AX57" s="278"/>
      <c r="AY57" s="278"/>
      <c r="AZ57" s="129"/>
      <c r="BA57" s="278"/>
      <c r="BB57" s="278"/>
      <c r="BC57" s="278"/>
      <c r="BD57" s="129"/>
      <c r="BE57" s="278"/>
      <c r="BF57" s="281"/>
      <c r="BG57" s="214"/>
      <c r="BH57" s="207"/>
      <c r="BI57" s="207"/>
      <c r="BJ57" s="207"/>
      <c r="BK57" s="207"/>
      <c r="BL57" s="207"/>
      <c r="BM57" s="207"/>
      <c r="BN57" s="207"/>
      <c r="BO57" s="207"/>
      <c r="BP57" s="215"/>
      <c r="BQ57" s="226"/>
      <c r="BR57" s="227"/>
      <c r="BS57" s="227"/>
      <c r="BT57" s="227"/>
      <c r="BU57" s="227"/>
      <c r="BV57" s="227"/>
      <c r="BW57" s="227"/>
      <c r="BX57" s="227"/>
      <c r="BY57" s="227"/>
      <c r="BZ57" s="228"/>
      <c r="CA57" s="537"/>
      <c r="CB57" s="538"/>
      <c r="CC57" s="538"/>
      <c r="CD57" s="538"/>
      <c r="CE57" s="538"/>
      <c r="CF57" s="538"/>
      <c r="CG57" s="538"/>
      <c r="CH57" s="538"/>
      <c r="CI57" s="538"/>
      <c r="CJ57" s="538"/>
      <c r="CK57" s="237"/>
      <c r="CL57" s="238"/>
      <c r="CM57" s="238"/>
      <c r="CN57" s="238"/>
      <c r="CO57" s="238"/>
      <c r="CP57" s="238"/>
      <c r="CQ57" s="238"/>
      <c r="CR57" s="238"/>
      <c r="CS57" s="238"/>
      <c r="CT57" s="273"/>
      <c r="CU57" s="295"/>
      <c r="CV57" s="296"/>
      <c r="CW57" s="296"/>
      <c r="CX57" s="296"/>
      <c r="CY57" s="296"/>
      <c r="CZ57" s="296"/>
      <c r="DA57" s="296"/>
      <c r="DB57" s="296"/>
      <c r="DC57" s="297"/>
      <c r="DD57" s="298"/>
      <c r="DE57" s="214"/>
      <c r="DF57" s="207"/>
      <c r="DG57" s="207"/>
      <c r="DH57" s="207"/>
      <c r="DI57" s="207"/>
      <c r="DJ57" s="207"/>
      <c r="DK57" s="207"/>
      <c r="DL57" s="207"/>
      <c r="DM57" s="207"/>
      <c r="DN57" s="215"/>
      <c r="DO57" s="226"/>
      <c r="DP57" s="227"/>
      <c r="DQ57" s="227"/>
      <c r="DR57" s="227"/>
      <c r="DS57" s="227"/>
      <c r="DT57" s="227"/>
      <c r="DU57" s="227"/>
      <c r="DV57" s="227"/>
      <c r="DW57" s="227"/>
      <c r="DX57" s="228"/>
      <c r="DY57" s="90"/>
      <c r="DZ57" s="91"/>
      <c r="EA57" s="91"/>
      <c r="EB57" s="91"/>
      <c r="EC57" s="91"/>
      <c r="ED57" s="91"/>
      <c r="EE57" s="91"/>
      <c r="EF57" s="91"/>
      <c r="EG57" s="91"/>
      <c r="EH57" s="92"/>
      <c r="EI57" s="237"/>
      <c r="EJ57" s="238"/>
      <c r="EK57" s="238"/>
      <c r="EL57" s="238"/>
      <c r="EM57" s="238"/>
      <c r="EN57" s="238"/>
      <c r="EO57" s="238"/>
      <c r="EP57" s="238"/>
      <c r="EQ57" s="238"/>
      <c r="ER57" s="273"/>
      <c r="ES57" s="316"/>
      <c r="ET57" s="317"/>
      <c r="EU57" s="317"/>
      <c r="EV57" s="317"/>
      <c r="EW57" s="317"/>
      <c r="EX57" s="317"/>
      <c r="EY57" s="317"/>
      <c r="EZ57" s="317"/>
      <c r="FA57" s="317"/>
      <c r="FB57" s="317"/>
      <c r="FC57" s="317"/>
      <c r="FD57" s="317"/>
      <c r="FE57" s="317"/>
      <c r="FF57" s="317"/>
      <c r="FG57" s="318"/>
      <c r="FH57" s="319"/>
      <c r="FI57" s="319"/>
      <c r="FJ57" s="319"/>
      <c r="FK57" s="7"/>
    </row>
    <row r="58" spans="1:167" ht="15.75" customHeight="1">
      <c r="A58" s="2"/>
      <c r="B58" s="3"/>
      <c r="C58" s="182"/>
      <c r="D58" s="4"/>
      <c r="E58" s="203"/>
      <c r="F58" s="203"/>
      <c r="G58" s="574"/>
      <c r="H58" s="572"/>
      <c r="I58" s="214"/>
      <c r="J58" s="207"/>
      <c r="K58" s="207"/>
      <c r="L58" s="207"/>
      <c r="M58" s="207"/>
      <c r="N58" s="207"/>
      <c r="O58" s="207"/>
      <c r="P58" s="207"/>
      <c r="Q58" s="207"/>
      <c r="R58" s="215"/>
      <c r="S58" s="226"/>
      <c r="T58" s="227"/>
      <c r="U58" s="227"/>
      <c r="V58" s="227"/>
      <c r="W58" s="227"/>
      <c r="X58" s="227"/>
      <c r="Y58" s="247"/>
      <c r="Z58" s="248"/>
      <c r="AA58" s="249"/>
      <c r="AB58" s="228"/>
      <c r="AC58" s="264"/>
      <c r="AD58" s="178"/>
      <c r="AE58" s="178"/>
      <c r="AF58" s="178"/>
      <c r="AG58" s="582"/>
      <c r="AH58" s="583"/>
      <c r="AI58" s="178"/>
      <c r="AJ58" s="178"/>
      <c r="AK58" s="178"/>
      <c r="AL58" s="265"/>
      <c r="AM58" s="237"/>
      <c r="AN58" s="271"/>
      <c r="AO58" s="238"/>
      <c r="AP58" s="238"/>
      <c r="AQ58" s="238"/>
      <c r="AR58" s="238"/>
      <c r="AS58" s="238"/>
      <c r="AT58" s="238"/>
      <c r="AU58" s="238"/>
      <c r="AV58" s="273"/>
      <c r="AW58" s="277"/>
      <c r="AX58" s="278"/>
      <c r="AY58" s="278"/>
      <c r="AZ58" s="129"/>
      <c r="BA58" s="278"/>
      <c r="BB58" s="278"/>
      <c r="BC58" s="278"/>
      <c r="BD58" s="129"/>
      <c r="BE58" s="278"/>
      <c r="BF58" s="281"/>
      <c r="BG58" s="214"/>
      <c r="BH58" s="207"/>
      <c r="BI58" s="207"/>
      <c r="BJ58" s="207"/>
      <c r="BK58" s="207"/>
      <c r="BL58" s="207"/>
      <c r="BM58" s="207"/>
      <c r="BN58" s="207"/>
      <c r="BO58" s="207"/>
      <c r="BP58" s="215"/>
      <c r="BQ58" s="226"/>
      <c r="BR58" s="227"/>
      <c r="BS58" s="227"/>
      <c r="BT58" s="227"/>
      <c r="BU58" s="227"/>
      <c r="BV58" s="227"/>
      <c r="BW58" s="227"/>
      <c r="BX58" s="227"/>
      <c r="BY58" s="227"/>
      <c r="BZ58" s="228"/>
      <c r="CA58" s="537"/>
      <c r="CB58" s="538"/>
      <c r="CC58" s="538"/>
      <c r="CD58" s="538"/>
      <c r="CE58" s="538"/>
      <c r="CF58" s="538"/>
      <c r="CG58" s="538"/>
      <c r="CH58" s="538"/>
      <c r="CI58" s="538"/>
      <c r="CJ58" s="538"/>
      <c r="CK58" s="237"/>
      <c r="CL58" s="238"/>
      <c r="CM58" s="238"/>
      <c r="CN58" s="238"/>
      <c r="CO58" s="238"/>
      <c r="CP58" s="238"/>
      <c r="CQ58" s="238"/>
      <c r="CR58" s="238"/>
      <c r="CS58" s="238"/>
      <c r="CT58" s="273"/>
      <c r="CU58" s="295"/>
      <c r="CV58" s="296"/>
      <c r="CW58" s="296"/>
      <c r="CX58" s="296"/>
      <c r="CY58" s="296"/>
      <c r="CZ58" s="296"/>
      <c r="DA58" s="296"/>
      <c r="DB58" s="296"/>
      <c r="DC58" s="297"/>
      <c r="DD58" s="298"/>
      <c r="DE58" s="214"/>
      <c r="DF58" s="207"/>
      <c r="DG58" s="207"/>
      <c r="DH58" s="207"/>
      <c r="DI58" s="207"/>
      <c r="DJ58" s="207"/>
      <c r="DK58" s="207"/>
      <c r="DL58" s="207"/>
      <c r="DM58" s="207"/>
      <c r="DN58" s="215"/>
      <c r="DO58" s="226"/>
      <c r="DP58" s="227"/>
      <c r="DQ58" s="227"/>
      <c r="DR58" s="227"/>
      <c r="DS58" s="227"/>
      <c r="DT58" s="227"/>
      <c r="DU58" s="227"/>
      <c r="DV58" s="227"/>
      <c r="DW58" s="227"/>
      <c r="DX58" s="228"/>
      <c r="DY58" s="90"/>
      <c r="DZ58" s="91"/>
      <c r="EA58" s="91"/>
      <c r="EB58" s="91"/>
      <c r="EC58" s="91"/>
      <c r="ED58" s="91"/>
      <c r="EE58" s="91"/>
      <c r="EF58" s="91"/>
      <c r="EG58" s="91"/>
      <c r="EH58" s="92"/>
      <c r="EI58" s="237"/>
      <c r="EJ58" s="238"/>
      <c r="EK58" s="238"/>
      <c r="EL58" s="238"/>
      <c r="EM58" s="238"/>
      <c r="EN58" s="238"/>
      <c r="EO58" s="238"/>
      <c r="EP58" s="238"/>
      <c r="EQ58" s="238"/>
      <c r="ER58" s="273"/>
      <c r="ES58" s="316"/>
      <c r="ET58" s="317"/>
      <c r="EU58" s="317"/>
      <c r="EV58" s="317"/>
      <c r="EW58" s="317"/>
      <c r="EX58" s="317"/>
      <c r="EY58" s="317"/>
      <c r="EZ58" s="317"/>
      <c r="FA58" s="317"/>
      <c r="FB58" s="317"/>
      <c r="FC58" s="317"/>
      <c r="FD58" s="317"/>
      <c r="FE58" s="317"/>
      <c r="FF58" s="317"/>
      <c r="FG58" s="318"/>
      <c r="FH58" s="319"/>
      <c r="FI58" s="319"/>
      <c r="FJ58" s="319"/>
      <c r="FK58" s="7"/>
    </row>
    <row r="59" spans="1:167" ht="15.75" customHeight="1">
      <c r="A59" s="2"/>
      <c r="B59" s="3"/>
      <c r="C59" s="182"/>
      <c r="D59" s="5" t="s">
        <v>25</v>
      </c>
      <c r="E59" s="203"/>
      <c r="F59" s="203"/>
      <c r="G59" s="574"/>
      <c r="H59" s="572"/>
      <c r="I59" s="214"/>
      <c r="J59" s="207"/>
      <c r="K59" s="207"/>
      <c r="L59" s="207"/>
      <c r="M59" s="207"/>
      <c r="N59" s="207"/>
      <c r="O59" s="207"/>
      <c r="P59" s="207"/>
      <c r="Q59" s="207"/>
      <c r="R59" s="215"/>
      <c r="S59" s="226"/>
      <c r="T59" s="227"/>
      <c r="U59" s="227"/>
      <c r="V59" s="227"/>
      <c r="W59" s="227"/>
      <c r="X59" s="227"/>
      <c r="Y59" s="247"/>
      <c r="Z59" s="248"/>
      <c r="AA59" s="249"/>
      <c r="AB59" s="228"/>
      <c r="AC59" s="264"/>
      <c r="AD59" s="178"/>
      <c r="AE59" s="178"/>
      <c r="AF59" s="178"/>
      <c r="AG59" s="582"/>
      <c r="AH59" s="583"/>
      <c r="AI59" s="178"/>
      <c r="AJ59" s="178"/>
      <c r="AK59" s="178"/>
      <c r="AL59" s="265"/>
      <c r="AM59" s="237"/>
      <c r="AN59" s="271"/>
      <c r="AO59" s="238"/>
      <c r="AP59" s="238"/>
      <c r="AQ59" s="238"/>
      <c r="AR59" s="238"/>
      <c r="AS59" s="238"/>
      <c r="AT59" s="238"/>
      <c r="AU59" s="238"/>
      <c r="AV59" s="273"/>
      <c r="AW59" s="277"/>
      <c r="AX59" s="278"/>
      <c r="AY59" s="278"/>
      <c r="AZ59" s="129"/>
      <c r="BA59" s="278"/>
      <c r="BB59" s="278"/>
      <c r="BC59" s="278"/>
      <c r="BD59" s="129"/>
      <c r="BE59" s="278"/>
      <c r="BF59" s="281"/>
      <c r="BG59" s="214"/>
      <c r="BH59" s="207"/>
      <c r="BI59" s="207"/>
      <c r="BJ59" s="207"/>
      <c r="BK59" s="207"/>
      <c r="BL59" s="207"/>
      <c r="BM59" s="207"/>
      <c r="BN59" s="207"/>
      <c r="BO59" s="207"/>
      <c r="BP59" s="215"/>
      <c r="BQ59" s="226"/>
      <c r="BR59" s="227"/>
      <c r="BS59" s="227"/>
      <c r="BT59" s="227"/>
      <c r="BU59" s="227"/>
      <c r="BV59" s="227"/>
      <c r="BW59" s="227"/>
      <c r="BX59" s="227"/>
      <c r="BY59" s="227"/>
      <c r="BZ59" s="228"/>
      <c r="CA59" s="537"/>
      <c r="CB59" s="538"/>
      <c r="CC59" s="538"/>
      <c r="CD59" s="538"/>
      <c r="CE59" s="538"/>
      <c r="CF59" s="538"/>
      <c r="CG59" s="538"/>
      <c r="CH59" s="538"/>
      <c r="CI59" s="538"/>
      <c r="CJ59" s="538"/>
      <c r="CK59" s="237"/>
      <c r="CL59" s="238"/>
      <c r="CM59" s="238"/>
      <c r="CN59" s="238"/>
      <c r="CO59" s="238"/>
      <c r="CP59" s="238"/>
      <c r="CQ59" s="238"/>
      <c r="CR59" s="238"/>
      <c r="CS59" s="238"/>
      <c r="CT59" s="273"/>
      <c r="CU59" s="295"/>
      <c r="CV59" s="296"/>
      <c r="CW59" s="296"/>
      <c r="CX59" s="296"/>
      <c r="CY59" s="296"/>
      <c r="CZ59" s="296"/>
      <c r="DA59" s="296"/>
      <c r="DB59" s="296"/>
      <c r="DC59" s="297"/>
      <c r="DD59" s="298"/>
      <c r="DE59" s="214"/>
      <c r="DF59" s="207"/>
      <c r="DG59" s="207"/>
      <c r="DH59" s="207"/>
      <c r="DI59" s="207"/>
      <c r="DJ59" s="207"/>
      <c r="DK59" s="207"/>
      <c r="DL59" s="207"/>
      <c r="DM59" s="207"/>
      <c r="DN59" s="215"/>
      <c r="DO59" s="226"/>
      <c r="DP59" s="227"/>
      <c r="DQ59" s="227"/>
      <c r="DR59" s="227"/>
      <c r="DS59" s="227"/>
      <c r="DT59" s="227"/>
      <c r="DU59" s="227"/>
      <c r="DV59" s="227"/>
      <c r="DW59" s="227"/>
      <c r="DX59" s="228"/>
      <c r="DY59" s="90"/>
      <c r="DZ59" s="91"/>
      <c r="EA59" s="91"/>
      <c r="EB59" s="91"/>
      <c r="EC59" s="91"/>
      <c r="ED59" s="91"/>
      <c r="EE59" s="91"/>
      <c r="EF59" s="91"/>
      <c r="EG59" s="91"/>
      <c r="EH59" s="92"/>
      <c r="EI59" s="237"/>
      <c r="EJ59" s="238"/>
      <c r="EK59" s="238"/>
      <c r="EL59" s="238"/>
      <c r="EM59" s="238"/>
      <c r="EN59" s="238"/>
      <c r="EO59" s="238"/>
      <c r="EP59" s="238"/>
      <c r="EQ59" s="238"/>
      <c r="ER59" s="273"/>
      <c r="ES59" s="316"/>
      <c r="ET59" s="317"/>
      <c r="EU59" s="317"/>
      <c r="EV59" s="317"/>
      <c r="EW59" s="317"/>
      <c r="EX59" s="317"/>
      <c r="EY59" s="317"/>
      <c r="EZ59" s="317"/>
      <c r="FA59" s="317"/>
      <c r="FB59" s="317"/>
      <c r="FC59" s="317"/>
      <c r="FD59" s="317"/>
      <c r="FE59" s="317"/>
      <c r="FF59" s="317"/>
      <c r="FG59" s="318"/>
      <c r="FH59" s="319"/>
      <c r="FI59" s="319"/>
      <c r="FJ59" s="319"/>
      <c r="FK59" s="7"/>
    </row>
    <row r="60" spans="1:167" ht="15.75" customHeight="1">
      <c r="A60" s="2"/>
      <c r="B60" s="3">
        <f t="shared" ref="B60:B109" si="45">IF(ISTEXT(D60),1,0)</f>
        <v>1</v>
      </c>
      <c r="C60" s="182">
        <f t="shared" ref="C60:C109" si="46">ROW(D1)</f>
        <v>1</v>
      </c>
      <c r="D60" s="185" t="s">
        <v>101</v>
      </c>
      <c r="E60" s="203"/>
      <c r="F60" s="203">
        <v>16</v>
      </c>
      <c r="G60" s="571">
        <v>45915</v>
      </c>
      <c r="H60" s="572"/>
      <c r="I60" s="212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13">
        <v>0</v>
      </c>
      <c r="S60" s="223">
        <v>1</v>
      </c>
      <c r="T60" s="224">
        <v>1</v>
      </c>
      <c r="U60" s="224">
        <v>1</v>
      </c>
      <c r="V60" s="224">
        <v>1</v>
      </c>
      <c r="W60" s="224">
        <v>1</v>
      </c>
      <c r="X60" s="224">
        <v>1</v>
      </c>
      <c r="Y60" s="244">
        <v>1</v>
      </c>
      <c r="Z60" s="245">
        <v>1</v>
      </c>
      <c r="AA60" s="246">
        <v>1</v>
      </c>
      <c r="AB60" s="225">
        <v>1</v>
      </c>
      <c r="AC60" s="262">
        <v>1</v>
      </c>
      <c r="AD60" s="177">
        <v>1</v>
      </c>
      <c r="AE60" s="177">
        <v>1</v>
      </c>
      <c r="AF60" s="177">
        <v>1</v>
      </c>
      <c r="AG60" s="582"/>
      <c r="AH60" s="583"/>
      <c r="AI60" s="177">
        <v>1</v>
      </c>
      <c r="AJ60" s="177">
        <v>1</v>
      </c>
      <c r="AK60" s="177">
        <v>1</v>
      </c>
      <c r="AL60" s="263">
        <v>1</v>
      </c>
      <c r="AM60" s="235">
        <v>1</v>
      </c>
      <c r="AN60" s="271">
        <v>1</v>
      </c>
      <c r="AO60" s="236">
        <v>1</v>
      </c>
      <c r="AP60" s="236">
        <v>1</v>
      </c>
      <c r="AQ60" s="236">
        <v>1</v>
      </c>
      <c r="AR60" s="236">
        <v>1</v>
      </c>
      <c r="AS60" s="236">
        <v>1</v>
      </c>
      <c r="AT60" s="236">
        <v>1</v>
      </c>
      <c r="AU60" s="236">
        <v>1</v>
      </c>
      <c r="AV60" s="272">
        <v>1</v>
      </c>
      <c r="AW60" s="277">
        <v>1</v>
      </c>
      <c r="AX60" s="278">
        <v>1</v>
      </c>
      <c r="AY60" s="278">
        <v>1</v>
      </c>
      <c r="AZ60" s="127">
        <v>1</v>
      </c>
      <c r="BA60" s="278">
        <v>1</v>
      </c>
      <c r="BB60" s="278">
        <v>1</v>
      </c>
      <c r="BC60" s="278">
        <v>1</v>
      </c>
      <c r="BD60" s="127">
        <v>1</v>
      </c>
      <c r="BE60" s="278">
        <v>1</v>
      </c>
      <c r="BF60" s="280">
        <v>1</v>
      </c>
      <c r="BG60" s="212">
        <v>1</v>
      </c>
      <c r="BH60" s="206">
        <v>1</v>
      </c>
      <c r="BI60" s="206">
        <v>1</v>
      </c>
      <c r="BJ60" s="206">
        <v>1</v>
      </c>
      <c r="BK60" s="206">
        <v>1</v>
      </c>
      <c r="BL60" s="206">
        <v>1</v>
      </c>
      <c r="BM60" s="207">
        <v>1</v>
      </c>
      <c r="BN60" s="207">
        <v>1</v>
      </c>
      <c r="BO60" s="207">
        <v>1</v>
      </c>
      <c r="BP60" s="215">
        <v>1</v>
      </c>
      <c r="BQ60" s="226">
        <v>1</v>
      </c>
      <c r="BR60" s="227">
        <v>1</v>
      </c>
      <c r="BS60" s="227">
        <v>1</v>
      </c>
      <c r="BT60" s="227">
        <v>1</v>
      </c>
      <c r="BU60" s="227">
        <v>1</v>
      </c>
      <c r="BV60" s="227">
        <v>1</v>
      </c>
      <c r="BW60" s="227">
        <v>1</v>
      </c>
      <c r="BX60" s="227">
        <v>1</v>
      </c>
      <c r="BY60" s="227">
        <v>1</v>
      </c>
      <c r="BZ60" s="228">
        <v>1</v>
      </c>
      <c r="CA60" s="537"/>
      <c r="CB60" s="538"/>
      <c r="CC60" s="538"/>
      <c r="CD60" s="538"/>
      <c r="CE60" s="538"/>
      <c r="CF60" s="538"/>
      <c r="CG60" s="538"/>
      <c r="CH60" s="538"/>
      <c r="CI60" s="538"/>
      <c r="CJ60" s="538"/>
      <c r="CK60" s="237">
        <v>1</v>
      </c>
      <c r="CL60" s="238">
        <v>1</v>
      </c>
      <c r="CM60" s="238">
        <v>1</v>
      </c>
      <c r="CN60" s="238">
        <v>1</v>
      </c>
      <c r="CO60" s="238">
        <v>1</v>
      </c>
      <c r="CP60" s="238">
        <v>1</v>
      </c>
      <c r="CQ60" s="238">
        <v>1</v>
      </c>
      <c r="CR60" s="238">
        <v>1</v>
      </c>
      <c r="CS60" s="238">
        <v>1</v>
      </c>
      <c r="CT60" s="273">
        <v>1</v>
      </c>
      <c r="CU60" s="295">
        <v>1</v>
      </c>
      <c r="CV60" s="296">
        <v>1</v>
      </c>
      <c r="CW60" s="296">
        <v>0</v>
      </c>
      <c r="CX60" s="296">
        <v>0</v>
      </c>
      <c r="CY60" s="296">
        <v>1</v>
      </c>
      <c r="CZ60" s="296">
        <v>1</v>
      </c>
      <c r="DA60" s="296">
        <v>1</v>
      </c>
      <c r="DB60" s="296">
        <v>1</v>
      </c>
      <c r="DC60" s="297">
        <v>1</v>
      </c>
      <c r="DD60" s="298">
        <v>1</v>
      </c>
      <c r="DE60" s="214">
        <v>1</v>
      </c>
      <c r="DF60" s="207">
        <v>1</v>
      </c>
      <c r="DG60" s="207">
        <v>1</v>
      </c>
      <c r="DH60" s="207">
        <v>1</v>
      </c>
      <c r="DI60" s="207">
        <v>1</v>
      </c>
      <c r="DJ60" s="207">
        <v>1</v>
      </c>
      <c r="DK60" s="207">
        <v>1</v>
      </c>
      <c r="DL60" s="207">
        <v>1</v>
      </c>
      <c r="DM60" s="207">
        <v>1</v>
      </c>
      <c r="DN60" s="215">
        <v>1</v>
      </c>
      <c r="DO60" s="226">
        <v>1</v>
      </c>
      <c r="DP60" s="227">
        <v>1</v>
      </c>
      <c r="DQ60" s="227">
        <v>1</v>
      </c>
      <c r="DR60" s="227">
        <v>1</v>
      </c>
      <c r="DS60" s="227">
        <v>1</v>
      </c>
      <c r="DT60" s="227">
        <v>1</v>
      </c>
      <c r="DU60" s="227">
        <v>1</v>
      </c>
      <c r="DV60" s="227">
        <v>1</v>
      </c>
      <c r="DW60" s="227">
        <v>1</v>
      </c>
      <c r="DX60" s="228">
        <v>1</v>
      </c>
      <c r="DY60" s="90">
        <v>1</v>
      </c>
      <c r="DZ60" s="91">
        <v>1</v>
      </c>
      <c r="EA60" s="91">
        <v>1</v>
      </c>
      <c r="EB60" s="91">
        <v>1</v>
      </c>
      <c r="EC60" s="91">
        <v>1</v>
      </c>
      <c r="ED60" s="91">
        <v>1</v>
      </c>
      <c r="EE60" s="91">
        <v>1</v>
      </c>
      <c r="EF60" s="91">
        <v>1</v>
      </c>
      <c r="EG60" s="91">
        <v>1</v>
      </c>
      <c r="EH60" s="92">
        <v>1</v>
      </c>
      <c r="EI60" s="237">
        <v>1</v>
      </c>
      <c r="EJ60" s="238">
        <v>1</v>
      </c>
      <c r="EK60" s="238">
        <v>1</v>
      </c>
      <c r="EL60" s="238">
        <v>1</v>
      </c>
      <c r="EM60" s="238">
        <v>1</v>
      </c>
      <c r="EN60" s="238">
        <v>1</v>
      </c>
      <c r="EO60" s="238">
        <v>1</v>
      </c>
      <c r="EP60" s="238">
        <v>1</v>
      </c>
      <c r="EQ60" s="238">
        <v>1</v>
      </c>
      <c r="ER60" s="273">
        <v>1</v>
      </c>
      <c r="ES60" s="316">
        <f t="shared" ref="ES60:ES109" si="47">SUM(I60:R60)</f>
        <v>0</v>
      </c>
      <c r="ET60" s="317">
        <f t="shared" ref="ET60:ET109" si="48">SUM(S60:AB60)</f>
        <v>10</v>
      </c>
      <c r="EU60" s="317">
        <f t="shared" ref="EU60:EU109" si="49">SUM(AC60:AL60)</f>
        <v>8</v>
      </c>
      <c r="EV60" s="317">
        <f t="shared" ref="EV60:EV109" si="50">SUM(AM60:AV60)</f>
        <v>10</v>
      </c>
      <c r="EW60" s="317">
        <f t="shared" ref="EW60:EW109" si="51">SUM(AX60:BF60)</f>
        <v>9</v>
      </c>
      <c r="EX60" s="317">
        <f t="shared" ref="EX60:EX109" si="52">SUM(BG60:BP60)</f>
        <v>10</v>
      </c>
      <c r="EY60" s="317">
        <f t="shared" ref="EY60:EY109" si="53">SUM(BQ60:BZ60)</f>
        <v>10</v>
      </c>
      <c r="EZ60" s="317">
        <f t="shared" ref="EZ60:EZ109" si="54">SUM(CA60:CJ60)</f>
        <v>0</v>
      </c>
      <c r="FA60" s="317">
        <f t="shared" ref="FA60:FA109" si="55">SUM(CK60:CT60)</f>
        <v>10</v>
      </c>
      <c r="FB60" s="317">
        <f t="shared" ref="FB60:FB109" si="56">SUM(CU60:DD60)</f>
        <v>8</v>
      </c>
      <c r="FC60" s="317">
        <f t="shared" ref="FC60:FC109" si="57">SUM(DE60:DN60)</f>
        <v>10</v>
      </c>
      <c r="FD60" s="317">
        <f t="shared" ref="FD60:FD109" si="58">SUM(DO60:DX60)</f>
        <v>10</v>
      </c>
      <c r="FE60" s="317">
        <f t="shared" ref="FE60:FE109" si="59">SUM(DY60:EH60)</f>
        <v>10</v>
      </c>
      <c r="FF60" s="317">
        <f t="shared" ref="FF60:FF109" si="60">SUM(EI60:ER60)</f>
        <v>10</v>
      </c>
      <c r="FG60" s="318">
        <f>ROW(FG30)</f>
        <v>30</v>
      </c>
      <c r="FH60" s="319">
        <f t="shared" ref="FH60:FH110" si="61">SUM(ES60:FF60)</f>
        <v>115</v>
      </c>
      <c r="FI60" s="319">
        <f>SUM(I7:ER7)-SUM(ES60:FF60)</f>
        <v>13</v>
      </c>
      <c r="FJ60" s="319">
        <f t="shared" ref="FJ60:FJ110" si="62">SUM(FH60:FI60)</f>
        <v>128</v>
      </c>
      <c r="FK60" s="7"/>
    </row>
    <row r="61" spans="1:167" ht="15.75" customHeight="1">
      <c r="A61" s="2"/>
      <c r="B61" s="3">
        <f t="shared" si="45"/>
        <v>1</v>
      </c>
      <c r="C61" s="182">
        <f t="shared" si="46"/>
        <v>2</v>
      </c>
      <c r="D61" s="185" t="s">
        <v>102</v>
      </c>
      <c r="E61" s="203"/>
      <c r="F61" s="203">
        <v>15</v>
      </c>
      <c r="G61" s="571">
        <v>45915</v>
      </c>
      <c r="H61" s="572"/>
      <c r="I61" s="212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13">
        <v>0</v>
      </c>
      <c r="S61" s="223">
        <v>1</v>
      </c>
      <c r="T61" s="224">
        <v>1</v>
      </c>
      <c r="U61" s="224">
        <v>1</v>
      </c>
      <c r="V61" s="224">
        <v>1</v>
      </c>
      <c r="W61" s="224">
        <v>1</v>
      </c>
      <c r="X61" s="224">
        <v>1</v>
      </c>
      <c r="Y61" s="244">
        <v>1</v>
      </c>
      <c r="Z61" s="245">
        <v>1</v>
      </c>
      <c r="AA61" s="246">
        <v>1</v>
      </c>
      <c r="AB61" s="225">
        <v>1</v>
      </c>
      <c r="AC61" s="262">
        <v>1</v>
      </c>
      <c r="AD61" s="177">
        <v>1</v>
      </c>
      <c r="AE61" s="177">
        <v>1</v>
      </c>
      <c r="AF61" s="177">
        <v>1</v>
      </c>
      <c r="AG61" s="582"/>
      <c r="AH61" s="583"/>
      <c r="AI61" s="177">
        <v>1</v>
      </c>
      <c r="AJ61" s="177">
        <v>1</v>
      </c>
      <c r="AK61" s="177">
        <v>1</v>
      </c>
      <c r="AL61" s="263">
        <v>1</v>
      </c>
      <c r="AM61" s="235">
        <v>1</v>
      </c>
      <c r="AN61" s="271">
        <v>1</v>
      </c>
      <c r="AO61" s="236">
        <v>1</v>
      </c>
      <c r="AP61" s="236">
        <v>1</v>
      </c>
      <c r="AQ61" s="236">
        <v>1</v>
      </c>
      <c r="AR61" s="236">
        <v>1</v>
      </c>
      <c r="AS61" s="236">
        <v>1</v>
      </c>
      <c r="AT61" s="236">
        <v>1</v>
      </c>
      <c r="AU61" s="236">
        <v>1</v>
      </c>
      <c r="AV61" s="272">
        <v>1</v>
      </c>
      <c r="AW61" s="277">
        <v>1</v>
      </c>
      <c r="AX61" s="278">
        <v>1</v>
      </c>
      <c r="AY61" s="278">
        <v>1</v>
      </c>
      <c r="AZ61" s="127">
        <v>1</v>
      </c>
      <c r="BA61" s="278">
        <v>1</v>
      </c>
      <c r="BB61" s="278">
        <v>1</v>
      </c>
      <c r="BC61" s="278">
        <v>1</v>
      </c>
      <c r="BD61" s="127">
        <v>1</v>
      </c>
      <c r="BE61" s="278">
        <v>1</v>
      </c>
      <c r="BF61" s="280">
        <v>1</v>
      </c>
      <c r="BG61" s="212">
        <v>1</v>
      </c>
      <c r="BH61" s="206">
        <v>1</v>
      </c>
      <c r="BI61" s="206">
        <v>1</v>
      </c>
      <c r="BJ61" s="206">
        <v>1</v>
      </c>
      <c r="BK61" s="206">
        <v>1</v>
      </c>
      <c r="BL61" s="206">
        <v>1</v>
      </c>
      <c r="BM61" s="207">
        <v>1</v>
      </c>
      <c r="BN61" s="207">
        <v>1</v>
      </c>
      <c r="BO61" s="207">
        <v>1</v>
      </c>
      <c r="BP61" s="215">
        <v>1</v>
      </c>
      <c r="BQ61" s="226">
        <v>1</v>
      </c>
      <c r="BR61" s="227">
        <v>1</v>
      </c>
      <c r="BS61" s="227">
        <v>1</v>
      </c>
      <c r="BT61" s="227">
        <v>1</v>
      </c>
      <c r="BU61" s="227">
        <v>1</v>
      </c>
      <c r="BV61" s="227">
        <v>1</v>
      </c>
      <c r="BW61" s="227">
        <v>1</v>
      </c>
      <c r="BX61" s="227">
        <v>1</v>
      </c>
      <c r="BY61" s="227">
        <v>1</v>
      </c>
      <c r="BZ61" s="228">
        <v>1</v>
      </c>
      <c r="CA61" s="537"/>
      <c r="CB61" s="538"/>
      <c r="CC61" s="538"/>
      <c r="CD61" s="538"/>
      <c r="CE61" s="538"/>
      <c r="CF61" s="538"/>
      <c r="CG61" s="538"/>
      <c r="CH61" s="538"/>
      <c r="CI61" s="538"/>
      <c r="CJ61" s="538"/>
      <c r="CK61" s="237">
        <v>1</v>
      </c>
      <c r="CL61" s="238">
        <v>1</v>
      </c>
      <c r="CM61" s="238">
        <v>1</v>
      </c>
      <c r="CN61" s="238">
        <v>1</v>
      </c>
      <c r="CO61" s="238">
        <v>1</v>
      </c>
      <c r="CP61" s="238">
        <v>1</v>
      </c>
      <c r="CQ61" s="238">
        <v>1</v>
      </c>
      <c r="CR61" s="238">
        <v>1</v>
      </c>
      <c r="CS61" s="238">
        <v>1</v>
      </c>
      <c r="CT61" s="273">
        <v>1</v>
      </c>
      <c r="CU61" s="295">
        <v>1</v>
      </c>
      <c r="CV61" s="296">
        <v>1</v>
      </c>
      <c r="CW61" s="296">
        <v>1</v>
      </c>
      <c r="CX61" s="296">
        <v>1</v>
      </c>
      <c r="CY61" s="296">
        <v>1</v>
      </c>
      <c r="CZ61" s="296">
        <v>1</v>
      </c>
      <c r="DA61" s="296">
        <v>1</v>
      </c>
      <c r="DB61" s="296">
        <v>1</v>
      </c>
      <c r="DC61" s="297">
        <v>1</v>
      </c>
      <c r="DD61" s="298">
        <v>1</v>
      </c>
      <c r="DE61" s="214">
        <v>1</v>
      </c>
      <c r="DF61" s="207">
        <v>1</v>
      </c>
      <c r="DG61" s="207">
        <v>1</v>
      </c>
      <c r="DH61" s="207">
        <v>1</v>
      </c>
      <c r="DI61" s="207">
        <v>1</v>
      </c>
      <c r="DJ61" s="207">
        <v>1</v>
      </c>
      <c r="DK61" s="207">
        <v>1</v>
      </c>
      <c r="DL61" s="207">
        <v>1</v>
      </c>
      <c r="DM61" s="207">
        <v>1</v>
      </c>
      <c r="DN61" s="215">
        <v>1</v>
      </c>
      <c r="DO61" s="226">
        <v>1</v>
      </c>
      <c r="DP61" s="227">
        <v>1</v>
      </c>
      <c r="DQ61" s="227">
        <v>1</v>
      </c>
      <c r="DR61" s="227">
        <v>1</v>
      </c>
      <c r="DS61" s="227">
        <v>1</v>
      </c>
      <c r="DT61" s="227">
        <v>1</v>
      </c>
      <c r="DU61" s="227">
        <v>1</v>
      </c>
      <c r="DV61" s="227">
        <v>1</v>
      </c>
      <c r="DW61" s="227">
        <v>1</v>
      </c>
      <c r="DX61" s="228">
        <v>1</v>
      </c>
      <c r="DY61" s="90">
        <v>1</v>
      </c>
      <c r="DZ61" s="91">
        <v>1</v>
      </c>
      <c r="EA61" s="91">
        <v>1</v>
      </c>
      <c r="EB61" s="91">
        <v>1</v>
      </c>
      <c r="EC61" s="91">
        <v>1</v>
      </c>
      <c r="ED61" s="91">
        <v>1</v>
      </c>
      <c r="EE61" s="91">
        <v>1</v>
      </c>
      <c r="EF61" s="91">
        <v>1</v>
      </c>
      <c r="EG61" s="91">
        <v>1</v>
      </c>
      <c r="EH61" s="92">
        <v>1</v>
      </c>
      <c r="EI61" s="237">
        <v>1</v>
      </c>
      <c r="EJ61" s="238">
        <v>1</v>
      </c>
      <c r="EK61" s="238">
        <v>1</v>
      </c>
      <c r="EL61" s="238">
        <v>1</v>
      </c>
      <c r="EM61" s="238">
        <v>1</v>
      </c>
      <c r="EN61" s="238">
        <v>1</v>
      </c>
      <c r="EO61" s="238">
        <v>1</v>
      </c>
      <c r="EP61" s="238">
        <v>1</v>
      </c>
      <c r="EQ61" s="238">
        <v>1</v>
      </c>
      <c r="ER61" s="273">
        <v>1</v>
      </c>
      <c r="ES61" s="316">
        <f t="shared" si="47"/>
        <v>0</v>
      </c>
      <c r="ET61" s="317">
        <f t="shared" si="48"/>
        <v>10</v>
      </c>
      <c r="EU61" s="317">
        <f t="shared" si="49"/>
        <v>8</v>
      </c>
      <c r="EV61" s="317">
        <f t="shared" si="50"/>
        <v>10</v>
      </c>
      <c r="EW61" s="317">
        <f t="shared" si="51"/>
        <v>9</v>
      </c>
      <c r="EX61" s="317">
        <f t="shared" si="52"/>
        <v>10</v>
      </c>
      <c r="EY61" s="317">
        <f t="shared" si="53"/>
        <v>10</v>
      </c>
      <c r="EZ61" s="317">
        <f t="shared" si="54"/>
        <v>0</v>
      </c>
      <c r="FA61" s="317">
        <f t="shared" si="55"/>
        <v>10</v>
      </c>
      <c r="FB61" s="317">
        <f t="shared" si="56"/>
        <v>10</v>
      </c>
      <c r="FC61" s="317">
        <f t="shared" si="57"/>
        <v>10</v>
      </c>
      <c r="FD61" s="317">
        <f t="shared" si="58"/>
        <v>10</v>
      </c>
      <c r="FE61" s="317">
        <f t="shared" si="59"/>
        <v>10</v>
      </c>
      <c r="FF61" s="317">
        <f t="shared" si="60"/>
        <v>10</v>
      </c>
      <c r="FG61" s="318">
        <f t="shared" ref="FG61:FG109" si="63">ROW(FG59)</f>
        <v>59</v>
      </c>
      <c r="FH61" s="319">
        <f t="shared" si="61"/>
        <v>117</v>
      </c>
      <c r="FI61" s="319">
        <f>SUM(I7:ER7)-SUM(ES61:FF61)</f>
        <v>11</v>
      </c>
      <c r="FJ61" s="319">
        <f t="shared" si="62"/>
        <v>128</v>
      </c>
      <c r="FK61" s="7"/>
    </row>
    <row r="62" spans="1:167" ht="15.75" customHeight="1">
      <c r="A62" s="2"/>
      <c r="B62" s="3">
        <f t="shared" si="45"/>
        <v>1</v>
      </c>
      <c r="C62" s="182">
        <f t="shared" si="46"/>
        <v>3</v>
      </c>
      <c r="D62" s="185" t="s">
        <v>103</v>
      </c>
      <c r="E62" s="203"/>
      <c r="F62" s="203">
        <v>15</v>
      </c>
      <c r="G62" s="571">
        <v>45915</v>
      </c>
      <c r="H62" s="572"/>
      <c r="I62" s="212">
        <v>1</v>
      </c>
      <c r="J62" s="206">
        <v>1</v>
      </c>
      <c r="K62" s="206">
        <v>1</v>
      </c>
      <c r="L62" s="206">
        <v>1</v>
      </c>
      <c r="M62" s="206">
        <v>1</v>
      </c>
      <c r="N62" s="206">
        <v>1</v>
      </c>
      <c r="O62" s="206">
        <v>1</v>
      </c>
      <c r="P62" s="206">
        <v>1</v>
      </c>
      <c r="Q62" s="206">
        <v>1</v>
      </c>
      <c r="R62" s="213">
        <v>1</v>
      </c>
      <c r="S62" s="223">
        <v>1</v>
      </c>
      <c r="T62" s="224">
        <v>1</v>
      </c>
      <c r="U62" s="224">
        <v>1</v>
      </c>
      <c r="V62" s="224">
        <v>1</v>
      </c>
      <c r="W62" s="224">
        <v>1</v>
      </c>
      <c r="X62" s="224">
        <v>1</v>
      </c>
      <c r="Y62" s="244">
        <v>1</v>
      </c>
      <c r="Z62" s="245">
        <v>1</v>
      </c>
      <c r="AA62" s="246">
        <v>1</v>
      </c>
      <c r="AB62" s="225">
        <v>1</v>
      </c>
      <c r="AC62" s="262">
        <v>1</v>
      </c>
      <c r="AD62" s="177">
        <v>1</v>
      </c>
      <c r="AE62" s="177">
        <v>1</v>
      </c>
      <c r="AF62" s="177">
        <v>1</v>
      </c>
      <c r="AG62" s="582"/>
      <c r="AH62" s="583"/>
      <c r="AI62" s="177">
        <v>0</v>
      </c>
      <c r="AJ62" s="177">
        <v>0</v>
      </c>
      <c r="AK62" s="177">
        <v>0</v>
      </c>
      <c r="AL62" s="263">
        <v>0</v>
      </c>
      <c r="AM62" s="235">
        <v>1</v>
      </c>
      <c r="AN62" s="271">
        <v>1</v>
      </c>
      <c r="AO62" s="236">
        <v>1</v>
      </c>
      <c r="AP62" s="236">
        <v>1</v>
      </c>
      <c r="AQ62" s="236">
        <v>1</v>
      </c>
      <c r="AR62" s="236">
        <v>1</v>
      </c>
      <c r="AS62" s="236">
        <v>1</v>
      </c>
      <c r="AT62" s="236">
        <v>1</v>
      </c>
      <c r="AU62" s="236">
        <v>1</v>
      </c>
      <c r="AV62" s="272">
        <v>1</v>
      </c>
      <c r="AW62" s="277">
        <v>1</v>
      </c>
      <c r="AX62" s="278">
        <v>1</v>
      </c>
      <c r="AY62" s="278">
        <v>1</v>
      </c>
      <c r="AZ62" s="127">
        <v>1</v>
      </c>
      <c r="BA62" s="278">
        <v>1</v>
      </c>
      <c r="BB62" s="278">
        <v>1</v>
      </c>
      <c r="BC62" s="278">
        <v>1</v>
      </c>
      <c r="BD62" s="127">
        <v>1</v>
      </c>
      <c r="BE62" s="278">
        <v>0</v>
      </c>
      <c r="BF62" s="280">
        <v>0</v>
      </c>
      <c r="BG62" s="212">
        <v>0</v>
      </c>
      <c r="BH62" s="206">
        <v>0</v>
      </c>
      <c r="BI62" s="206">
        <v>1</v>
      </c>
      <c r="BJ62" s="206">
        <v>1</v>
      </c>
      <c r="BK62" s="206">
        <v>1</v>
      </c>
      <c r="BL62" s="206">
        <v>1</v>
      </c>
      <c r="BM62" s="207">
        <v>1</v>
      </c>
      <c r="BN62" s="207">
        <v>1</v>
      </c>
      <c r="BO62" s="207">
        <v>1</v>
      </c>
      <c r="BP62" s="215">
        <v>1</v>
      </c>
      <c r="BQ62" s="226">
        <v>1</v>
      </c>
      <c r="BR62" s="227">
        <v>1</v>
      </c>
      <c r="BS62" s="227">
        <v>1</v>
      </c>
      <c r="BT62" s="227">
        <v>1</v>
      </c>
      <c r="BU62" s="227">
        <v>1</v>
      </c>
      <c r="BV62" s="227">
        <v>1</v>
      </c>
      <c r="BW62" s="227">
        <v>1</v>
      </c>
      <c r="BX62" s="227">
        <v>1</v>
      </c>
      <c r="BY62" s="227">
        <v>1</v>
      </c>
      <c r="BZ62" s="228">
        <v>1</v>
      </c>
      <c r="CA62" s="537"/>
      <c r="CB62" s="538"/>
      <c r="CC62" s="538"/>
      <c r="CD62" s="538"/>
      <c r="CE62" s="538"/>
      <c r="CF62" s="538"/>
      <c r="CG62" s="538"/>
      <c r="CH62" s="538"/>
      <c r="CI62" s="538"/>
      <c r="CJ62" s="538"/>
      <c r="CK62" s="237">
        <v>1</v>
      </c>
      <c r="CL62" s="238">
        <v>1</v>
      </c>
      <c r="CM62" s="238">
        <v>1</v>
      </c>
      <c r="CN62" s="238">
        <v>1</v>
      </c>
      <c r="CO62" s="238">
        <v>1</v>
      </c>
      <c r="CP62" s="238">
        <v>1</v>
      </c>
      <c r="CQ62" s="238">
        <v>1</v>
      </c>
      <c r="CR62" s="238">
        <v>1</v>
      </c>
      <c r="CS62" s="238">
        <v>1</v>
      </c>
      <c r="CT62" s="273">
        <v>1</v>
      </c>
      <c r="CU62" s="295">
        <v>1</v>
      </c>
      <c r="CV62" s="296">
        <v>1</v>
      </c>
      <c r="CW62" s="296">
        <v>1</v>
      </c>
      <c r="CX62" s="296">
        <v>1</v>
      </c>
      <c r="CY62" s="296">
        <v>1</v>
      </c>
      <c r="CZ62" s="296">
        <v>1</v>
      </c>
      <c r="DA62" s="296">
        <v>1</v>
      </c>
      <c r="DB62" s="296">
        <v>1</v>
      </c>
      <c r="DC62" s="297">
        <v>1</v>
      </c>
      <c r="DD62" s="298">
        <v>1</v>
      </c>
      <c r="DE62" s="214">
        <v>1</v>
      </c>
      <c r="DF62" s="207">
        <v>1</v>
      </c>
      <c r="DG62" s="207">
        <v>1</v>
      </c>
      <c r="DH62" s="207">
        <v>1</v>
      </c>
      <c r="DI62" s="207">
        <v>1</v>
      </c>
      <c r="DJ62" s="207">
        <v>1</v>
      </c>
      <c r="DK62" s="207">
        <v>1</v>
      </c>
      <c r="DL62" s="207">
        <v>1</v>
      </c>
      <c r="DM62" s="207">
        <v>1</v>
      </c>
      <c r="DN62" s="215">
        <v>1</v>
      </c>
      <c r="DO62" s="226">
        <v>1</v>
      </c>
      <c r="DP62" s="227">
        <v>1</v>
      </c>
      <c r="DQ62" s="227">
        <v>1</v>
      </c>
      <c r="DR62" s="227">
        <v>1</v>
      </c>
      <c r="DS62" s="227">
        <v>1</v>
      </c>
      <c r="DT62" s="227">
        <v>1</v>
      </c>
      <c r="DU62" s="227">
        <v>1</v>
      </c>
      <c r="DV62" s="227">
        <v>1</v>
      </c>
      <c r="DW62" s="227">
        <v>1</v>
      </c>
      <c r="DX62" s="228">
        <v>1</v>
      </c>
      <c r="DY62" s="90">
        <v>1</v>
      </c>
      <c r="DZ62" s="91">
        <v>1</v>
      </c>
      <c r="EA62" s="91">
        <v>1</v>
      </c>
      <c r="EB62" s="91">
        <v>1</v>
      </c>
      <c r="EC62" s="91">
        <v>1</v>
      </c>
      <c r="ED62" s="91">
        <v>1</v>
      </c>
      <c r="EE62" s="91">
        <v>1</v>
      </c>
      <c r="EF62" s="91">
        <v>1</v>
      </c>
      <c r="EG62" s="91">
        <v>1</v>
      </c>
      <c r="EH62" s="92">
        <v>1</v>
      </c>
      <c r="EI62" s="237">
        <v>1</v>
      </c>
      <c r="EJ62" s="238">
        <v>1</v>
      </c>
      <c r="EK62" s="238">
        <v>1</v>
      </c>
      <c r="EL62" s="238">
        <v>1</v>
      </c>
      <c r="EM62" s="238">
        <v>1</v>
      </c>
      <c r="EN62" s="238">
        <v>1</v>
      </c>
      <c r="EO62" s="238">
        <v>1</v>
      </c>
      <c r="EP62" s="238">
        <v>1</v>
      </c>
      <c r="EQ62" s="238">
        <v>1</v>
      </c>
      <c r="ER62" s="273">
        <v>1</v>
      </c>
      <c r="ES62" s="316">
        <f t="shared" si="47"/>
        <v>10</v>
      </c>
      <c r="ET62" s="317">
        <f t="shared" si="48"/>
        <v>10</v>
      </c>
      <c r="EU62" s="317">
        <f t="shared" si="49"/>
        <v>4</v>
      </c>
      <c r="EV62" s="317">
        <f t="shared" si="50"/>
        <v>10</v>
      </c>
      <c r="EW62" s="317">
        <f t="shared" si="51"/>
        <v>7</v>
      </c>
      <c r="EX62" s="317">
        <f t="shared" si="52"/>
        <v>8</v>
      </c>
      <c r="EY62" s="317">
        <f t="shared" si="53"/>
        <v>10</v>
      </c>
      <c r="EZ62" s="317">
        <f t="shared" si="54"/>
        <v>0</v>
      </c>
      <c r="FA62" s="317">
        <f t="shared" si="55"/>
        <v>10</v>
      </c>
      <c r="FB62" s="317">
        <f t="shared" si="56"/>
        <v>10</v>
      </c>
      <c r="FC62" s="317">
        <f t="shared" si="57"/>
        <v>10</v>
      </c>
      <c r="FD62" s="317">
        <f t="shared" si="58"/>
        <v>10</v>
      </c>
      <c r="FE62" s="317">
        <f t="shared" si="59"/>
        <v>10</v>
      </c>
      <c r="FF62" s="317">
        <f t="shared" si="60"/>
        <v>10</v>
      </c>
      <c r="FG62" s="318">
        <f t="shared" si="63"/>
        <v>60</v>
      </c>
      <c r="FH62" s="319">
        <f t="shared" si="61"/>
        <v>119</v>
      </c>
      <c r="FI62" s="319">
        <f>SUM(I7:ER7)-SUM(ES62:FF62)</f>
        <v>9</v>
      </c>
      <c r="FJ62" s="319">
        <f t="shared" si="62"/>
        <v>128</v>
      </c>
      <c r="FK62" s="7"/>
    </row>
    <row r="63" spans="1:167" ht="15.75" customHeight="1">
      <c r="A63" s="2"/>
      <c r="B63" s="3">
        <f t="shared" si="45"/>
        <v>1</v>
      </c>
      <c r="C63" s="182">
        <f t="shared" si="46"/>
        <v>4</v>
      </c>
      <c r="D63" s="185" t="s">
        <v>104</v>
      </c>
      <c r="E63" s="203"/>
      <c r="F63" s="203">
        <v>19</v>
      </c>
      <c r="G63" s="571">
        <v>45915</v>
      </c>
      <c r="H63" s="572"/>
      <c r="I63" s="212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13">
        <v>0</v>
      </c>
      <c r="S63" s="223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44">
        <v>0</v>
      </c>
      <c r="Z63" s="245">
        <v>0</v>
      </c>
      <c r="AA63" s="246">
        <v>0</v>
      </c>
      <c r="AB63" s="225">
        <v>0</v>
      </c>
      <c r="AC63" s="262">
        <v>1</v>
      </c>
      <c r="AD63" s="177">
        <v>1</v>
      </c>
      <c r="AE63" s="177">
        <v>1</v>
      </c>
      <c r="AF63" s="177">
        <v>1</v>
      </c>
      <c r="AG63" s="582"/>
      <c r="AH63" s="583"/>
      <c r="AI63" s="177">
        <v>1</v>
      </c>
      <c r="AJ63" s="177">
        <v>1</v>
      </c>
      <c r="AK63" s="177">
        <v>1</v>
      </c>
      <c r="AL63" s="263">
        <v>1</v>
      </c>
      <c r="AM63" s="235">
        <v>1</v>
      </c>
      <c r="AN63" s="271">
        <v>1</v>
      </c>
      <c r="AO63" s="236">
        <v>1</v>
      </c>
      <c r="AP63" s="236">
        <v>1</v>
      </c>
      <c r="AQ63" s="236">
        <v>1</v>
      </c>
      <c r="AR63" s="236">
        <v>1</v>
      </c>
      <c r="AS63" s="236">
        <v>1</v>
      </c>
      <c r="AT63" s="236">
        <v>1</v>
      </c>
      <c r="AU63" s="236">
        <v>1</v>
      </c>
      <c r="AV63" s="272">
        <v>1</v>
      </c>
      <c r="AW63" s="277">
        <v>1</v>
      </c>
      <c r="AX63" s="278">
        <v>1</v>
      </c>
      <c r="AY63" s="278">
        <v>1</v>
      </c>
      <c r="AZ63" s="127">
        <v>1</v>
      </c>
      <c r="BA63" s="278">
        <v>1</v>
      </c>
      <c r="BB63" s="278">
        <v>1</v>
      </c>
      <c r="BC63" s="278">
        <v>1</v>
      </c>
      <c r="BD63" s="127">
        <v>1</v>
      </c>
      <c r="BE63" s="278">
        <v>0</v>
      </c>
      <c r="BF63" s="280">
        <v>0</v>
      </c>
      <c r="BG63" s="212">
        <v>1</v>
      </c>
      <c r="BH63" s="206">
        <v>1</v>
      </c>
      <c r="BI63" s="206">
        <v>1</v>
      </c>
      <c r="BJ63" s="206">
        <v>1</v>
      </c>
      <c r="BK63" s="206">
        <v>1</v>
      </c>
      <c r="BL63" s="206">
        <v>1</v>
      </c>
      <c r="BM63" s="207">
        <v>1</v>
      </c>
      <c r="BN63" s="207">
        <v>1</v>
      </c>
      <c r="BO63" s="207">
        <v>1</v>
      </c>
      <c r="BP63" s="215">
        <v>1</v>
      </c>
      <c r="BQ63" s="226">
        <v>1</v>
      </c>
      <c r="BR63" s="227">
        <v>1</v>
      </c>
      <c r="BS63" s="227">
        <v>1</v>
      </c>
      <c r="BT63" s="227">
        <v>1</v>
      </c>
      <c r="BU63" s="227">
        <v>1</v>
      </c>
      <c r="BV63" s="227">
        <v>1</v>
      </c>
      <c r="BW63" s="227">
        <v>1</v>
      </c>
      <c r="BX63" s="227">
        <v>1</v>
      </c>
      <c r="BY63" s="227">
        <v>1</v>
      </c>
      <c r="BZ63" s="228">
        <v>1</v>
      </c>
      <c r="CA63" s="537"/>
      <c r="CB63" s="538"/>
      <c r="CC63" s="538"/>
      <c r="CD63" s="538"/>
      <c r="CE63" s="538"/>
      <c r="CF63" s="538"/>
      <c r="CG63" s="538"/>
      <c r="CH63" s="538"/>
      <c r="CI63" s="538"/>
      <c r="CJ63" s="538"/>
      <c r="CK63" s="237">
        <v>1</v>
      </c>
      <c r="CL63" s="238">
        <v>1</v>
      </c>
      <c r="CM63" s="238">
        <v>1</v>
      </c>
      <c r="CN63" s="238">
        <v>1</v>
      </c>
      <c r="CO63" s="238">
        <v>1</v>
      </c>
      <c r="CP63" s="238">
        <v>1</v>
      </c>
      <c r="CQ63" s="238">
        <v>1</v>
      </c>
      <c r="CR63" s="238">
        <v>1</v>
      </c>
      <c r="CS63" s="238">
        <v>1</v>
      </c>
      <c r="CT63" s="273">
        <v>1</v>
      </c>
      <c r="CU63" s="295">
        <v>1</v>
      </c>
      <c r="CV63" s="296">
        <v>1</v>
      </c>
      <c r="CW63" s="296">
        <v>1</v>
      </c>
      <c r="CX63" s="296">
        <v>1</v>
      </c>
      <c r="CY63" s="296">
        <v>1</v>
      </c>
      <c r="CZ63" s="296">
        <v>1</v>
      </c>
      <c r="DA63" s="296">
        <v>1</v>
      </c>
      <c r="DB63" s="296">
        <v>1</v>
      </c>
      <c r="DC63" s="297">
        <v>1</v>
      </c>
      <c r="DD63" s="298">
        <v>1</v>
      </c>
      <c r="DE63" s="214">
        <v>1</v>
      </c>
      <c r="DF63" s="207">
        <v>1</v>
      </c>
      <c r="DG63" s="207">
        <v>1</v>
      </c>
      <c r="DH63" s="207">
        <v>1</v>
      </c>
      <c r="DI63" s="207">
        <v>1</v>
      </c>
      <c r="DJ63" s="207">
        <v>1</v>
      </c>
      <c r="DK63" s="207">
        <v>1</v>
      </c>
      <c r="DL63" s="207">
        <v>1</v>
      </c>
      <c r="DM63" s="207">
        <v>1</v>
      </c>
      <c r="DN63" s="215">
        <v>1</v>
      </c>
      <c r="DO63" s="226">
        <v>1</v>
      </c>
      <c r="DP63" s="227">
        <v>1</v>
      </c>
      <c r="DQ63" s="227">
        <v>1</v>
      </c>
      <c r="DR63" s="227">
        <v>1</v>
      </c>
      <c r="DS63" s="227">
        <v>1</v>
      </c>
      <c r="DT63" s="227">
        <v>1</v>
      </c>
      <c r="DU63" s="227">
        <v>1</v>
      </c>
      <c r="DV63" s="227">
        <v>1</v>
      </c>
      <c r="DW63" s="227">
        <v>1</v>
      </c>
      <c r="DX63" s="228">
        <v>1</v>
      </c>
      <c r="DY63" s="90">
        <v>1</v>
      </c>
      <c r="DZ63" s="91">
        <v>1</v>
      </c>
      <c r="EA63" s="91">
        <v>1</v>
      </c>
      <c r="EB63" s="91">
        <v>1</v>
      </c>
      <c r="EC63" s="91">
        <v>1</v>
      </c>
      <c r="ED63" s="91">
        <v>1</v>
      </c>
      <c r="EE63" s="91">
        <v>1</v>
      </c>
      <c r="EF63" s="91">
        <v>1</v>
      </c>
      <c r="EG63" s="91">
        <v>1</v>
      </c>
      <c r="EH63" s="92">
        <v>1</v>
      </c>
      <c r="EI63" s="237">
        <v>1</v>
      </c>
      <c r="EJ63" s="238">
        <v>1</v>
      </c>
      <c r="EK63" s="238">
        <v>1</v>
      </c>
      <c r="EL63" s="238">
        <v>1</v>
      </c>
      <c r="EM63" s="238">
        <v>1</v>
      </c>
      <c r="EN63" s="238">
        <v>1</v>
      </c>
      <c r="EO63" s="238">
        <v>1</v>
      </c>
      <c r="EP63" s="238">
        <v>1</v>
      </c>
      <c r="EQ63" s="238">
        <v>1</v>
      </c>
      <c r="ER63" s="273">
        <v>1</v>
      </c>
      <c r="ES63" s="316">
        <f t="shared" si="47"/>
        <v>0</v>
      </c>
      <c r="ET63" s="317">
        <f t="shared" si="48"/>
        <v>0</v>
      </c>
      <c r="EU63" s="317">
        <f t="shared" si="49"/>
        <v>8</v>
      </c>
      <c r="EV63" s="317">
        <f t="shared" si="50"/>
        <v>10</v>
      </c>
      <c r="EW63" s="317">
        <f t="shared" si="51"/>
        <v>7</v>
      </c>
      <c r="EX63" s="317">
        <f t="shared" si="52"/>
        <v>10</v>
      </c>
      <c r="EY63" s="317">
        <f t="shared" si="53"/>
        <v>10</v>
      </c>
      <c r="EZ63" s="317">
        <f t="shared" si="54"/>
        <v>0</v>
      </c>
      <c r="FA63" s="317">
        <f t="shared" si="55"/>
        <v>10</v>
      </c>
      <c r="FB63" s="317">
        <f t="shared" si="56"/>
        <v>10</v>
      </c>
      <c r="FC63" s="317">
        <f t="shared" si="57"/>
        <v>10</v>
      </c>
      <c r="FD63" s="317">
        <f t="shared" si="58"/>
        <v>10</v>
      </c>
      <c r="FE63" s="317">
        <f t="shared" si="59"/>
        <v>10</v>
      </c>
      <c r="FF63" s="317">
        <f t="shared" si="60"/>
        <v>10</v>
      </c>
      <c r="FG63" s="318">
        <f t="shared" si="63"/>
        <v>61</v>
      </c>
      <c r="FH63" s="319">
        <f t="shared" si="61"/>
        <v>105</v>
      </c>
      <c r="FI63" s="319">
        <f>SUM(I7:ER7)-SUM(ES63:FF63)</f>
        <v>23</v>
      </c>
      <c r="FJ63" s="319">
        <f t="shared" si="62"/>
        <v>128</v>
      </c>
      <c r="FK63" s="7"/>
    </row>
    <row r="64" spans="1:167" ht="15.75" customHeight="1">
      <c r="A64" s="2"/>
      <c r="B64" s="3">
        <f t="shared" si="45"/>
        <v>1</v>
      </c>
      <c r="C64" s="182">
        <f t="shared" si="46"/>
        <v>5</v>
      </c>
      <c r="D64" s="185" t="s">
        <v>105</v>
      </c>
      <c r="E64" s="203"/>
      <c r="F64" s="203">
        <v>16</v>
      </c>
      <c r="G64" s="571">
        <v>45915</v>
      </c>
      <c r="H64" s="572"/>
      <c r="I64" s="212">
        <v>0</v>
      </c>
      <c r="J64" s="206">
        <v>0</v>
      </c>
      <c r="K64" s="206">
        <v>1</v>
      </c>
      <c r="L64" s="206">
        <v>1</v>
      </c>
      <c r="M64" s="206">
        <v>1</v>
      </c>
      <c r="N64" s="206">
        <v>1</v>
      </c>
      <c r="O64" s="206">
        <v>1</v>
      </c>
      <c r="P64" s="206">
        <v>1</v>
      </c>
      <c r="Q64" s="206">
        <v>1</v>
      </c>
      <c r="R64" s="213">
        <v>1</v>
      </c>
      <c r="S64" s="223">
        <v>1</v>
      </c>
      <c r="T64" s="224">
        <v>1</v>
      </c>
      <c r="U64" s="224">
        <v>1</v>
      </c>
      <c r="V64" s="224">
        <v>1</v>
      </c>
      <c r="W64" s="224">
        <v>1</v>
      </c>
      <c r="X64" s="224">
        <v>1</v>
      </c>
      <c r="Y64" s="244">
        <v>1</v>
      </c>
      <c r="Z64" s="245">
        <v>1</v>
      </c>
      <c r="AA64" s="246">
        <v>1</v>
      </c>
      <c r="AB64" s="225">
        <v>1</v>
      </c>
      <c r="AC64" s="262">
        <v>1</v>
      </c>
      <c r="AD64" s="177">
        <v>1</v>
      </c>
      <c r="AE64" s="177">
        <v>1</v>
      </c>
      <c r="AF64" s="177">
        <v>1</v>
      </c>
      <c r="AG64" s="582"/>
      <c r="AH64" s="583"/>
      <c r="AI64" s="177">
        <v>1</v>
      </c>
      <c r="AJ64" s="177">
        <v>1</v>
      </c>
      <c r="AK64" s="177">
        <v>1</v>
      </c>
      <c r="AL64" s="263">
        <v>1</v>
      </c>
      <c r="AM64" s="235">
        <v>1</v>
      </c>
      <c r="AN64" s="271">
        <v>1</v>
      </c>
      <c r="AO64" s="236">
        <v>1</v>
      </c>
      <c r="AP64" s="236">
        <v>1</v>
      </c>
      <c r="AQ64" s="236">
        <v>1</v>
      </c>
      <c r="AR64" s="236">
        <v>1</v>
      </c>
      <c r="AS64" s="236">
        <v>1</v>
      </c>
      <c r="AT64" s="236">
        <v>1</v>
      </c>
      <c r="AU64" s="236">
        <v>1</v>
      </c>
      <c r="AV64" s="272">
        <v>1</v>
      </c>
      <c r="AW64" s="277">
        <v>1</v>
      </c>
      <c r="AX64" s="278">
        <v>1</v>
      </c>
      <c r="AY64" s="278">
        <v>1</v>
      </c>
      <c r="AZ64" s="127">
        <v>1</v>
      </c>
      <c r="BA64" s="278">
        <v>1</v>
      </c>
      <c r="BB64" s="278">
        <v>1</v>
      </c>
      <c r="BC64" s="278">
        <v>1</v>
      </c>
      <c r="BD64" s="127">
        <v>1</v>
      </c>
      <c r="BE64" s="278">
        <v>1</v>
      </c>
      <c r="BF64" s="280">
        <v>1</v>
      </c>
      <c r="BG64" s="212">
        <v>0</v>
      </c>
      <c r="BH64" s="206">
        <v>0</v>
      </c>
      <c r="BI64" s="206">
        <v>1</v>
      </c>
      <c r="BJ64" s="206">
        <v>1</v>
      </c>
      <c r="BK64" s="206">
        <v>1</v>
      </c>
      <c r="BL64" s="206">
        <v>1</v>
      </c>
      <c r="BM64" s="207">
        <v>1</v>
      </c>
      <c r="BN64" s="207">
        <v>1</v>
      </c>
      <c r="BO64" s="207">
        <v>1</v>
      </c>
      <c r="BP64" s="215">
        <v>1</v>
      </c>
      <c r="BQ64" s="226">
        <v>1</v>
      </c>
      <c r="BR64" s="227">
        <v>1</v>
      </c>
      <c r="BS64" s="227">
        <v>1</v>
      </c>
      <c r="BT64" s="227">
        <v>1</v>
      </c>
      <c r="BU64" s="227">
        <v>1</v>
      </c>
      <c r="BV64" s="227">
        <v>1</v>
      </c>
      <c r="BW64" s="227">
        <v>1</v>
      </c>
      <c r="BX64" s="227">
        <v>1</v>
      </c>
      <c r="BY64" s="227">
        <v>1</v>
      </c>
      <c r="BZ64" s="228">
        <v>1</v>
      </c>
      <c r="CA64" s="537"/>
      <c r="CB64" s="538"/>
      <c r="CC64" s="538"/>
      <c r="CD64" s="538"/>
      <c r="CE64" s="538"/>
      <c r="CF64" s="538"/>
      <c r="CG64" s="538"/>
      <c r="CH64" s="538"/>
      <c r="CI64" s="538"/>
      <c r="CJ64" s="538"/>
      <c r="CK64" s="237">
        <v>1</v>
      </c>
      <c r="CL64" s="238">
        <v>1</v>
      </c>
      <c r="CM64" s="238">
        <v>1</v>
      </c>
      <c r="CN64" s="238">
        <v>1</v>
      </c>
      <c r="CO64" s="238">
        <v>1</v>
      </c>
      <c r="CP64" s="238">
        <v>1</v>
      </c>
      <c r="CQ64" s="238">
        <v>1</v>
      </c>
      <c r="CR64" s="238">
        <v>1</v>
      </c>
      <c r="CS64" s="238">
        <v>1</v>
      </c>
      <c r="CT64" s="273">
        <v>1</v>
      </c>
      <c r="CU64" s="295">
        <v>1</v>
      </c>
      <c r="CV64" s="296">
        <v>1</v>
      </c>
      <c r="CW64" s="296">
        <v>1</v>
      </c>
      <c r="CX64" s="296">
        <v>1</v>
      </c>
      <c r="CY64" s="296">
        <v>1</v>
      </c>
      <c r="CZ64" s="296">
        <v>1</v>
      </c>
      <c r="DA64" s="296">
        <v>1</v>
      </c>
      <c r="DB64" s="296">
        <v>1</v>
      </c>
      <c r="DC64" s="297">
        <v>1</v>
      </c>
      <c r="DD64" s="298">
        <v>1</v>
      </c>
      <c r="DE64" s="214">
        <v>1</v>
      </c>
      <c r="DF64" s="207">
        <v>1</v>
      </c>
      <c r="DG64" s="207">
        <v>1</v>
      </c>
      <c r="DH64" s="207">
        <v>1</v>
      </c>
      <c r="DI64" s="207">
        <v>1</v>
      </c>
      <c r="DJ64" s="207">
        <v>1</v>
      </c>
      <c r="DK64" s="207">
        <v>1</v>
      </c>
      <c r="DL64" s="207">
        <v>1</v>
      </c>
      <c r="DM64" s="207">
        <v>1</v>
      </c>
      <c r="DN64" s="215">
        <v>1</v>
      </c>
      <c r="DO64" s="226">
        <v>1</v>
      </c>
      <c r="DP64" s="227">
        <v>1</v>
      </c>
      <c r="DQ64" s="227">
        <v>1</v>
      </c>
      <c r="DR64" s="227">
        <v>1</v>
      </c>
      <c r="DS64" s="227">
        <v>1</v>
      </c>
      <c r="DT64" s="227">
        <v>1</v>
      </c>
      <c r="DU64" s="227">
        <v>1</v>
      </c>
      <c r="DV64" s="227">
        <v>1</v>
      </c>
      <c r="DW64" s="227">
        <v>1</v>
      </c>
      <c r="DX64" s="228">
        <v>1</v>
      </c>
      <c r="DY64" s="90">
        <v>1</v>
      </c>
      <c r="DZ64" s="91">
        <v>1</v>
      </c>
      <c r="EA64" s="91">
        <v>1</v>
      </c>
      <c r="EB64" s="91">
        <v>1</v>
      </c>
      <c r="EC64" s="91">
        <v>1</v>
      </c>
      <c r="ED64" s="91">
        <v>1</v>
      </c>
      <c r="EE64" s="91">
        <v>1</v>
      </c>
      <c r="EF64" s="91">
        <v>1</v>
      </c>
      <c r="EG64" s="91">
        <v>1</v>
      </c>
      <c r="EH64" s="92">
        <v>1</v>
      </c>
      <c r="EI64" s="237">
        <v>1</v>
      </c>
      <c r="EJ64" s="238">
        <v>1</v>
      </c>
      <c r="EK64" s="238">
        <v>1</v>
      </c>
      <c r="EL64" s="238">
        <v>1</v>
      </c>
      <c r="EM64" s="238">
        <v>1</v>
      </c>
      <c r="EN64" s="238">
        <v>1</v>
      </c>
      <c r="EO64" s="238">
        <v>1</v>
      </c>
      <c r="EP64" s="238">
        <v>1</v>
      </c>
      <c r="EQ64" s="238">
        <v>1</v>
      </c>
      <c r="ER64" s="273">
        <v>1</v>
      </c>
      <c r="ES64" s="316">
        <f t="shared" si="47"/>
        <v>8</v>
      </c>
      <c r="ET64" s="317">
        <f t="shared" si="48"/>
        <v>10</v>
      </c>
      <c r="EU64" s="317">
        <f t="shared" si="49"/>
        <v>8</v>
      </c>
      <c r="EV64" s="317">
        <f t="shared" si="50"/>
        <v>10</v>
      </c>
      <c r="EW64" s="317">
        <f t="shared" si="51"/>
        <v>9</v>
      </c>
      <c r="EX64" s="317">
        <f t="shared" si="52"/>
        <v>8</v>
      </c>
      <c r="EY64" s="317">
        <f t="shared" si="53"/>
        <v>10</v>
      </c>
      <c r="EZ64" s="317">
        <f t="shared" si="54"/>
        <v>0</v>
      </c>
      <c r="FA64" s="317">
        <f t="shared" si="55"/>
        <v>10</v>
      </c>
      <c r="FB64" s="317">
        <f t="shared" si="56"/>
        <v>10</v>
      </c>
      <c r="FC64" s="317">
        <f t="shared" si="57"/>
        <v>10</v>
      </c>
      <c r="FD64" s="317">
        <f t="shared" si="58"/>
        <v>10</v>
      </c>
      <c r="FE64" s="317">
        <f t="shared" si="59"/>
        <v>10</v>
      </c>
      <c r="FF64" s="317">
        <f t="shared" si="60"/>
        <v>10</v>
      </c>
      <c r="FG64" s="318">
        <f t="shared" si="63"/>
        <v>62</v>
      </c>
      <c r="FH64" s="319">
        <f t="shared" si="61"/>
        <v>123</v>
      </c>
      <c r="FI64" s="319">
        <f>SUM(I7:ER7)-SUM(ES64:FF64)</f>
        <v>5</v>
      </c>
      <c r="FJ64" s="319">
        <f t="shared" si="62"/>
        <v>128</v>
      </c>
      <c r="FK64" s="7"/>
    </row>
    <row r="65" spans="1:167" ht="15.75" customHeight="1">
      <c r="A65" s="2"/>
      <c r="B65" s="3">
        <f t="shared" si="45"/>
        <v>1</v>
      </c>
      <c r="C65" s="182">
        <f t="shared" si="46"/>
        <v>6</v>
      </c>
      <c r="D65" s="185" t="s">
        <v>106</v>
      </c>
      <c r="E65" s="203"/>
      <c r="F65" s="203">
        <v>15</v>
      </c>
      <c r="G65" s="571">
        <v>45915</v>
      </c>
      <c r="H65" s="572"/>
      <c r="I65" s="212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13">
        <v>0</v>
      </c>
      <c r="S65" s="223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44">
        <v>0</v>
      </c>
      <c r="Z65" s="245">
        <v>0</v>
      </c>
      <c r="AA65" s="246">
        <v>0</v>
      </c>
      <c r="AB65" s="225">
        <v>0</v>
      </c>
      <c r="AC65" s="262">
        <v>1</v>
      </c>
      <c r="AD65" s="177">
        <v>1</v>
      </c>
      <c r="AE65" s="177">
        <v>1</v>
      </c>
      <c r="AF65" s="177">
        <v>1</v>
      </c>
      <c r="AG65" s="582"/>
      <c r="AH65" s="583"/>
      <c r="AI65" s="177">
        <v>1</v>
      </c>
      <c r="AJ65" s="177">
        <v>1</v>
      </c>
      <c r="AK65" s="177">
        <v>1</v>
      </c>
      <c r="AL65" s="263">
        <v>1</v>
      </c>
      <c r="AM65" s="235">
        <v>1</v>
      </c>
      <c r="AN65" s="271">
        <v>1</v>
      </c>
      <c r="AO65" s="236">
        <v>1</v>
      </c>
      <c r="AP65" s="236">
        <v>1</v>
      </c>
      <c r="AQ65" s="236">
        <v>1</v>
      </c>
      <c r="AR65" s="236">
        <v>1</v>
      </c>
      <c r="AS65" s="236">
        <v>1</v>
      </c>
      <c r="AT65" s="236">
        <v>1</v>
      </c>
      <c r="AU65" s="236">
        <v>1</v>
      </c>
      <c r="AV65" s="272">
        <v>1</v>
      </c>
      <c r="AW65" s="277">
        <v>1</v>
      </c>
      <c r="AX65" s="278">
        <v>1</v>
      </c>
      <c r="AY65" s="278">
        <v>1</v>
      </c>
      <c r="AZ65" s="127">
        <v>1</v>
      </c>
      <c r="BA65" s="278">
        <v>1</v>
      </c>
      <c r="BB65" s="278">
        <v>1</v>
      </c>
      <c r="BC65" s="278">
        <v>1</v>
      </c>
      <c r="BD65" s="127">
        <v>1</v>
      </c>
      <c r="BE65" s="278">
        <v>1</v>
      </c>
      <c r="BF65" s="280">
        <v>1</v>
      </c>
      <c r="BG65" s="212">
        <v>1</v>
      </c>
      <c r="BH65" s="206">
        <v>1</v>
      </c>
      <c r="BI65" s="206">
        <v>1</v>
      </c>
      <c r="BJ65" s="206">
        <v>1</v>
      </c>
      <c r="BK65" s="206">
        <v>1</v>
      </c>
      <c r="BL65" s="206">
        <v>1</v>
      </c>
      <c r="BM65" s="207">
        <v>1</v>
      </c>
      <c r="BN65" s="207">
        <v>1</v>
      </c>
      <c r="BO65" s="207">
        <v>1</v>
      </c>
      <c r="BP65" s="215">
        <v>1</v>
      </c>
      <c r="BQ65" s="226">
        <v>1</v>
      </c>
      <c r="BR65" s="227">
        <v>1</v>
      </c>
      <c r="BS65" s="227">
        <v>1</v>
      </c>
      <c r="BT65" s="227">
        <v>1</v>
      </c>
      <c r="BU65" s="227">
        <v>1</v>
      </c>
      <c r="BV65" s="227">
        <v>1</v>
      </c>
      <c r="BW65" s="227">
        <v>1</v>
      </c>
      <c r="BX65" s="227">
        <v>1</v>
      </c>
      <c r="BY65" s="227">
        <v>1</v>
      </c>
      <c r="BZ65" s="228">
        <v>1</v>
      </c>
      <c r="CA65" s="537"/>
      <c r="CB65" s="538"/>
      <c r="CC65" s="538"/>
      <c r="CD65" s="538"/>
      <c r="CE65" s="538"/>
      <c r="CF65" s="538"/>
      <c r="CG65" s="538"/>
      <c r="CH65" s="538"/>
      <c r="CI65" s="538"/>
      <c r="CJ65" s="538"/>
      <c r="CK65" s="237">
        <v>1</v>
      </c>
      <c r="CL65" s="238">
        <v>1</v>
      </c>
      <c r="CM65" s="238">
        <v>1</v>
      </c>
      <c r="CN65" s="238">
        <v>1</v>
      </c>
      <c r="CO65" s="238">
        <v>1</v>
      </c>
      <c r="CP65" s="238">
        <v>1</v>
      </c>
      <c r="CQ65" s="238">
        <v>0</v>
      </c>
      <c r="CR65" s="238">
        <v>0</v>
      </c>
      <c r="CS65" s="238">
        <v>0</v>
      </c>
      <c r="CT65" s="273">
        <v>0</v>
      </c>
      <c r="CU65" s="295">
        <v>1</v>
      </c>
      <c r="CV65" s="296">
        <v>1</v>
      </c>
      <c r="CW65" s="296">
        <v>1</v>
      </c>
      <c r="CX65" s="296">
        <v>1</v>
      </c>
      <c r="CY65" s="296">
        <v>1</v>
      </c>
      <c r="CZ65" s="296">
        <v>1</v>
      </c>
      <c r="DA65" s="296">
        <v>1</v>
      </c>
      <c r="DB65" s="296">
        <v>1</v>
      </c>
      <c r="DC65" s="297">
        <v>1</v>
      </c>
      <c r="DD65" s="298">
        <v>1</v>
      </c>
      <c r="DE65" s="214">
        <v>1</v>
      </c>
      <c r="DF65" s="207">
        <v>1</v>
      </c>
      <c r="DG65" s="207">
        <v>1</v>
      </c>
      <c r="DH65" s="207">
        <v>1</v>
      </c>
      <c r="DI65" s="207">
        <v>1</v>
      </c>
      <c r="DJ65" s="207">
        <v>1</v>
      </c>
      <c r="DK65" s="207">
        <v>1</v>
      </c>
      <c r="DL65" s="207">
        <v>1</v>
      </c>
      <c r="DM65" s="207">
        <v>1</v>
      </c>
      <c r="DN65" s="215">
        <v>1</v>
      </c>
      <c r="DO65" s="226">
        <v>1</v>
      </c>
      <c r="DP65" s="227">
        <v>1</v>
      </c>
      <c r="DQ65" s="227">
        <v>1</v>
      </c>
      <c r="DR65" s="227">
        <v>1</v>
      </c>
      <c r="DS65" s="227">
        <v>1</v>
      </c>
      <c r="DT65" s="227">
        <v>1</v>
      </c>
      <c r="DU65" s="227">
        <v>1</v>
      </c>
      <c r="DV65" s="227">
        <v>1</v>
      </c>
      <c r="DW65" s="227">
        <v>1</v>
      </c>
      <c r="DX65" s="228">
        <v>1</v>
      </c>
      <c r="DY65" s="90">
        <v>1</v>
      </c>
      <c r="DZ65" s="91">
        <v>1</v>
      </c>
      <c r="EA65" s="91">
        <v>1</v>
      </c>
      <c r="EB65" s="91">
        <v>1</v>
      </c>
      <c r="EC65" s="91">
        <v>1</v>
      </c>
      <c r="ED65" s="91">
        <v>1</v>
      </c>
      <c r="EE65" s="91">
        <v>1</v>
      </c>
      <c r="EF65" s="91">
        <v>1</v>
      </c>
      <c r="EG65" s="91">
        <v>1</v>
      </c>
      <c r="EH65" s="92">
        <v>1</v>
      </c>
      <c r="EI65" s="237">
        <v>1</v>
      </c>
      <c r="EJ65" s="238">
        <v>1</v>
      </c>
      <c r="EK65" s="238">
        <v>1</v>
      </c>
      <c r="EL65" s="238">
        <v>1</v>
      </c>
      <c r="EM65" s="238">
        <v>1</v>
      </c>
      <c r="EN65" s="238">
        <v>1</v>
      </c>
      <c r="EO65" s="238">
        <v>1</v>
      </c>
      <c r="EP65" s="238">
        <v>1</v>
      </c>
      <c r="EQ65" s="238">
        <v>1</v>
      </c>
      <c r="ER65" s="273">
        <v>1</v>
      </c>
      <c r="ES65" s="316">
        <f t="shared" si="47"/>
        <v>0</v>
      </c>
      <c r="ET65" s="317">
        <f t="shared" si="48"/>
        <v>0</v>
      </c>
      <c r="EU65" s="317">
        <f t="shared" si="49"/>
        <v>8</v>
      </c>
      <c r="EV65" s="317">
        <f t="shared" si="50"/>
        <v>10</v>
      </c>
      <c r="EW65" s="317">
        <f t="shared" si="51"/>
        <v>9</v>
      </c>
      <c r="EX65" s="317">
        <f t="shared" si="52"/>
        <v>10</v>
      </c>
      <c r="EY65" s="317">
        <f t="shared" si="53"/>
        <v>10</v>
      </c>
      <c r="EZ65" s="317">
        <f t="shared" si="54"/>
        <v>0</v>
      </c>
      <c r="FA65" s="317">
        <f t="shared" si="55"/>
        <v>6</v>
      </c>
      <c r="FB65" s="317">
        <f t="shared" si="56"/>
        <v>10</v>
      </c>
      <c r="FC65" s="317">
        <f t="shared" si="57"/>
        <v>10</v>
      </c>
      <c r="FD65" s="317">
        <f t="shared" si="58"/>
        <v>10</v>
      </c>
      <c r="FE65" s="317">
        <f t="shared" si="59"/>
        <v>10</v>
      </c>
      <c r="FF65" s="317">
        <f t="shared" si="60"/>
        <v>10</v>
      </c>
      <c r="FG65" s="318">
        <f t="shared" si="63"/>
        <v>63</v>
      </c>
      <c r="FH65" s="319">
        <f t="shared" si="61"/>
        <v>103</v>
      </c>
      <c r="FI65" s="319">
        <f>SUM(I7:ER7)-SUM(ES65:FF65)</f>
        <v>25</v>
      </c>
      <c r="FJ65" s="319">
        <f t="shared" si="62"/>
        <v>128</v>
      </c>
      <c r="FK65" s="7"/>
    </row>
    <row r="66" spans="1:167" ht="15.75" customHeight="1">
      <c r="A66" s="2"/>
      <c r="B66" s="3">
        <f t="shared" si="45"/>
        <v>1</v>
      </c>
      <c r="C66" s="182">
        <f t="shared" si="46"/>
        <v>7</v>
      </c>
      <c r="D66" s="185" t="s">
        <v>107</v>
      </c>
      <c r="E66" s="203"/>
      <c r="F66" s="203">
        <v>13</v>
      </c>
      <c r="G66" s="571">
        <v>45915</v>
      </c>
      <c r="H66" s="572"/>
      <c r="I66" s="212">
        <v>1</v>
      </c>
      <c r="J66" s="206">
        <v>1</v>
      </c>
      <c r="K66" s="206">
        <v>1</v>
      </c>
      <c r="L66" s="206">
        <v>1</v>
      </c>
      <c r="M66" s="206">
        <v>1</v>
      </c>
      <c r="N66" s="206">
        <v>1</v>
      </c>
      <c r="O66" s="206">
        <v>1</v>
      </c>
      <c r="P66" s="206">
        <v>1</v>
      </c>
      <c r="Q66" s="206">
        <v>1</v>
      </c>
      <c r="R66" s="213">
        <v>1</v>
      </c>
      <c r="S66" s="223">
        <v>1</v>
      </c>
      <c r="T66" s="224">
        <v>1</v>
      </c>
      <c r="U66" s="224">
        <v>1</v>
      </c>
      <c r="V66" s="224">
        <v>1</v>
      </c>
      <c r="W66" s="224">
        <v>1</v>
      </c>
      <c r="X66" s="224">
        <v>1</v>
      </c>
      <c r="Y66" s="244">
        <v>1</v>
      </c>
      <c r="Z66" s="245">
        <v>1</v>
      </c>
      <c r="AA66" s="246">
        <v>1</v>
      </c>
      <c r="AB66" s="225">
        <v>1</v>
      </c>
      <c r="AC66" s="262">
        <v>0</v>
      </c>
      <c r="AD66" s="177">
        <v>0</v>
      </c>
      <c r="AE66" s="177">
        <v>1</v>
      </c>
      <c r="AF66" s="177">
        <v>1</v>
      </c>
      <c r="AG66" s="582"/>
      <c r="AH66" s="583"/>
      <c r="AI66" s="177">
        <v>1</v>
      </c>
      <c r="AJ66" s="177">
        <v>1</v>
      </c>
      <c r="AK66" s="177">
        <v>1</v>
      </c>
      <c r="AL66" s="263">
        <v>1</v>
      </c>
      <c r="AM66" s="235">
        <v>1</v>
      </c>
      <c r="AN66" s="271">
        <v>1</v>
      </c>
      <c r="AO66" s="236">
        <v>1</v>
      </c>
      <c r="AP66" s="236">
        <v>1</v>
      </c>
      <c r="AQ66" s="236">
        <v>1</v>
      </c>
      <c r="AR66" s="236">
        <v>1</v>
      </c>
      <c r="AS66" s="236">
        <v>1</v>
      </c>
      <c r="AT66" s="236">
        <v>1</v>
      </c>
      <c r="AU66" s="236">
        <v>1</v>
      </c>
      <c r="AV66" s="272">
        <v>1</v>
      </c>
      <c r="AW66" s="277">
        <v>1</v>
      </c>
      <c r="AX66" s="278">
        <v>1</v>
      </c>
      <c r="AY66" s="278">
        <v>1</v>
      </c>
      <c r="AZ66" s="127">
        <v>1</v>
      </c>
      <c r="BA66" s="278">
        <v>1</v>
      </c>
      <c r="BB66" s="278">
        <v>1</v>
      </c>
      <c r="BC66" s="278">
        <v>1</v>
      </c>
      <c r="BD66" s="127">
        <v>1</v>
      </c>
      <c r="BE66" s="278">
        <v>1</v>
      </c>
      <c r="BF66" s="280">
        <v>1</v>
      </c>
      <c r="BG66" s="212">
        <v>1</v>
      </c>
      <c r="BH66" s="206">
        <v>1</v>
      </c>
      <c r="BI66" s="206">
        <v>1</v>
      </c>
      <c r="BJ66" s="206">
        <v>1</v>
      </c>
      <c r="BK66" s="206">
        <v>1</v>
      </c>
      <c r="BL66" s="206">
        <v>1</v>
      </c>
      <c r="BM66" s="207">
        <v>1</v>
      </c>
      <c r="BN66" s="207">
        <v>1</v>
      </c>
      <c r="BO66" s="207">
        <v>0</v>
      </c>
      <c r="BP66" s="215">
        <v>0</v>
      </c>
      <c r="BQ66" s="226">
        <v>1</v>
      </c>
      <c r="BR66" s="227">
        <v>1</v>
      </c>
      <c r="BS66" s="227">
        <v>1</v>
      </c>
      <c r="BT66" s="227">
        <v>1</v>
      </c>
      <c r="BU66" s="227">
        <v>1</v>
      </c>
      <c r="BV66" s="227">
        <v>1</v>
      </c>
      <c r="BW66" s="227">
        <v>1</v>
      </c>
      <c r="BX66" s="227">
        <v>1</v>
      </c>
      <c r="BY66" s="227">
        <v>1</v>
      </c>
      <c r="BZ66" s="228">
        <v>1</v>
      </c>
      <c r="CA66" s="537"/>
      <c r="CB66" s="538"/>
      <c r="CC66" s="538"/>
      <c r="CD66" s="538"/>
      <c r="CE66" s="538"/>
      <c r="CF66" s="538"/>
      <c r="CG66" s="538"/>
      <c r="CH66" s="538"/>
      <c r="CI66" s="538"/>
      <c r="CJ66" s="538"/>
      <c r="CK66" s="237">
        <v>1</v>
      </c>
      <c r="CL66" s="238">
        <v>1</v>
      </c>
      <c r="CM66" s="238">
        <v>1</v>
      </c>
      <c r="CN66" s="238">
        <v>1</v>
      </c>
      <c r="CO66" s="238">
        <v>1</v>
      </c>
      <c r="CP66" s="238">
        <v>1</v>
      </c>
      <c r="CQ66" s="238">
        <v>1</v>
      </c>
      <c r="CR66" s="238">
        <v>1</v>
      </c>
      <c r="CS66" s="238">
        <v>1</v>
      </c>
      <c r="CT66" s="273">
        <v>1</v>
      </c>
      <c r="CU66" s="295">
        <v>1</v>
      </c>
      <c r="CV66" s="296">
        <v>1</v>
      </c>
      <c r="CW66" s="296">
        <v>1</v>
      </c>
      <c r="CX66" s="296">
        <v>1</v>
      </c>
      <c r="CY66" s="296">
        <v>1</v>
      </c>
      <c r="CZ66" s="296">
        <v>1</v>
      </c>
      <c r="DA66" s="296">
        <v>1</v>
      </c>
      <c r="DB66" s="296">
        <v>1</v>
      </c>
      <c r="DC66" s="297">
        <v>1</v>
      </c>
      <c r="DD66" s="298">
        <v>1</v>
      </c>
      <c r="DE66" s="214">
        <v>0</v>
      </c>
      <c r="DF66" s="207">
        <v>0</v>
      </c>
      <c r="DG66" s="207">
        <v>1</v>
      </c>
      <c r="DH66" s="207">
        <v>1</v>
      </c>
      <c r="DI66" s="207">
        <v>1</v>
      </c>
      <c r="DJ66" s="207">
        <v>1</v>
      </c>
      <c r="DK66" s="207">
        <v>1</v>
      </c>
      <c r="DL66" s="207">
        <v>1</v>
      </c>
      <c r="DM66" s="207">
        <v>1</v>
      </c>
      <c r="DN66" s="215">
        <v>1</v>
      </c>
      <c r="DO66" s="226">
        <v>1</v>
      </c>
      <c r="DP66" s="227">
        <v>1</v>
      </c>
      <c r="DQ66" s="227">
        <v>1</v>
      </c>
      <c r="DR66" s="227">
        <v>1</v>
      </c>
      <c r="DS66" s="227">
        <v>1</v>
      </c>
      <c r="DT66" s="227">
        <v>1</v>
      </c>
      <c r="DU66" s="227">
        <v>1</v>
      </c>
      <c r="DV66" s="227">
        <v>1</v>
      </c>
      <c r="DW66" s="227">
        <v>1</v>
      </c>
      <c r="DX66" s="228">
        <v>1</v>
      </c>
      <c r="DY66" s="90">
        <v>1</v>
      </c>
      <c r="DZ66" s="91">
        <v>1</v>
      </c>
      <c r="EA66" s="91">
        <v>1</v>
      </c>
      <c r="EB66" s="91">
        <v>1</v>
      </c>
      <c r="EC66" s="91">
        <v>1</v>
      </c>
      <c r="ED66" s="91">
        <v>1</v>
      </c>
      <c r="EE66" s="91">
        <v>1</v>
      </c>
      <c r="EF66" s="91">
        <v>1</v>
      </c>
      <c r="EG66" s="91">
        <v>1</v>
      </c>
      <c r="EH66" s="92">
        <v>1</v>
      </c>
      <c r="EI66" s="237">
        <v>1</v>
      </c>
      <c r="EJ66" s="238">
        <v>1</v>
      </c>
      <c r="EK66" s="238">
        <v>1</v>
      </c>
      <c r="EL66" s="238">
        <v>1</v>
      </c>
      <c r="EM66" s="238">
        <v>1</v>
      </c>
      <c r="EN66" s="238">
        <v>1</v>
      </c>
      <c r="EO66" s="238">
        <v>1</v>
      </c>
      <c r="EP66" s="238">
        <v>1</v>
      </c>
      <c r="EQ66" s="238">
        <v>1</v>
      </c>
      <c r="ER66" s="273">
        <v>1</v>
      </c>
      <c r="ES66" s="316">
        <f t="shared" si="47"/>
        <v>10</v>
      </c>
      <c r="ET66" s="317">
        <f t="shared" si="48"/>
        <v>10</v>
      </c>
      <c r="EU66" s="317">
        <f t="shared" si="49"/>
        <v>6</v>
      </c>
      <c r="EV66" s="317">
        <f t="shared" si="50"/>
        <v>10</v>
      </c>
      <c r="EW66" s="317">
        <f t="shared" si="51"/>
        <v>9</v>
      </c>
      <c r="EX66" s="317">
        <f t="shared" si="52"/>
        <v>8</v>
      </c>
      <c r="EY66" s="317">
        <f t="shared" si="53"/>
        <v>10</v>
      </c>
      <c r="EZ66" s="317">
        <f t="shared" si="54"/>
        <v>0</v>
      </c>
      <c r="FA66" s="317">
        <f t="shared" si="55"/>
        <v>10</v>
      </c>
      <c r="FB66" s="317">
        <f t="shared" si="56"/>
        <v>10</v>
      </c>
      <c r="FC66" s="317">
        <f t="shared" si="57"/>
        <v>8</v>
      </c>
      <c r="FD66" s="317">
        <f t="shared" si="58"/>
        <v>10</v>
      </c>
      <c r="FE66" s="317">
        <f t="shared" si="59"/>
        <v>10</v>
      </c>
      <c r="FF66" s="317">
        <f t="shared" si="60"/>
        <v>10</v>
      </c>
      <c r="FG66" s="318">
        <f t="shared" si="63"/>
        <v>64</v>
      </c>
      <c r="FH66" s="319">
        <f t="shared" si="61"/>
        <v>121</v>
      </c>
      <c r="FI66" s="319">
        <f>SUM(I7:ER7)-SUM(ES66:FF66)</f>
        <v>7</v>
      </c>
      <c r="FJ66" s="319">
        <f t="shared" si="62"/>
        <v>128</v>
      </c>
      <c r="FK66" s="7"/>
    </row>
    <row r="67" spans="1:167" ht="15.75" customHeight="1">
      <c r="A67" s="2"/>
      <c r="B67" s="3">
        <f t="shared" si="45"/>
        <v>1</v>
      </c>
      <c r="C67" s="182">
        <f t="shared" si="46"/>
        <v>8</v>
      </c>
      <c r="D67" s="185" t="s">
        <v>108</v>
      </c>
      <c r="E67" s="203"/>
      <c r="F67" s="203">
        <v>15</v>
      </c>
      <c r="G67" s="571">
        <v>45915</v>
      </c>
      <c r="H67" s="572"/>
      <c r="I67" s="212">
        <v>1</v>
      </c>
      <c r="J67" s="206">
        <v>1</v>
      </c>
      <c r="K67" s="206">
        <v>1</v>
      </c>
      <c r="L67" s="206">
        <v>1</v>
      </c>
      <c r="M67" s="206">
        <v>1</v>
      </c>
      <c r="N67" s="206">
        <v>1</v>
      </c>
      <c r="O67" s="206">
        <v>1</v>
      </c>
      <c r="P67" s="206">
        <v>1</v>
      </c>
      <c r="Q67" s="206">
        <v>1</v>
      </c>
      <c r="R67" s="213">
        <v>1</v>
      </c>
      <c r="S67" s="223">
        <v>1</v>
      </c>
      <c r="T67" s="224">
        <v>1</v>
      </c>
      <c r="U67" s="224">
        <v>1</v>
      </c>
      <c r="V67" s="224">
        <v>1</v>
      </c>
      <c r="W67" s="224">
        <v>1</v>
      </c>
      <c r="X67" s="224">
        <v>1</v>
      </c>
      <c r="Y67" s="244">
        <v>1</v>
      </c>
      <c r="Z67" s="245">
        <v>1</v>
      </c>
      <c r="AA67" s="246">
        <v>1</v>
      </c>
      <c r="AB67" s="225">
        <v>1</v>
      </c>
      <c r="AC67" s="262">
        <v>1</v>
      </c>
      <c r="AD67" s="177">
        <v>1</v>
      </c>
      <c r="AE67" s="177">
        <v>1</v>
      </c>
      <c r="AF67" s="177">
        <v>1</v>
      </c>
      <c r="AG67" s="582"/>
      <c r="AH67" s="583"/>
      <c r="AI67" s="177">
        <v>1</v>
      </c>
      <c r="AJ67" s="177">
        <v>1</v>
      </c>
      <c r="AK67" s="177">
        <v>1</v>
      </c>
      <c r="AL67" s="263">
        <v>1</v>
      </c>
      <c r="AM67" s="235">
        <v>1</v>
      </c>
      <c r="AN67" s="271">
        <v>1</v>
      </c>
      <c r="AO67" s="236">
        <v>1</v>
      </c>
      <c r="AP67" s="236">
        <v>1</v>
      </c>
      <c r="AQ67" s="236">
        <v>1</v>
      </c>
      <c r="AR67" s="236">
        <v>1</v>
      </c>
      <c r="AS67" s="236">
        <v>1</v>
      </c>
      <c r="AT67" s="236">
        <v>1</v>
      </c>
      <c r="AU67" s="236">
        <v>1</v>
      </c>
      <c r="AV67" s="272">
        <v>1</v>
      </c>
      <c r="AW67" s="277">
        <v>1</v>
      </c>
      <c r="AX67" s="278">
        <v>1</v>
      </c>
      <c r="AY67" s="278">
        <v>1</v>
      </c>
      <c r="AZ67" s="127">
        <v>1</v>
      </c>
      <c r="BA67" s="278">
        <v>1</v>
      </c>
      <c r="BB67" s="278">
        <v>1</v>
      </c>
      <c r="BC67" s="278">
        <v>1</v>
      </c>
      <c r="BD67" s="127">
        <v>1</v>
      </c>
      <c r="BE67" s="278">
        <v>1</v>
      </c>
      <c r="BF67" s="280">
        <v>1</v>
      </c>
      <c r="BG67" s="212">
        <v>1</v>
      </c>
      <c r="BH67" s="206">
        <v>1</v>
      </c>
      <c r="BI67" s="206">
        <v>1</v>
      </c>
      <c r="BJ67" s="206">
        <v>1</v>
      </c>
      <c r="BK67" s="206">
        <v>1</v>
      </c>
      <c r="BL67" s="206">
        <v>1</v>
      </c>
      <c r="BM67" s="207">
        <v>1</v>
      </c>
      <c r="BN67" s="207">
        <v>1</v>
      </c>
      <c r="BO67" s="207">
        <v>1</v>
      </c>
      <c r="BP67" s="215">
        <v>1</v>
      </c>
      <c r="BQ67" s="226">
        <v>1</v>
      </c>
      <c r="BR67" s="227">
        <v>1</v>
      </c>
      <c r="BS67" s="227">
        <v>1</v>
      </c>
      <c r="BT67" s="227">
        <v>1</v>
      </c>
      <c r="BU67" s="227">
        <v>1</v>
      </c>
      <c r="BV67" s="227">
        <v>1</v>
      </c>
      <c r="BW67" s="227">
        <v>1</v>
      </c>
      <c r="BX67" s="227">
        <v>1</v>
      </c>
      <c r="BY67" s="227">
        <v>1</v>
      </c>
      <c r="BZ67" s="228">
        <v>1</v>
      </c>
      <c r="CA67" s="537"/>
      <c r="CB67" s="538"/>
      <c r="CC67" s="538"/>
      <c r="CD67" s="538"/>
      <c r="CE67" s="538"/>
      <c r="CF67" s="538"/>
      <c r="CG67" s="538"/>
      <c r="CH67" s="538"/>
      <c r="CI67" s="538"/>
      <c r="CJ67" s="538"/>
      <c r="CK67" s="237">
        <v>1</v>
      </c>
      <c r="CL67" s="238">
        <v>1</v>
      </c>
      <c r="CM67" s="238">
        <v>1</v>
      </c>
      <c r="CN67" s="238">
        <v>1</v>
      </c>
      <c r="CO67" s="238">
        <v>1</v>
      </c>
      <c r="CP67" s="238">
        <v>1</v>
      </c>
      <c r="CQ67" s="238">
        <v>1</v>
      </c>
      <c r="CR67" s="238">
        <v>1</v>
      </c>
      <c r="CS67" s="238">
        <v>1</v>
      </c>
      <c r="CT67" s="273">
        <v>1</v>
      </c>
      <c r="CU67" s="295">
        <v>1</v>
      </c>
      <c r="CV67" s="296">
        <v>1</v>
      </c>
      <c r="CW67" s="296">
        <v>1</v>
      </c>
      <c r="CX67" s="296">
        <v>1</v>
      </c>
      <c r="CY67" s="296">
        <v>1</v>
      </c>
      <c r="CZ67" s="296">
        <v>1</v>
      </c>
      <c r="DA67" s="296">
        <v>1</v>
      </c>
      <c r="DB67" s="296">
        <v>1</v>
      </c>
      <c r="DC67" s="297">
        <v>1</v>
      </c>
      <c r="DD67" s="298">
        <v>1</v>
      </c>
      <c r="DE67" s="214">
        <v>1</v>
      </c>
      <c r="DF67" s="207">
        <v>1</v>
      </c>
      <c r="DG67" s="207">
        <v>1</v>
      </c>
      <c r="DH67" s="207">
        <v>1</v>
      </c>
      <c r="DI67" s="207">
        <v>1</v>
      </c>
      <c r="DJ67" s="207">
        <v>1</v>
      </c>
      <c r="DK67" s="207">
        <v>1</v>
      </c>
      <c r="DL67" s="207">
        <v>1</v>
      </c>
      <c r="DM67" s="207">
        <v>1</v>
      </c>
      <c r="DN67" s="215">
        <v>1</v>
      </c>
      <c r="DO67" s="226">
        <v>1</v>
      </c>
      <c r="DP67" s="227">
        <v>1</v>
      </c>
      <c r="DQ67" s="227">
        <v>1</v>
      </c>
      <c r="DR67" s="227">
        <v>1</v>
      </c>
      <c r="DS67" s="227">
        <v>1</v>
      </c>
      <c r="DT67" s="227">
        <v>1</v>
      </c>
      <c r="DU67" s="227">
        <v>1</v>
      </c>
      <c r="DV67" s="227">
        <v>1</v>
      </c>
      <c r="DW67" s="227">
        <v>1</v>
      </c>
      <c r="DX67" s="228">
        <v>1</v>
      </c>
      <c r="DY67" s="90">
        <v>1</v>
      </c>
      <c r="DZ67" s="91">
        <v>1</v>
      </c>
      <c r="EA67" s="91">
        <v>1</v>
      </c>
      <c r="EB67" s="91">
        <v>1</v>
      </c>
      <c r="EC67" s="91">
        <v>1</v>
      </c>
      <c r="ED67" s="91">
        <v>1</v>
      </c>
      <c r="EE67" s="91">
        <v>1</v>
      </c>
      <c r="EF67" s="91">
        <v>1</v>
      </c>
      <c r="EG67" s="91">
        <v>1</v>
      </c>
      <c r="EH67" s="92">
        <v>1</v>
      </c>
      <c r="EI67" s="237">
        <v>1</v>
      </c>
      <c r="EJ67" s="238">
        <v>1</v>
      </c>
      <c r="EK67" s="238">
        <v>1</v>
      </c>
      <c r="EL67" s="238">
        <v>1</v>
      </c>
      <c r="EM67" s="238">
        <v>1</v>
      </c>
      <c r="EN67" s="238">
        <v>1</v>
      </c>
      <c r="EO67" s="238">
        <v>1</v>
      </c>
      <c r="EP67" s="238">
        <v>1</v>
      </c>
      <c r="EQ67" s="238">
        <v>1</v>
      </c>
      <c r="ER67" s="273">
        <v>1</v>
      </c>
      <c r="ES67" s="316">
        <f t="shared" si="47"/>
        <v>10</v>
      </c>
      <c r="ET67" s="317">
        <f t="shared" si="48"/>
        <v>10</v>
      </c>
      <c r="EU67" s="317">
        <f t="shared" si="49"/>
        <v>8</v>
      </c>
      <c r="EV67" s="317">
        <f t="shared" si="50"/>
        <v>10</v>
      </c>
      <c r="EW67" s="317">
        <f t="shared" si="51"/>
        <v>9</v>
      </c>
      <c r="EX67" s="317">
        <f t="shared" si="52"/>
        <v>10</v>
      </c>
      <c r="EY67" s="317">
        <f t="shared" si="53"/>
        <v>10</v>
      </c>
      <c r="EZ67" s="317">
        <f t="shared" si="54"/>
        <v>0</v>
      </c>
      <c r="FA67" s="317">
        <f t="shared" si="55"/>
        <v>10</v>
      </c>
      <c r="FB67" s="317">
        <f t="shared" si="56"/>
        <v>10</v>
      </c>
      <c r="FC67" s="317">
        <f t="shared" si="57"/>
        <v>10</v>
      </c>
      <c r="FD67" s="317">
        <f t="shared" si="58"/>
        <v>10</v>
      </c>
      <c r="FE67" s="317">
        <f t="shared" si="59"/>
        <v>10</v>
      </c>
      <c r="FF67" s="317">
        <f t="shared" si="60"/>
        <v>10</v>
      </c>
      <c r="FG67" s="318">
        <f t="shared" si="63"/>
        <v>65</v>
      </c>
      <c r="FH67" s="319">
        <f t="shared" si="61"/>
        <v>127</v>
      </c>
      <c r="FI67" s="319">
        <f>SUM(I7:ER7)-SUM(ES67:FF67)</f>
        <v>1</v>
      </c>
      <c r="FJ67" s="319">
        <f t="shared" si="62"/>
        <v>128</v>
      </c>
      <c r="FK67" s="7"/>
    </row>
    <row r="68" spans="1:167" ht="15.75" customHeight="1">
      <c r="A68" s="2"/>
      <c r="B68" s="3">
        <f t="shared" si="45"/>
        <v>1</v>
      </c>
      <c r="C68" s="182">
        <f t="shared" si="46"/>
        <v>9</v>
      </c>
      <c r="D68" s="185" t="s">
        <v>109</v>
      </c>
      <c r="E68" s="203"/>
      <c r="F68" s="203">
        <v>14</v>
      </c>
      <c r="G68" s="571">
        <v>45915</v>
      </c>
      <c r="H68" s="572"/>
      <c r="I68" s="212">
        <v>1</v>
      </c>
      <c r="J68" s="206">
        <v>1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13">
        <v>0</v>
      </c>
      <c r="S68" s="223">
        <v>1</v>
      </c>
      <c r="T68" s="224">
        <v>1</v>
      </c>
      <c r="U68" s="224">
        <v>1</v>
      </c>
      <c r="V68" s="224">
        <v>1</v>
      </c>
      <c r="W68" s="224">
        <v>1</v>
      </c>
      <c r="X68" s="224">
        <v>1</v>
      </c>
      <c r="Y68" s="244">
        <v>1</v>
      </c>
      <c r="Z68" s="245">
        <v>1</v>
      </c>
      <c r="AA68" s="246">
        <v>1</v>
      </c>
      <c r="AB68" s="225">
        <v>1</v>
      </c>
      <c r="AC68" s="262">
        <v>1</v>
      </c>
      <c r="AD68" s="177">
        <v>1</v>
      </c>
      <c r="AE68" s="177">
        <v>1</v>
      </c>
      <c r="AF68" s="177">
        <v>1</v>
      </c>
      <c r="AG68" s="582"/>
      <c r="AH68" s="583"/>
      <c r="AI68" s="177">
        <v>1</v>
      </c>
      <c r="AJ68" s="177">
        <v>1</v>
      </c>
      <c r="AK68" s="177">
        <v>1</v>
      </c>
      <c r="AL68" s="263">
        <v>1</v>
      </c>
      <c r="AM68" s="235">
        <v>0</v>
      </c>
      <c r="AN68" s="271">
        <v>0</v>
      </c>
      <c r="AO68" s="236">
        <v>1</v>
      </c>
      <c r="AP68" s="236">
        <v>1</v>
      </c>
      <c r="AQ68" s="236">
        <v>1</v>
      </c>
      <c r="AR68" s="236">
        <v>1</v>
      </c>
      <c r="AS68" s="236">
        <v>1</v>
      </c>
      <c r="AT68" s="236">
        <v>1</v>
      </c>
      <c r="AU68" s="236">
        <v>1</v>
      </c>
      <c r="AV68" s="272">
        <v>1</v>
      </c>
      <c r="AW68" s="277">
        <v>1</v>
      </c>
      <c r="AX68" s="278">
        <v>1</v>
      </c>
      <c r="AY68" s="278">
        <v>1</v>
      </c>
      <c r="AZ68" s="127">
        <v>1</v>
      </c>
      <c r="BA68" s="278">
        <v>0</v>
      </c>
      <c r="BB68" s="278">
        <v>0</v>
      </c>
      <c r="BC68" s="278">
        <v>1</v>
      </c>
      <c r="BD68" s="127">
        <v>1</v>
      </c>
      <c r="BE68" s="278">
        <v>1</v>
      </c>
      <c r="BF68" s="280">
        <v>1</v>
      </c>
      <c r="BG68" s="212">
        <v>1</v>
      </c>
      <c r="BH68" s="206">
        <v>1</v>
      </c>
      <c r="BI68" s="206">
        <v>1</v>
      </c>
      <c r="BJ68" s="206">
        <v>1</v>
      </c>
      <c r="BK68" s="206">
        <v>1</v>
      </c>
      <c r="BL68" s="206">
        <v>1</v>
      </c>
      <c r="BM68" s="207">
        <v>1</v>
      </c>
      <c r="BN68" s="207">
        <v>1</v>
      </c>
      <c r="BO68" s="207">
        <v>1</v>
      </c>
      <c r="BP68" s="215">
        <v>1</v>
      </c>
      <c r="BQ68" s="226">
        <v>1</v>
      </c>
      <c r="BR68" s="227">
        <v>1</v>
      </c>
      <c r="BS68" s="227">
        <v>1</v>
      </c>
      <c r="BT68" s="227">
        <v>1</v>
      </c>
      <c r="BU68" s="227">
        <v>1</v>
      </c>
      <c r="BV68" s="227">
        <v>1</v>
      </c>
      <c r="BW68" s="227">
        <v>1</v>
      </c>
      <c r="BX68" s="227">
        <v>1</v>
      </c>
      <c r="BY68" s="227">
        <v>1</v>
      </c>
      <c r="BZ68" s="228">
        <v>1</v>
      </c>
      <c r="CA68" s="537"/>
      <c r="CB68" s="538"/>
      <c r="CC68" s="538"/>
      <c r="CD68" s="538"/>
      <c r="CE68" s="538"/>
      <c r="CF68" s="538"/>
      <c r="CG68" s="538"/>
      <c r="CH68" s="538"/>
      <c r="CI68" s="538"/>
      <c r="CJ68" s="538"/>
      <c r="CK68" s="237">
        <v>1</v>
      </c>
      <c r="CL68" s="238">
        <v>1</v>
      </c>
      <c r="CM68" s="238">
        <v>1</v>
      </c>
      <c r="CN68" s="238">
        <v>1</v>
      </c>
      <c r="CO68" s="238">
        <v>1</v>
      </c>
      <c r="CP68" s="238">
        <v>1</v>
      </c>
      <c r="CQ68" s="238">
        <v>1</v>
      </c>
      <c r="CR68" s="238">
        <v>1</v>
      </c>
      <c r="CS68" s="238">
        <v>1</v>
      </c>
      <c r="CT68" s="273">
        <v>1</v>
      </c>
      <c r="CU68" s="295">
        <v>1</v>
      </c>
      <c r="CV68" s="296">
        <v>1</v>
      </c>
      <c r="CW68" s="296">
        <v>1</v>
      </c>
      <c r="CX68" s="296">
        <v>1</v>
      </c>
      <c r="CY68" s="296">
        <v>1</v>
      </c>
      <c r="CZ68" s="296">
        <v>1</v>
      </c>
      <c r="DA68" s="296">
        <v>1</v>
      </c>
      <c r="DB68" s="296">
        <v>1</v>
      </c>
      <c r="DC68" s="297">
        <v>1</v>
      </c>
      <c r="DD68" s="298">
        <v>1</v>
      </c>
      <c r="DE68" s="214">
        <v>1</v>
      </c>
      <c r="DF68" s="207">
        <v>1</v>
      </c>
      <c r="DG68" s="207">
        <v>1</v>
      </c>
      <c r="DH68" s="207">
        <v>1</v>
      </c>
      <c r="DI68" s="207">
        <v>1</v>
      </c>
      <c r="DJ68" s="207">
        <v>1</v>
      </c>
      <c r="DK68" s="207">
        <v>0</v>
      </c>
      <c r="DL68" s="207">
        <v>0</v>
      </c>
      <c r="DM68" s="207">
        <v>1</v>
      </c>
      <c r="DN68" s="215">
        <v>1</v>
      </c>
      <c r="DO68" s="226">
        <v>1</v>
      </c>
      <c r="DP68" s="227">
        <v>1</v>
      </c>
      <c r="DQ68" s="227">
        <v>1</v>
      </c>
      <c r="DR68" s="227">
        <v>1</v>
      </c>
      <c r="DS68" s="227">
        <v>1</v>
      </c>
      <c r="DT68" s="227">
        <v>1</v>
      </c>
      <c r="DU68" s="227">
        <v>1</v>
      </c>
      <c r="DV68" s="227">
        <v>1</v>
      </c>
      <c r="DW68" s="227">
        <v>1</v>
      </c>
      <c r="DX68" s="228">
        <v>1</v>
      </c>
      <c r="DY68" s="90">
        <v>1</v>
      </c>
      <c r="DZ68" s="91">
        <v>1</v>
      </c>
      <c r="EA68" s="91">
        <v>1</v>
      </c>
      <c r="EB68" s="91">
        <v>1</v>
      </c>
      <c r="EC68" s="91">
        <v>1</v>
      </c>
      <c r="ED68" s="91">
        <v>1</v>
      </c>
      <c r="EE68" s="91">
        <v>1</v>
      </c>
      <c r="EF68" s="91">
        <v>1</v>
      </c>
      <c r="EG68" s="91">
        <v>1</v>
      </c>
      <c r="EH68" s="92">
        <v>1</v>
      </c>
      <c r="EI68" s="237">
        <v>1</v>
      </c>
      <c r="EJ68" s="238">
        <v>1</v>
      </c>
      <c r="EK68" s="238">
        <v>1</v>
      </c>
      <c r="EL68" s="238">
        <v>1</v>
      </c>
      <c r="EM68" s="238">
        <v>1</v>
      </c>
      <c r="EN68" s="238">
        <v>1</v>
      </c>
      <c r="EO68" s="238">
        <v>1</v>
      </c>
      <c r="EP68" s="238">
        <v>1</v>
      </c>
      <c r="EQ68" s="238">
        <v>1</v>
      </c>
      <c r="ER68" s="273">
        <v>1</v>
      </c>
      <c r="ES68" s="316">
        <f t="shared" si="47"/>
        <v>2</v>
      </c>
      <c r="ET68" s="317">
        <f t="shared" si="48"/>
        <v>10</v>
      </c>
      <c r="EU68" s="317">
        <f t="shared" si="49"/>
        <v>8</v>
      </c>
      <c r="EV68" s="317">
        <f t="shared" si="50"/>
        <v>8</v>
      </c>
      <c r="EW68" s="317">
        <f t="shared" si="51"/>
        <v>7</v>
      </c>
      <c r="EX68" s="317">
        <f t="shared" si="52"/>
        <v>10</v>
      </c>
      <c r="EY68" s="317">
        <f t="shared" si="53"/>
        <v>10</v>
      </c>
      <c r="EZ68" s="317">
        <f t="shared" si="54"/>
        <v>0</v>
      </c>
      <c r="FA68" s="317">
        <f t="shared" si="55"/>
        <v>10</v>
      </c>
      <c r="FB68" s="317">
        <f t="shared" si="56"/>
        <v>10</v>
      </c>
      <c r="FC68" s="317">
        <f t="shared" si="57"/>
        <v>8</v>
      </c>
      <c r="FD68" s="317">
        <f t="shared" si="58"/>
        <v>10</v>
      </c>
      <c r="FE68" s="317">
        <f t="shared" si="59"/>
        <v>10</v>
      </c>
      <c r="FF68" s="317">
        <f t="shared" si="60"/>
        <v>10</v>
      </c>
      <c r="FG68" s="318">
        <f t="shared" si="63"/>
        <v>66</v>
      </c>
      <c r="FH68" s="319">
        <f t="shared" si="61"/>
        <v>113</v>
      </c>
      <c r="FI68" s="319">
        <f>SUM(I7:ER7)-SUM(ES68:FF68)</f>
        <v>15</v>
      </c>
      <c r="FJ68" s="319">
        <f t="shared" si="62"/>
        <v>128</v>
      </c>
      <c r="FK68" s="7"/>
    </row>
    <row r="69" spans="1:167" ht="15.75" customHeight="1">
      <c r="A69" s="2"/>
      <c r="B69" s="3">
        <f t="shared" si="45"/>
        <v>1</v>
      </c>
      <c r="C69" s="182">
        <f t="shared" si="46"/>
        <v>10</v>
      </c>
      <c r="D69" s="185" t="s">
        <v>110</v>
      </c>
      <c r="E69" s="203"/>
      <c r="F69" s="203">
        <v>15</v>
      </c>
      <c r="G69" s="571">
        <v>45915</v>
      </c>
      <c r="H69" s="572"/>
      <c r="I69" s="212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13">
        <v>0</v>
      </c>
      <c r="S69" s="223">
        <v>1</v>
      </c>
      <c r="T69" s="224">
        <v>1</v>
      </c>
      <c r="U69" s="224">
        <v>1</v>
      </c>
      <c r="V69" s="224">
        <v>1</v>
      </c>
      <c r="W69" s="224">
        <v>1</v>
      </c>
      <c r="X69" s="224">
        <v>1</v>
      </c>
      <c r="Y69" s="244">
        <v>1</v>
      </c>
      <c r="Z69" s="245">
        <v>1</v>
      </c>
      <c r="AA69" s="246">
        <v>1</v>
      </c>
      <c r="AB69" s="225">
        <v>1</v>
      </c>
      <c r="AC69" s="262">
        <v>1</v>
      </c>
      <c r="AD69" s="177">
        <v>1</v>
      </c>
      <c r="AE69" s="177">
        <v>1</v>
      </c>
      <c r="AF69" s="177">
        <v>1</v>
      </c>
      <c r="AG69" s="582"/>
      <c r="AH69" s="583"/>
      <c r="AI69" s="177">
        <v>1</v>
      </c>
      <c r="AJ69" s="177">
        <v>1</v>
      </c>
      <c r="AK69" s="177">
        <v>1</v>
      </c>
      <c r="AL69" s="263">
        <v>1</v>
      </c>
      <c r="AM69" s="235">
        <v>1</v>
      </c>
      <c r="AN69" s="271">
        <v>1</v>
      </c>
      <c r="AO69" s="236">
        <v>1</v>
      </c>
      <c r="AP69" s="236">
        <v>1</v>
      </c>
      <c r="AQ69" s="236">
        <v>1</v>
      </c>
      <c r="AR69" s="236">
        <v>1</v>
      </c>
      <c r="AS69" s="236">
        <v>1</v>
      </c>
      <c r="AT69" s="236">
        <v>1</v>
      </c>
      <c r="AU69" s="236">
        <v>1</v>
      </c>
      <c r="AV69" s="272">
        <v>1</v>
      </c>
      <c r="AW69" s="277">
        <v>1</v>
      </c>
      <c r="AX69" s="278">
        <v>1</v>
      </c>
      <c r="AY69" s="278">
        <v>1</v>
      </c>
      <c r="AZ69" s="127">
        <v>1</v>
      </c>
      <c r="BA69" s="278">
        <v>0</v>
      </c>
      <c r="BB69" s="278">
        <v>0</v>
      </c>
      <c r="BC69" s="278">
        <v>1</v>
      </c>
      <c r="BD69" s="127">
        <v>1</v>
      </c>
      <c r="BE69" s="278">
        <v>1</v>
      </c>
      <c r="BF69" s="280">
        <v>1</v>
      </c>
      <c r="BG69" s="212">
        <v>1</v>
      </c>
      <c r="BH69" s="206">
        <v>1</v>
      </c>
      <c r="BI69" s="206">
        <v>1</v>
      </c>
      <c r="BJ69" s="206">
        <v>1</v>
      </c>
      <c r="BK69" s="206">
        <v>0</v>
      </c>
      <c r="BL69" s="206">
        <v>0</v>
      </c>
      <c r="BM69" s="207">
        <v>1</v>
      </c>
      <c r="BN69" s="207">
        <v>1</v>
      </c>
      <c r="BO69" s="207">
        <v>1</v>
      </c>
      <c r="BP69" s="215">
        <v>1</v>
      </c>
      <c r="BQ69" s="226">
        <v>1</v>
      </c>
      <c r="BR69" s="227">
        <v>1</v>
      </c>
      <c r="BS69" s="227">
        <v>1</v>
      </c>
      <c r="BT69" s="227">
        <v>1</v>
      </c>
      <c r="BU69" s="227">
        <v>1</v>
      </c>
      <c r="BV69" s="227">
        <v>1</v>
      </c>
      <c r="BW69" s="227">
        <v>1</v>
      </c>
      <c r="BX69" s="227">
        <v>1</v>
      </c>
      <c r="BY69" s="227">
        <v>0</v>
      </c>
      <c r="BZ69" s="228">
        <v>0</v>
      </c>
      <c r="CA69" s="537"/>
      <c r="CB69" s="538"/>
      <c r="CC69" s="538"/>
      <c r="CD69" s="538"/>
      <c r="CE69" s="538"/>
      <c r="CF69" s="538"/>
      <c r="CG69" s="538"/>
      <c r="CH69" s="538"/>
      <c r="CI69" s="538"/>
      <c r="CJ69" s="538"/>
      <c r="CK69" s="237">
        <v>1</v>
      </c>
      <c r="CL69" s="238">
        <v>1</v>
      </c>
      <c r="CM69" s="238">
        <v>1</v>
      </c>
      <c r="CN69" s="238">
        <v>1</v>
      </c>
      <c r="CO69" s="238">
        <v>1</v>
      </c>
      <c r="CP69" s="238">
        <v>1</v>
      </c>
      <c r="CQ69" s="238">
        <v>1</v>
      </c>
      <c r="CR69" s="238">
        <v>1</v>
      </c>
      <c r="CS69" s="238">
        <v>1</v>
      </c>
      <c r="CT69" s="273">
        <v>1</v>
      </c>
      <c r="CU69" s="295">
        <v>1</v>
      </c>
      <c r="CV69" s="296">
        <v>1</v>
      </c>
      <c r="CW69" s="296">
        <v>1</v>
      </c>
      <c r="CX69" s="296">
        <v>1</v>
      </c>
      <c r="CY69" s="296">
        <v>1</v>
      </c>
      <c r="CZ69" s="296">
        <v>1</v>
      </c>
      <c r="DA69" s="296">
        <v>1</v>
      </c>
      <c r="DB69" s="296">
        <v>1</v>
      </c>
      <c r="DC69" s="297">
        <v>1</v>
      </c>
      <c r="DD69" s="298">
        <v>1</v>
      </c>
      <c r="DE69" s="214">
        <v>1</v>
      </c>
      <c r="DF69" s="207">
        <v>1</v>
      </c>
      <c r="DG69" s="207">
        <v>1</v>
      </c>
      <c r="DH69" s="207">
        <v>1</v>
      </c>
      <c r="DI69" s="207">
        <v>1</v>
      </c>
      <c r="DJ69" s="207">
        <v>1</v>
      </c>
      <c r="DK69" s="207">
        <v>1</v>
      </c>
      <c r="DL69" s="207">
        <v>1</v>
      </c>
      <c r="DM69" s="207">
        <v>1</v>
      </c>
      <c r="DN69" s="215">
        <v>1</v>
      </c>
      <c r="DO69" s="226">
        <v>1</v>
      </c>
      <c r="DP69" s="227">
        <v>1</v>
      </c>
      <c r="DQ69" s="227">
        <v>1</v>
      </c>
      <c r="DR69" s="227">
        <v>1</v>
      </c>
      <c r="DS69" s="227">
        <v>1</v>
      </c>
      <c r="DT69" s="227">
        <v>1</v>
      </c>
      <c r="DU69" s="227">
        <v>1</v>
      </c>
      <c r="DV69" s="227">
        <v>1</v>
      </c>
      <c r="DW69" s="227">
        <v>1</v>
      </c>
      <c r="DX69" s="228">
        <v>1</v>
      </c>
      <c r="DY69" s="90">
        <v>1</v>
      </c>
      <c r="DZ69" s="91">
        <v>1</v>
      </c>
      <c r="EA69" s="91">
        <v>1</v>
      </c>
      <c r="EB69" s="91">
        <v>1</v>
      </c>
      <c r="EC69" s="91">
        <v>1</v>
      </c>
      <c r="ED69" s="91">
        <v>1</v>
      </c>
      <c r="EE69" s="91">
        <v>1</v>
      </c>
      <c r="EF69" s="91">
        <v>1</v>
      </c>
      <c r="EG69" s="91">
        <v>1</v>
      </c>
      <c r="EH69" s="92">
        <v>1</v>
      </c>
      <c r="EI69" s="237">
        <v>1</v>
      </c>
      <c r="EJ69" s="238">
        <v>1</v>
      </c>
      <c r="EK69" s="238">
        <v>1</v>
      </c>
      <c r="EL69" s="238">
        <v>1</v>
      </c>
      <c r="EM69" s="238">
        <v>1</v>
      </c>
      <c r="EN69" s="238">
        <v>1</v>
      </c>
      <c r="EO69" s="238">
        <v>1</v>
      </c>
      <c r="EP69" s="238">
        <v>1</v>
      </c>
      <c r="EQ69" s="238">
        <v>1</v>
      </c>
      <c r="ER69" s="273">
        <v>1</v>
      </c>
      <c r="ES69" s="316">
        <f t="shared" si="47"/>
        <v>0</v>
      </c>
      <c r="ET69" s="317">
        <f t="shared" si="48"/>
        <v>10</v>
      </c>
      <c r="EU69" s="317">
        <f t="shared" si="49"/>
        <v>8</v>
      </c>
      <c r="EV69" s="317">
        <f t="shared" si="50"/>
        <v>10</v>
      </c>
      <c r="EW69" s="317">
        <f t="shared" si="51"/>
        <v>7</v>
      </c>
      <c r="EX69" s="317">
        <f t="shared" si="52"/>
        <v>8</v>
      </c>
      <c r="EY69" s="317">
        <f t="shared" si="53"/>
        <v>8</v>
      </c>
      <c r="EZ69" s="317">
        <f t="shared" si="54"/>
        <v>0</v>
      </c>
      <c r="FA69" s="317">
        <f t="shared" si="55"/>
        <v>10</v>
      </c>
      <c r="FB69" s="317">
        <f t="shared" si="56"/>
        <v>10</v>
      </c>
      <c r="FC69" s="317">
        <f t="shared" si="57"/>
        <v>10</v>
      </c>
      <c r="FD69" s="317">
        <f t="shared" si="58"/>
        <v>10</v>
      </c>
      <c r="FE69" s="317">
        <f t="shared" si="59"/>
        <v>10</v>
      </c>
      <c r="FF69" s="317">
        <f t="shared" si="60"/>
        <v>10</v>
      </c>
      <c r="FG69" s="318">
        <f t="shared" si="63"/>
        <v>67</v>
      </c>
      <c r="FH69" s="319">
        <f t="shared" si="61"/>
        <v>111</v>
      </c>
      <c r="FI69" s="319">
        <f>SUM(I7:ER7)-SUM(ES69:FF69)</f>
        <v>17</v>
      </c>
      <c r="FJ69" s="319">
        <f t="shared" si="62"/>
        <v>128</v>
      </c>
      <c r="FK69" s="7"/>
    </row>
    <row r="70" spans="1:167" ht="15.75" customHeight="1">
      <c r="A70" s="2"/>
      <c r="B70" s="3">
        <f t="shared" si="45"/>
        <v>1</v>
      </c>
      <c r="C70" s="182">
        <f t="shared" si="46"/>
        <v>11</v>
      </c>
      <c r="D70" s="185" t="s">
        <v>111</v>
      </c>
      <c r="E70" s="203"/>
      <c r="F70" s="203">
        <v>13</v>
      </c>
      <c r="G70" s="571">
        <v>45915</v>
      </c>
      <c r="H70" s="572"/>
      <c r="I70" s="212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13">
        <v>0</v>
      </c>
      <c r="S70" s="223">
        <v>1</v>
      </c>
      <c r="T70" s="224">
        <v>1</v>
      </c>
      <c r="U70" s="224">
        <v>1</v>
      </c>
      <c r="V70" s="224">
        <v>1</v>
      </c>
      <c r="W70" s="224">
        <v>1</v>
      </c>
      <c r="X70" s="224">
        <v>1</v>
      </c>
      <c r="Y70" s="244">
        <v>1</v>
      </c>
      <c r="Z70" s="245">
        <v>1</v>
      </c>
      <c r="AA70" s="246">
        <v>1</v>
      </c>
      <c r="AB70" s="225">
        <v>1</v>
      </c>
      <c r="AC70" s="262">
        <v>1</v>
      </c>
      <c r="AD70" s="177">
        <v>1</v>
      </c>
      <c r="AE70" s="177">
        <v>1</v>
      </c>
      <c r="AF70" s="177">
        <v>1</v>
      </c>
      <c r="AG70" s="582"/>
      <c r="AH70" s="583"/>
      <c r="AI70" s="177">
        <v>1</v>
      </c>
      <c r="AJ70" s="177">
        <v>1</v>
      </c>
      <c r="AK70" s="177">
        <v>1</v>
      </c>
      <c r="AL70" s="263">
        <v>1</v>
      </c>
      <c r="AM70" s="235">
        <v>1</v>
      </c>
      <c r="AN70" s="271">
        <v>1</v>
      </c>
      <c r="AO70" s="236">
        <v>1</v>
      </c>
      <c r="AP70" s="236">
        <v>1</v>
      </c>
      <c r="AQ70" s="236">
        <v>1</v>
      </c>
      <c r="AR70" s="236">
        <v>1</v>
      </c>
      <c r="AS70" s="236">
        <v>1</v>
      </c>
      <c r="AT70" s="236">
        <v>1</v>
      </c>
      <c r="AU70" s="236">
        <v>1</v>
      </c>
      <c r="AV70" s="272">
        <v>1</v>
      </c>
      <c r="AW70" s="277">
        <v>1</v>
      </c>
      <c r="AX70" s="278">
        <v>1</v>
      </c>
      <c r="AY70" s="278">
        <v>1</v>
      </c>
      <c r="AZ70" s="127">
        <v>1</v>
      </c>
      <c r="BA70" s="278">
        <v>1</v>
      </c>
      <c r="BB70" s="278">
        <v>1</v>
      </c>
      <c r="BC70" s="278">
        <v>1</v>
      </c>
      <c r="BD70" s="127">
        <v>1</v>
      </c>
      <c r="BE70" s="278">
        <v>1</v>
      </c>
      <c r="BF70" s="280">
        <v>1</v>
      </c>
      <c r="BG70" s="212">
        <v>1</v>
      </c>
      <c r="BH70" s="206">
        <v>1</v>
      </c>
      <c r="BI70" s="206">
        <v>1</v>
      </c>
      <c r="BJ70" s="206">
        <v>1</v>
      </c>
      <c r="BK70" s="206">
        <v>1</v>
      </c>
      <c r="BL70" s="206">
        <v>1</v>
      </c>
      <c r="BM70" s="207">
        <v>1</v>
      </c>
      <c r="BN70" s="207">
        <v>1</v>
      </c>
      <c r="BO70" s="207">
        <v>1</v>
      </c>
      <c r="BP70" s="215">
        <v>1</v>
      </c>
      <c r="BQ70" s="226">
        <v>1</v>
      </c>
      <c r="BR70" s="227">
        <v>1</v>
      </c>
      <c r="BS70" s="227">
        <v>1</v>
      </c>
      <c r="BT70" s="227">
        <v>1</v>
      </c>
      <c r="BU70" s="227">
        <v>1</v>
      </c>
      <c r="BV70" s="227">
        <v>1</v>
      </c>
      <c r="BW70" s="227">
        <v>1</v>
      </c>
      <c r="BX70" s="227">
        <v>1</v>
      </c>
      <c r="BY70" s="227">
        <v>1</v>
      </c>
      <c r="BZ70" s="228">
        <v>1</v>
      </c>
      <c r="CA70" s="537"/>
      <c r="CB70" s="538"/>
      <c r="CC70" s="538"/>
      <c r="CD70" s="538"/>
      <c r="CE70" s="538"/>
      <c r="CF70" s="538"/>
      <c r="CG70" s="538"/>
      <c r="CH70" s="538"/>
      <c r="CI70" s="538"/>
      <c r="CJ70" s="538"/>
      <c r="CK70" s="237">
        <v>1</v>
      </c>
      <c r="CL70" s="238">
        <v>1</v>
      </c>
      <c r="CM70" s="238">
        <v>1</v>
      </c>
      <c r="CN70" s="238">
        <v>1</v>
      </c>
      <c r="CO70" s="238">
        <v>1</v>
      </c>
      <c r="CP70" s="238">
        <v>1</v>
      </c>
      <c r="CQ70" s="238">
        <v>1</v>
      </c>
      <c r="CR70" s="238">
        <v>1</v>
      </c>
      <c r="CS70" s="238">
        <v>1</v>
      </c>
      <c r="CT70" s="273">
        <v>1</v>
      </c>
      <c r="CU70" s="295">
        <v>1</v>
      </c>
      <c r="CV70" s="296">
        <v>1</v>
      </c>
      <c r="CW70" s="296">
        <v>1</v>
      </c>
      <c r="CX70" s="296">
        <v>1</v>
      </c>
      <c r="CY70" s="296">
        <v>1</v>
      </c>
      <c r="CZ70" s="296">
        <v>1</v>
      </c>
      <c r="DA70" s="296">
        <v>1</v>
      </c>
      <c r="DB70" s="296">
        <v>1</v>
      </c>
      <c r="DC70" s="297">
        <v>1</v>
      </c>
      <c r="DD70" s="298">
        <v>1</v>
      </c>
      <c r="DE70" s="214">
        <v>1</v>
      </c>
      <c r="DF70" s="207">
        <v>1</v>
      </c>
      <c r="DG70" s="207">
        <v>1</v>
      </c>
      <c r="DH70" s="207">
        <v>1</v>
      </c>
      <c r="DI70" s="207">
        <v>1</v>
      </c>
      <c r="DJ70" s="207">
        <v>1</v>
      </c>
      <c r="DK70" s="207">
        <v>1</v>
      </c>
      <c r="DL70" s="207">
        <v>1</v>
      </c>
      <c r="DM70" s="207">
        <v>1</v>
      </c>
      <c r="DN70" s="215">
        <v>1</v>
      </c>
      <c r="DO70" s="226">
        <v>1</v>
      </c>
      <c r="DP70" s="227">
        <v>1</v>
      </c>
      <c r="DQ70" s="227">
        <v>1</v>
      </c>
      <c r="DR70" s="227">
        <v>1</v>
      </c>
      <c r="DS70" s="227">
        <v>1</v>
      </c>
      <c r="DT70" s="227">
        <v>1</v>
      </c>
      <c r="DU70" s="227">
        <v>1</v>
      </c>
      <c r="DV70" s="227">
        <v>1</v>
      </c>
      <c r="DW70" s="227">
        <v>1</v>
      </c>
      <c r="DX70" s="228">
        <v>1</v>
      </c>
      <c r="DY70" s="90">
        <v>1</v>
      </c>
      <c r="DZ70" s="91">
        <v>1</v>
      </c>
      <c r="EA70" s="91">
        <v>1</v>
      </c>
      <c r="EB70" s="91">
        <v>1</v>
      </c>
      <c r="EC70" s="91">
        <v>1</v>
      </c>
      <c r="ED70" s="91">
        <v>1</v>
      </c>
      <c r="EE70" s="91">
        <v>1</v>
      </c>
      <c r="EF70" s="91">
        <v>1</v>
      </c>
      <c r="EG70" s="91">
        <v>1</v>
      </c>
      <c r="EH70" s="92">
        <v>1</v>
      </c>
      <c r="EI70" s="237">
        <v>1</v>
      </c>
      <c r="EJ70" s="238">
        <v>1</v>
      </c>
      <c r="EK70" s="238">
        <v>1</v>
      </c>
      <c r="EL70" s="238">
        <v>1</v>
      </c>
      <c r="EM70" s="238">
        <v>1</v>
      </c>
      <c r="EN70" s="238">
        <v>1</v>
      </c>
      <c r="EO70" s="238">
        <v>1</v>
      </c>
      <c r="EP70" s="238">
        <v>1</v>
      </c>
      <c r="EQ70" s="238">
        <v>1</v>
      </c>
      <c r="ER70" s="273">
        <v>1</v>
      </c>
      <c r="ES70" s="316">
        <f t="shared" si="47"/>
        <v>0</v>
      </c>
      <c r="ET70" s="317">
        <f t="shared" si="48"/>
        <v>10</v>
      </c>
      <c r="EU70" s="317">
        <f t="shared" si="49"/>
        <v>8</v>
      </c>
      <c r="EV70" s="317">
        <f t="shared" si="50"/>
        <v>10</v>
      </c>
      <c r="EW70" s="317">
        <f t="shared" si="51"/>
        <v>9</v>
      </c>
      <c r="EX70" s="317">
        <f t="shared" si="52"/>
        <v>10</v>
      </c>
      <c r="EY70" s="317">
        <f t="shared" si="53"/>
        <v>10</v>
      </c>
      <c r="EZ70" s="317">
        <f t="shared" si="54"/>
        <v>0</v>
      </c>
      <c r="FA70" s="317">
        <f t="shared" si="55"/>
        <v>10</v>
      </c>
      <c r="FB70" s="317">
        <f t="shared" si="56"/>
        <v>10</v>
      </c>
      <c r="FC70" s="317">
        <f t="shared" si="57"/>
        <v>10</v>
      </c>
      <c r="FD70" s="317">
        <f t="shared" si="58"/>
        <v>10</v>
      </c>
      <c r="FE70" s="317">
        <f t="shared" si="59"/>
        <v>10</v>
      </c>
      <c r="FF70" s="317">
        <f t="shared" si="60"/>
        <v>10</v>
      </c>
      <c r="FG70" s="318">
        <f t="shared" si="63"/>
        <v>68</v>
      </c>
      <c r="FH70" s="319">
        <f t="shared" si="61"/>
        <v>117</v>
      </c>
      <c r="FI70" s="319">
        <f>SUM(I7:ER7)-SUM(ES70:FF70)</f>
        <v>11</v>
      </c>
      <c r="FJ70" s="319">
        <f t="shared" si="62"/>
        <v>128</v>
      </c>
      <c r="FK70" s="7"/>
    </row>
    <row r="71" spans="1:167" ht="15.75" customHeight="1">
      <c r="A71" s="2"/>
      <c r="B71" s="3">
        <f t="shared" si="45"/>
        <v>1</v>
      </c>
      <c r="C71" s="182">
        <f t="shared" si="46"/>
        <v>12</v>
      </c>
      <c r="D71" s="185" t="s">
        <v>112</v>
      </c>
      <c r="E71" s="203"/>
      <c r="F71" s="203">
        <v>16</v>
      </c>
      <c r="G71" s="571">
        <v>45915</v>
      </c>
      <c r="H71" s="572"/>
      <c r="I71" s="212">
        <v>0</v>
      </c>
      <c r="J71" s="206">
        <v>0</v>
      </c>
      <c r="K71" s="206">
        <v>0</v>
      </c>
      <c r="L71" s="206">
        <v>0</v>
      </c>
      <c r="M71" s="206">
        <v>0</v>
      </c>
      <c r="N71" s="206">
        <v>0</v>
      </c>
      <c r="O71" s="206">
        <v>0</v>
      </c>
      <c r="P71" s="206">
        <v>0</v>
      </c>
      <c r="Q71" s="206">
        <v>0</v>
      </c>
      <c r="R71" s="213">
        <v>0</v>
      </c>
      <c r="S71" s="223">
        <v>1</v>
      </c>
      <c r="T71" s="224">
        <v>1</v>
      </c>
      <c r="U71" s="224">
        <v>1</v>
      </c>
      <c r="V71" s="224">
        <v>1</v>
      </c>
      <c r="W71" s="224">
        <v>1</v>
      </c>
      <c r="X71" s="224">
        <v>1</v>
      </c>
      <c r="Y71" s="244">
        <v>1</v>
      </c>
      <c r="Z71" s="245">
        <v>1</v>
      </c>
      <c r="AA71" s="246">
        <v>1</v>
      </c>
      <c r="AB71" s="225">
        <v>1</v>
      </c>
      <c r="AC71" s="262">
        <v>1</v>
      </c>
      <c r="AD71" s="177">
        <v>1</v>
      </c>
      <c r="AE71" s="177">
        <v>1</v>
      </c>
      <c r="AF71" s="177">
        <v>1</v>
      </c>
      <c r="AG71" s="582"/>
      <c r="AH71" s="583"/>
      <c r="AI71" s="177">
        <v>1</v>
      </c>
      <c r="AJ71" s="177">
        <v>1</v>
      </c>
      <c r="AK71" s="177">
        <v>1</v>
      </c>
      <c r="AL71" s="263">
        <v>1</v>
      </c>
      <c r="AM71" s="235">
        <v>1</v>
      </c>
      <c r="AN71" s="271">
        <v>1</v>
      </c>
      <c r="AO71" s="236">
        <v>1</v>
      </c>
      <c r="AP71" s="236">
        <v>1</v>
      </c>
      <c r="AQ71" s="236">
        <v>1</v>
      </c>
      <c r="AR71" s="236">
        <v>1</v>
      </c>
      <c r="AS71" s="236">
        <v>1</v>
      </c>
      <c r="AT71" s="236">
        <v>1</v>
      </c>
      <c r="AU71" s="236">
        <v>1</v>
      </c>
      <c r="AV71" s="272">
        <v>1</v>
      </c>
      <c r="AW71" s="277">
        <v>1</v>
      </c>
      <c r="AX71" s="278">
        <v>1</v>
      </c>
      <c r="AY71" s="278">
        <v>1</v>
      </c>
      <c r="AZ71" s="127">
        <v>1</v>
      </c>
      <c r="BA71" s="278">
        <v>1</v>
      </c>
      <c r="BB71" s="278">
        <v>1</v>
      </c>
      <c r="BC71" s="278">
        <v>1</v>
      </c>
      <c r="BD71" s="127">
        <v>1</v>
      </c>
      <c r="BE71" s="278">
        <v>0</v>
      </c>
      <c r="BF71" s="280">
        <v>0</v>
      </c>
      <c r="BG71" s="212">
        <v>1</v>
      </c>
      <c r="BH71" s="206">
        <v>1</v>
      </c>
      <c r="BI71" s="206">
        <v>1</v>
      </c>
      <c r="BJ71" s="206">
        <v>1</v>
      </c>
      <c r="BK71" s="206">
        <v>1</v>
      </c>
      <c r="BL71" s="206">
        <v>1</v>
      </c>
      <c r="BM71" s="207">
        <v>1</v>
      </c>
      <c r="BN71" s="207">
        <v>1</v>
      </c>
      <c r="BO71" s="207">
        <v>1</v>
      </c>
      <c r="BP71" s="215">
        <v>1</v>
      </c>
      <c r="BQ71" s="226">
        <v>1</v>
      </c>
      <c r="BR71" s="227">
        <v>1</v>
      </c>
      <c r="BS71" s="227">
        <v>1</v>
      </c>
      <c r="BT71" s="227">
        <v>1</v>
      </c>
      <c r="BU71" s="227">
        <v>1</v>
      </c>
      <c r="BV71" s="227">
        <v>1</v>
      </c>
      <c r="BW71" s="227">
        <v>1</v>
      </c>
      <c r="BX71" s="227">
        <v>1</v>
      </c>
      <c r="BY71" s="227">
        <v>1</v>
      </c>
      <c r="BZ71" s="228">
        <v>1</v>
      </c>
      <c r="CA71" s="537"/>
      <c r="CB71" s="538"/>
      <c r="CC71" s="538"/>
      <c r="CD71" s="538"/>
      <c r="CE71" s="538"/>
      <c r="CF71" s="538"/>
      <c r="CG71" s="538"/>
      <c r="CH71" s="538"/>
      <c r="CI71" s="538"/>
      <c r="CJ71" s="538"/>
      <c r="CK71" s="237">
        <v>1</v>
      </c>
      <c r="CL71" s="238">
        <v>1</v>
      </c>
      <c r="CM71" s="238">
        <v>1</v>
      </c>
      <c r="CN71" s="238">
        <v>1</v>
      </c>
      <c r="CO71" s="238">
        <v>1</v>
      </c>
      <c r="CP71" s="238">
        <v>1</v>
      </c>
      <c r="CQ71" s="238">
        <v>1</v>
      </c>
      <c r="CR71" s="238">
        <v>1</v>
      </c>
      <c r="CS71" s="238">
        <v>1</v>
      </c>
      <c r="CT71" s="273">
        <v>1</v>
      </c>
      <c r="CU71" s="295">
        <v>1</v>
      </c>
      <c r="CV71" s="296">
        <v>1</v>
      </c>
      <c r="CW71" s="296">
        <v>1</v>
      </c>
      <c r="CX71" s="296">
        <v>1</v>
      </c>
      <c r="CY71" s="296">
        <v>1</v>
      </c>
      <c r="CZ71" s="296">
        <v>1</v>
      </c>
      <c r="DA71" s="296">
        <v>1</v>
      </c>
      <c r="DB71" s="296">
        <v>1</v>
      </c>
      <c r="DC71" s="297">
        <v>1</v>
      </c>
      <c r="DD71" s="298">
        <v>1</v>
      </c>
      <c r="DE71" s="214">
        <v>1</v>
      </c>
      <c r="DF71" s="207">
        <v>1</v>
      </c>
      <c r="DG71" s="207">
        <v>1</v>
      </c>
      <c r="DH71" s="207">
        <v>1</v>
      </c>
      <c r="DI71" s="207">
        <v>1</v>
      </c>
      <c r="DJ71" s="207">
        <v>1</v>
      </c>
      <c r="DK71" s="207">
        <v>1</v>
      </c>
      <c r="DL71" s="207">
        <v>1</v>
      </c>
      <c r="DM71" s="207">
        <v>1</v>
      </c>
      <c r="DN71" s="215">
        <v>1</v>
      </c>
      <c r="DO71" s="226">
        <v>1</v>
      </c>
      <c r="DP71" s="227">
        <v>1</v>
      </c>
      <c r="DQ71" s="227">
        <v>1</v>
      </c>
      <c r="DR71" s="227">
        <v>1</v>
      </c>
      <c r="DS71" s="227">
        <v>1</v>
      </c>
      <c r="DT71" s="227">
        <v>1</v>
      </c>
      <c r="DU71" s="227">
        <v>1</v>
      </c>
      <c r="DV71" s="227">
        <v>1</v>
      </c>
      <c r="DW71" s="227">
        <v>1</v>
      </c>
      <c r="DX71" s="228">
        <v>1</v>
      </c>
      <c r="DY71" s="90">
        <v>1</v>
      </c>
      <c r="DZ71" s="91">
        <v>1</v>
      </c>
      <c r="EA71" s="91">
        <v>1</v>
      </c>
      <c r="EB71" s="91">
        <v>1</v>
      </c>
      <c r="EC71" s="91">
        <v>1</v>
      </c>
      <c r="ED71" s="91">
        <v>1</v>
      </c>
      <c r="EE71" s="91">
        <v>1</v>
      </c>
      <c r="EF71" s="91">
        <v>1</v>
      </c>
      <c r="EG71" s="91">
        <v>1</v>
      </c>
      <c r="EH71" s="92">
        <v>1</v>
      </c>
      <c r="EI71" s="237">
        <v>1</v>
      </c>
      <c r="EJ71" s="238">
        <v>1</v>
      </c>
      <c r="EK71" s="238">
        <v>1</v>
      </c>
      <c r="EL71" s="238">
        <v>1</v>
      </c>
      <c r="EM71" s="238">
        <v>1</v>
      </c>
      <c r="EN71" s="238">
        <v>1</v>
      </c>
      <c r="EO71" s="238">
        <v>1</v>
      </c>
      <c r="EP71" s="238">
        <v>1</v>
      </c>
      <c r="EQ71" s="238">
        <v>1</v>
      </c>
      <c r="ER71" s="273">
        <v>1</v>
      </c>
      <c r="ES71" s="316">
        <f t="shared" si="47"/>
        <v>0</v>
      </c>
      <c r="ET71" s="317">
        <f t="shared" si="48"/>
        <v>10</v>
      </c>
      <c r="EU71" s="317">
        <f t="shared" si="49"/>
        <v>8</v>
      </c>
      <c r="EV71" s="317">
        <f t="shared" si="50"/>
        <v>10</v>
      </c>
      <c r="EW71" s="317">
        <f t="shared" si="51"/>
        <v>7</v>
      </c>
      <c r="EX71" s="317">
        <f t="shared" si="52"/>
        <v>10</v>
      </c>
      <c r="EY71" s="317">
        <f t="shared" si="53"/>
        <v>10</v>
      </c>
      <c r="EZ71" s="317">
        <f t="shared" si="54"/>
        <v>0</v>
      </c>
      <c r="FA71" s="317">
        <f t="shared" si="55"/>
        <v>10</v>
      </c>
      <c r="FB71" s="317">
        <f t="shared" si="56"/>
        <v>10</v>
      </c>
      <c r="FC71" s="317">
        <f t="shared" si="57"/>
        <v>10</v>
      </c>
      <c r="FD71" s="317">
        <f t="shared" si="58"/>
        <v>10</v>
      </c>
      <c r="FE71" s="317">
        <f t="shared" si="59"/>
        <v>10</v>
      </c>
      <c r="FF71" s="317">
        <f t="shared" si="60"/>
        <v>10</v>
      </c>
      <c r="FG71" s="318">
        <f t="shared" si="63"/>
        <v>69</v>
      </c>
      <c r="FH71" s="319">
        <f t="shared" si="61"/>
        <v>115</v>
      </c>
      <c r="FI71" s="319">
        <f>SUM(I7:ER7)-SUM(ES71:FF71)</f>
        <v>13</v>
      </c>
      <c r="FJ71" s="319">
        <f t="shared" si="62"/>
        <v>128</v>
      </c>
      <c r="FK71" s="7"/>
    </row>
    <row r="72" spans="1:167" ht="15.75" customHeight="1">
      <c r="A72" s="2"/>
      <c r="B72" s="3">
        <f t="shared" si="45"/>
        <v>1</v>
      </c>
      <c r="C72" s="182">
        <f t="shared" si="46"/>
        <v>13</v>
      </c>
      <c r="D72" s="185" t="s">
        <v>113</v>
      </c>
      <c r="E72" s="203"/>
      <c r="F72" s="203">
        <v>15</v>
      </c>
      <c r="G72" s="571">
        <v>45915</v>
      </c>
      <c r="H72" s="572"/>
      <c r="I72" s="212">
        <v>1</v>
      </c>
      <c r="J72" s="206">
        <v>1</v>
      </c>
      <c r="K72" s="206">
        <v>1</v>
      </c>
      <c r="L72" s="206">
        <v>1</v>
      </c>
      <c r="M72" s="206">
        <v>1</v>
      </c>
      <c r="N72" s="206">
        <v>1</v>
      </c>
      <c r="O72" s="206">
        <v>1</v>
      </c>
      <c r="P72" s="206">
        <v>1</v>
      </c>
      <c r="Q72" s="206">
        <v>1</v>
      </c>
      <c r="R72" s="213">
        <v>1</v>
      </c>
      <c r="S72" s="223">
        <v>1</v>
      </c>
      <c r="T72" s="224">
        <v>1</v>
      </c>
      <c r="U72" s="224">
        <v>1</v>
      </c>
      <c r="V72" s="224">
        <v>1</v>
      </c>
      <c r="W72" s="224">
        <v>1</v>
      </c>
      <c r="X72" s="224">
        <v>1</v>
      </c>
      <c r="Y72" s="244">
        <v>1</v>
      </c>
      <c r="Z72" s="245">
        <v>1</v>
      </c>
      <c r="AA72" s="246">
        <v>1</v>
      </c>
      <c r="AB72" s="225">
        <v>1</v>
      </c>
      <c r="AC72" s="262">
        <v>1</v>
      </c>
      <c r="AD72" s="177">
        <v>1</v>
      </c>
      <c r="AE72" s="177">
        <v>1</v>
      </c>
      <c r="AF72" s="177">
        <v>1</v>
      </c>
      <c r="AG72" s="582"/>
      <c r="AH72" s="583"/>
      <c r="AI72" s="177">
        <v>1</v>
      </c>
      <c r="AJ72" s="177">
        <v>1</v>
      </c>
      <c r="AK72" s="177">
        <v>1</v>
      </c>
      <c r="AL72" s="263">
        <v>1</v>
      </c>
      <c r="AM72" s="235">
        <v>1</v>
      </c>
      <c r="AN72" s="271">
        <v>1</v>
      </c>
      <c r="AO72" s="236">
        <v>1</v>
      </c>
      <c r="AP72" s="236">
        <v>1</v>
      </c>
      <c r="AQ72" s="236">
        <v>1</v>
      </c>
      <c r="AR72" s="236">
        <v>1</v>
      </c>
      <c r="AS72" s="236">
        <v>1</v>
      </c>
      <c r="AT72" s="236">
        <v>1</v>
      </c>
      <c r="AU72" s="236">
        <v>1</v>
      </c>
      <c r="AV72" s="272">
        <v>1</v>
      </c>
      <c r="AW72" s="277">
        <v>1</v>
      </c>
      <c r="AX72" s="278">
        <v>1</v>
      </c>
      <c r="AY72" s="278">
        <v>1</v>
      </c>
      <c r="AZ72" s="127">
        <v>1</v>
      </c>
      <c r="BA72" s="278">
        <v>1</v>
      </c>
      <c r="BB72" s="278">
        <v>1</v>
      </c>
      <c r="BC72" s="278">
        <v>1</v>
      </c>
      <c r="BD72" s="127">
        <v>1</v>
      </c>
      <c r="BE72" s="278">
        <v>1</v>
      </c>
      <c r="BF72" s="280">
        <v>1</v>
      </c>
      <c r="BG72" s="212">
        <v>1</v>
      </c>
      <c r="BH72" s="206">
        <v>1</v>
      </c>
      <c r="BI72" s="206">
        <v>1</v>
      </c>
      <c r="BJ72" s="206">
        <v>1</v>
      </c>
      <c r="BK72" s="206">
        <v>1</v>
      </c>
      <c r="BL72" s="206">
        <v>1</v>
      </c>
      <c r="BM72" s="207">
        <v>1</v>
      </c>
      <c r="BN72" s="207">
        <v>1</v>
      </c>
      <c r="BO72" s="207">
        <v>1</v>
      </c>
      <c r="BP72" s="215">
        <v>1</v>
      </c>
      <c r="BQ72" s="226">
        <v>1</v>
      </c>
      <c r="BR72" s="227">
        <v>1</v>
      </c>
      <c r="BS72" s="227">
        <v>1</v>
      </c>
      <c r="BT72" s="227">
        <v>1</v>
      </c>
      <c r="BU72" s="227">
        <v>1</v>
      </c>
      <c r="BV72" s="227">
        <v>1</v>
      </c>
      <c r="BW72" s="227">
        <v>1</v>
      </c>
      <c r="BX72" s="227">
        <v>1</v>
      </c>
      <c r="BY72" s="227">
        <v>1</v>
      </c>
      <c r="BZ72" s="228">
        <v>1</v>
      </c>
      <c r="CA72" s="537"/>
      <c r="CB72" s="538"/>
      <c r="CC72" s="538"/>
      <c r="CD72" s="538"/>
      <c r="CE72" s="538"/>
      <c r="CF72" s="538"/>
      <c r="CG72" s="538"/>
      <c r="CH72" s="538"/>
      <c r="CI72" s="538"/>
      <c r="CJ72" s="538"/>
      <c r="CK72" s="237">
        <v>1</v>
      </c>
      <c r="CL72" s="238">
        <v>1</v>
      </c>
      <c r="CM72" s="238">
        <v>1</v>
      </c>
      <c r="CN72" s="238">
        <v>1</v>
      </c>
      <c r="CO72" s="238">
        <v>1</v>
      </c>
      <c r="CP72" s="238">
        <v>1</v>
      </c>
      <c r="CQ72" s="238">
        <v>1</v>
      </c>
      <c r="CR72" s="238">
        <v>1</v>
      </c>
      <c r="CS72" s="238">
        <v>1</v>
      </c>
      <c r="CT72" s="273">
        <v>1</v>
      </c>
      <c r="CU72" s="295">
        <v>1</v>
      </c>
      <c r="CV72" s="296">
        <v>1</v>
      </c>
      <c r="CW72" s="296">
        <v>1</v>
      </c>
      <c r="CX72" s="296">
        <v>1</v>
      </c>
      <c r="CY72" s="296">
        <v>1</v>
      </c>
      <c r="CZ72" s="296">
        <v>1</v>
      </c>
      <c r="DA72" s="296">
        <v>1</v>
      </c>
      <c r="DB72" s="296">
        <v>1</v>
      </c>
      <c r="DC72" s="297">
        <v>1</v>
      </c>
      <c r="DD72" s="298">
        <v>1</v>
      </c>
      <c r="DE72" s="214">
        <v>1</v>
      </c>
      <c r="DF72" s="207">
        <v>1</v>
      </c>
      <c r="DG72" s="207">
        <v>1</v>
      </c>
      <c r="DH72" s="207">
        <v>1</v>
      </c>
      <c r="DI72" s="207">
        <v>1</v>
      </c>
      <c r="DJ72" s="207">
        <v>1</v>
      </c>
      <c r="DK72" s="207">
        <v>1</v>
      </c>
      <c r="DL72" s="207">
        <v>1</v>
      </c>
      <c r="DM72" s="207">
        <v>1</v>
      </c>
      <c r="DN72" s="215">
        <v>1</v>
      </c>
      <c r="DO72" s="226">
        <v>1</v>
      </c>
      <c r="DP72" s="227">
        <v>1</v>
      </c>
      <c r="DQ72" s="227">
        <v>1</v>
      </c>
      <c r="DR72" s="227">
        <v>1</v>
      </c>
      <c r="DS72" s="227">
        <v>1</v>
      </c>
      <c r="DT72" s="227">
        <v>1</v>
      </c>
      <c r="DU72" s="227">
        <v>1</v>
      </c>
      <c r="DV72" s="227">
        <v>1</v>
      </c>
      <c r="DW72" s="227">
        <v>1</v>
      </c>
      <c r="DX72" s="228">
        <v>1</v>
      </c>
      <c r="DY72" s="90">
        <v>1</v>
      </c>
      <c r="DZ72" s="91">
        <v>1</v>
      </c>
      <c r="EA72" s="91">
        <v>1</v>
      </c>
      <c r="EB72" s="91">
        <v>1</v>
      </c>
      <c r="EC72" s="91">
        <v>1</v>
      </c>
      <c r="ED72" s="91">
        <v>1</v>
      </c>
      <c r="EE72" s="91">
        <v>1</v>
      </c>
      <c r="EF72" s="91">
        <v>1</v>
      </c>
      <c r="EG72" s="91">
        <v>1</v>
      </c>
      <c r="EH72" s="92">
        <v>1</v>
      </c>
      <c r="EI72" s="237">
        <v>1</v>
      </c>
      <c r="EJ72" s="238">
        <v>1</v>
      </c>
      <c r="EK72" s="238">
        <v>1</v>
      </c>
      <c r="EL72" s="238">
        <v>1</v>
      </c>
      <c r="EM72" s="238">
        <v>1</v>
      </c>
      <c r="EN72" s="238">
        <v>1</v>
      </c>
      <c r="EO72" s="238">
        <v>1</v>
      </c>
      <c r="EP72" s="238">
        <v>1</v>
      </c>
      <c r="EQ72" s="238">
        <v>1</v>
      </c>
      <c r="ER72" s="273">
        <v>1</v>
      </c>
      <c r="ES72" s="316">
        <f t="shared" si="47"/>
        <v>10</v>
      </c>
      <c r="ET72" s="317">
        <f t="shared" si="48"/>
        <v>10</v>
      </c>
      <c r="EU72" s="317">
        <f t="shared" si="49"/>
        <v>8</v>
      </c>
      <c r="EV72" s="317">
        <f t="shared" si="50"/>
        <v>10</v>
      </c>
      <c r="EW72" s="317">
        <f t="shared" si="51"/>
        <v>9</v>
      </c>
      <c r="EX72" s="317">
        <f t="shared" si="52"/>
        <v>10</v>
      </c>
      <c r="EY72" s="317">
        <f t="shared" si="53"/>
        <v>10</v>
      </c>
      <c r="EZ72" s="317">
        <f t="shared" si="54"/>
        <v>0</v>
      </c>
      <c r="FA72" s="317">
        <f t="shared" si="55"/>
        <v>10</v>
      </c>
      <c r="FB72" s="317">
        <f t="shared" si="56"/>
        <v>10</v>
      </c>
      <c r="FC72" s="317">
        <f t="shared" si="57"/>
        <v>10</v>
      </c>
      <c r="FD72" s="317">
        <f t="shared" si="58"/>
        <v>10</v>
      </c>
      <c r="FE72" s="317">
        <f t="shared" si="59"/>
        <v>10</v>
      </c>
      <c r="FF72" s="317">
        <f t="shared" si="60"/>
        <v>10</v>
      </c>
      <c r="FG72" s="318">
        <f t="shared" si="63"/>
        <v>70</v>
      </c>
      <c r="FH72" s="319">
        <f t="shared" si="61"/>
        <v>127</v>
      </c>
      <c r="FI72" s="319">
        <f>SUM(I7:ER7)-SUM(ES72:FF72)</f>
        <v>1</v>
      </c>
      <c r="FJ72" s="319">
        <f t="shared" si="62"/>
        <v>128</v>
      </c>
      <c r="FK72" s="7"/>
    </row>
    <row r="73" spans="1:167" ht="15.75" customHeight="1">
      <c r="A73" s="2"/>
      <c r="B73" s="3">
        <f t="shared" si="45"/>
        <v>1</v>
      </c>
      <c r="C73" s="182">
        <f t="shared" si="46"/>
        <v>14</v>
      </c>
      <c r="D73" s="185" t="s">
        <v>114</v>
      </c>
      <c r="E73" s="203"/>
      <c r="F73" s="203">
        <v>13</v>
      </c>
      <c r="G73" s="571">
        <v>45915</v>
      </c>
      <c r="H73" s="572"/>
      <c r="I73" s="212">
        <v>1</v>
      </c>
      <c r="J73" s="206">
        <v>1</v>
      </c>
      <c r="K73" s="206">
        <v>1</v>
      </c>
      <c r="L73" s="206">
        <v>1</v>
      </c>
      <c r="M73" s="206">
        <v>1</v>
      </c>
      <c r="N73" s="206">
        <v>1</v>
      </c>
      <c r="O73" s="206">
        <v>1</v>
      </c>
      <c r="P73" s="206">
        <v>1</v>
      </c>
      <c r="Q73" s="206">
        <v>1</v>
      </c>
      <c r="R73" s="213">
        <v>1</v>
      </c>
      <c r="S73" s="223">
        <v>1</v>
      </c>
      <c r="T73" s="224">
        <v>1</v>
      </c>
      <c r="U73" s="224">
        <v>1</v>
      </c>
      <c r="V73" s="224">
        <v>1</v>
      </c>
      <c r="W73" s="224">
        <v>1</v>
      </c>
      <c r="X73" s="224">
        <v>1</v>
      </c>
      <c r="Y73" s="244">
        <v>1</v>
      </c>
      <c r="Z73" s="245">
        <v>1</v>
      </c>
      <c r="AA73" s="246">
        <v>1</v>
      </c>
      <c r="AB73" s="225">
        <v>1</v>
      </c>
      <c r="AC73" s="262">
        <v>1</v>
      </c>
      <c r="AD73" s="177">
        <v>1</v>
      </c>
      <c r="AE73" s="177">
        <v>1</v>
      </c>
      <c r="AF73" s="177">
        <v>1</v>
      </c>
      <c r="AG73" s="582"/>
      <c r="AH73" s="583"/>
      <c r="AI73" s="177">
        <v>1</v>
      </c>
      <c r="AJ73" s="177">
        <v>1</v>
      </c>
      <c r="AK73" s="177">
        <v>1</v>
      </c>
      <c r="AL73" s="263">
        <v>1</v>
      </c>
      <c r="AM73" s="235">
        <v>1</v>
      </c>
      <c r="AN73" s="271">
        <v>1</v>
      </c>
      <c r="AO73" s="236">
        <v>1</v>
      </c>
      <c r="AP73" s="236">
        <v>1</v>
      </c>
      <c r="AQ73" s="236">
        <v>1</v>
      </c>
      <c r="AR73" s="236">
        <v>1</v>
      </c>
      <c r="AS73" s="236">
        <v>1</v>
      </c>
      <c r="AT73" s="236">
        <v>1</v>
      </c>
      <c r="AU73" s="236">
        <v>1</v>
      </c>
      <c r="AV73" s="272">
        <v>1</v>
      </c>
      <c r="AW73" s="277">
        <v>1</v>
      </c>
      <c r="AX73" s="278">
        <v>1</v>
      </c>
      <c r="AY73" s="278">
        <v>1</v>
      </c>
      <c r="AZ73" s="127">
        <v>1</v>
      </c>
      <c r="BA73" s="278">
        <v>1</v>
      </c>
      <c r="BB73" s="278">
        <v>1</v>
      </c>
      <c r="BC73" s="278">
        <v>1</v>
      </c>
      <c r="BD73" s="127">
        <v>1</v>
      </c>
      <c r="BE73" s="278">
        <v>1</v>
      </c>
      <c r="BF73" s="280">
        <v>1</v>
      </c>
      <c r="BG73" s="212">
        <v>1</v>
      </c>
      <c r="BH73" s="206">
        <v>1</v>
      </c>
      <c r="BI73" s="206">
        <v>1</v>
      </c>
      <c r="BJ73" s="206">
        <v>1</v>
      </c>
      <c r="BK73" s="206">
        <v>1</v>
      </c>
      <c r="BL73" s="206">
        <v>1</v>
      </c>
      <c r="BM73" s="207">
        <v>1</v>
      </c>
      <c r="BN73" s="207">
        <v>1</v>
      </c>
      <c r="BO73" s="207">
        <v>1</v>
      </c>
      <c r="BP73" s="215">
        <v>1</v>
      </c>
      <c r="BQ73" s="226">
        <v>1</v>
      </c>
      <c r="BR73" s="227">
        <v>1</v>
      </c>
      <c r="BS73" s="227">
        <v>1</v>
      </c>
      <c r="BT73" s="227">
        <v>1</v>
      </c>
      <c r="BU73" s="227">
        <v>1</v>
      </c>
      <c r="BV73" s="227">
        <v>1</v>
      </c>
      <c r="BW73" s="227">
        <v>1</v>
      </c>
      <c r="BX73" s="227">
        <v>1</v>
      </c>
      <c r="BY73" s="227">
        <v>1</v>
      </c>
      <c r="BZ73" s="228">
        <v>1</v>
      </c>
      <c r="CA73" s="537"/>
      <c r="CB73" s="538"/>
      <c r="CC73" s="538"/>
      <c r="CD73" s="538"/>
      <c r="CE73" s="538"/>
      <c r="CF73" s="538"/>
      <c r="CG73" s="538"/>
      <c r="CH73" s="538"/>
      <c r="CI73" s="538"/>
      <c r="CJ73" s="538"/>
      <c r="CK73" s="237">
        <v>1</v>
      </c>
      <c r="CL73" s="238">
        <v>1</v>
      </c>
      <c r="CM73" s="238">
        <v>1</v>
      </c>
      <c r="CN73" s="238">
        <v>1</v>
      </c>
      <c r="CO73" s="238">
        <v>1</v>
      </c>
      <c r="CP73" s="238">
        <v>1</v>
      </c>
      <c r="CQ73" s="238">
        <v>1</v>
      </c>
      <c r="CR73" s="238">
        <v>1</v>
      </c>
      <c r="CS73" s="238">
        <v>1</v>
      </c>
      <c r="CT73" s="273">
        <v>1</v>
      </c>
      <c r="CU73" s="295">
        <v>1</v>
      </c>
      <c r="CV73" s="296">
        <v>1</v>
      </c>
      <c r="CW73" s="296">
        <v>1</v>
      </c>
      <c r="CX73" s="296">
        <v>1</v>
      </c>
      <c r="CY73" s="296">
        <v>1</v>
      </c>
      <c r="CZ73" s="296">
        <v>1</v>
      </c>
      <c r="DA73" s="296">
        <v>1</v>
      </c>
      <c r="DB73" s="296">
        <v>1</v>
      </c>
      <c r="DC73" s="297">
        <v>1</v>
      </c>
      <c r="DD73" s="298">
        <v>1</v>
      </c>
      <c r="DE73" s="214">
        <v>1</v>
      </c>
      <c r="DF73" s="207">
        <v>1</v>
      </c>
      <c r="DG73" s="207">
        <v>1</v>
      </c>
      <c r="DH73" s="207">
        <v>1</v>
      </c>
      <c r="DI73" s="207">
        <v>1</v>
      </c>
      <c r="DJ73" s="207">
        <v>1</v>
      </c>
      <c r="DK73" s="207">
        <v>1</v>
      </c>
      <c r="DL73" s="207">
        <v>1</v>
      </c>
      <c r="DM73" s="207">
        <v>1</v>
      </c>
      <c r="DN73" s="215">
        <v>1</v>
      </c>
      <c r="DO73" s="226">
        <v>1</v>
      </c>
      <c r="DP73" s="227">
        <v>1</v>
      </c>
      <c r="DQ73" s="227">
        <v>1</v>
      </c>
      <c r="DR73" s="227">
        <v>1</v>
      </c>
      <c r="DS73" s="227">
        <v>1</v>
      </c>
      <c r="DT73" s="227">
        <v>1</v>
      </c>
      <c r="DU73" s="227">
        <v>1</v>
      </c>
      <c r="DV73" s="227">
        <v>1</v>
      </c>
      <c r="DW73" s="227">
        <v>1</v>
      </c>
      <c r="DX73" s="228">
        <v>1</v>
      </c>
      <c r="DY73" s="90">
        <v>1</v>
      </c>
      <c r="DZ73" s="91">
        <v>1</v>
      </c>
      <c r="EA73" s="91">
        <v>1</v>
      </c>
      <c r="EB73" s="91">
        <v>1</v>
      </c>
      <c r="EC73" s="91">
        <v>1</v>
      </c>
      <c r="ED73" s="91">
        <v>1</v>
      </c>
      <c r="EE73" s="91">
        <v>1</v>
      </c>
      <c r="EF73" s="91">
        <v>1</v>
      </c>
      <c r="EG73" s="91">
        <v>1</v>
      </c>
      <c r="EH73" s="92">
        <v>1</v>
      </c>
      <c r="EI73" s="237">
        <v>1</v>
      </c>
      <c r="EJ73" s="238">
        <v>1</v>
      </c>
      <c r="EK73" s="238">
        <v>1</v>
      </c>
      <c r="EL73" s="238">
        <v>1</v>
      </c>
      <c r="EM73" s="238">
        <v>1</v>
      </c>
      <c r="EN73" s="238">
        <v>1</v>
      </c>
      <c r="EO73" s="238">
        <v>1</v>
      </c>
      <c r="EP73" s="238">
        <v>1</v>
      </c>
      <c r="EQ73" s="238">
        <v>1</v>
      </c>
      <c r="ER73" s="273">
        <v>1</v>
      </c>
      <c r="ES73" s="316">
        <f t="shared" si="47"/>
        <v>10</v>
      </c>
      <c r="ET73" s="317">
        <f t="shared" si="48"/>
        <v>10</v>
      </c>
      <c r="EU73" s="317">
        <f t="shared" si="49"/>
        <v>8</v>
      </c>
      <c r="EV73" s="317">
        <f t="shared" si="50"/>
        <v>10</v>
      </c>
      <c r="EW73" s="317">
        <f t="shared" si="51"/>
        <v>9</v>
      </c>
      <c r="EX73" s="317">
        <f t="shared" si="52"/>
        <v>10</v>
      </c>
      <c r="EY73" s="317">
        <f t="shared" si="53"/>
        <v>10</v>
      </c>
      <c r="EZ73" s="317">
        <f t="shared" si="54"/>
        <v>0</v>
      </c>
      <c r="FA73" s="317">
        <f t="shared" si="55"/>
        <v>10</v>
      </c>
      <c r="FB73" s="317">
        <f t="shared" si="56"/>
        <v>10</v>
      </c>
      <c r="FC73" s="317">
        <f t="shared" si="57"/>
        <v>10</v>
      </c>
      <c r="FD73" s="317">
        <f t="shared" si="58"/>
        <v>10</v>
      </c>
      <c r="FE73" s="317">
        <f t="shared" si="59"/>
        <v>10</v>
      </c>
      <c r="FF73" s="317">
        <f t="shared" si="60"/>
        <v>10</v>
      </c>
      <c r="FG73" s="318">
        <f t="shared" si="63"/>
        <v>71</v>
      </c>
      <c r="FH73" s="319">
        <f t="shared" si="61"/>
        <v>127</v>
      </c>
      <c r="FI73" s="319">
        <f>SUM(I7:ER7)-SUM(ES73:FF73)</f>
        <v>1</v>
      </c>
      <c r="FJ73" s="319">
        <f t="shared" si="62"/>
        <v>128</v>
      </c>
      <c r="FK73" s="7"/>
    </row>
    <row r="74" spans="1:167" ht="15.75" customHeight="1">
      <c r="A74" s="2"/>
      <c r="B74" s="3">
        <f t="shared" si="45"/>
        <v>1</v>
      </c>
      <c r="C74" s="182">
        <f t="shared" si="46"/>
        <v>15</v>
      </c>
      <c r="D74" s="185" t="s">
        <v>115</v>
      </c>
      <c r="E74" s="203"/>
      <c r="F74" s="203">
        <v>17</v>
      </c>
      <c r="G74" s="571">
        <v>45915</v>
      </c>
      <c r="H74" s="572"/>
      <c r="I74" s="212">
        <v>0</v>
      </c>
      <c r="J74" s="206">
        <v>0</v>
      </c>
      <c r="K74" s="206">
        <v>0</v>
      </c>
      <c r="L74" s="206">
        <v>0</v>
      </c>
      <c r="M74" s="206">
        <v>0</v>
      </c>
      <c r="N74" s="206">
        <v>0</v>
      </c>
      <c r="O74" s="206">
        <v>0</v>
      </c>
      <c r="P74" s="206">
        <v>0</v>
      </c>
      <c r="Q74" s="206">
        <v>0</v>
      </c>
      <c r="R74" s="213">
        <v>0</v>
      </c>
      <c r="S74" s="223">
        <v>1</v>
      </c>
      <c r="T74" s="224">
        <v>1</v>
      </c>
      <c r="U74" s="224">
        <v>1</v>
      </c>
      <c r="V74" s="224">
        <v>1</v>
      </c>
      <c r="W74" s="224">
        <v>1</v>
      </c>
      <c r="X74" s="224">
        <v>1</v>
      </c>
      <c r="Y74" s="244">
        <v>1</v>
      </c>
      <c r="Z74" s="245">
        <v>1</v>
      </c>
      <c r="AA74" s="246">
        <v>1</v>
      </c>
      <c r="AB74" s="225">
        <v>1</v>
      </c>
      <c r="AC74" s="262">
        <v>1</v>
      </c>
      <c r="AD74" s="177">
        <v>1</v>
      </c>
      <c r="AE74" s="177">
        <v>1</v>
      </c>
      <c r="AF74" s="177">
        <v>1</v>
      </c>
      <c r="AG74" s="582"/>
      <c r="AH74" s="583"/>
      <c r="AI74" s="177">
        <v>1</v>
      </c>
      <c r="AJ74" s="177">
        <v>1</v>
      </c>
      <c r="AK74" s="177">
        <v>1</v>
      </c>
      <c r="AL74" s="263">
        <v>1</v>
      </c>
      <c r="AM74" s="235">
        <v>1</v>
      </c>
      <c r="AN74" s="271">
        <v>1</v>
      </c>
      <c r="AO74" s="236">
        <v>1</v>
      </c>
      <c r="AP74" s="236">
        <v>1</v>
      </c>
      <c r="AQ74" s="236">
        <v>1</v>
      </c>
      <c r="AR74" s="236">
        <v>1</v>
      </c>
      <c r="AS74" s="236">
        <v>1</v>
      </c>
      <c r="AT74" s="236">
        <v>1</v>
      </c>
      <c r="AU74" s="236">
        <v>1</v>
      </c>
      <c r="AV74" s="272">
        <v>1</v>
      </c>
      <c r="AW74" s="277">
        <v>1</v>
      </c>
      <c r="AX74" s="278">
        <v>1</v>
      </c>
      <c r="AY74" s="278">
        <v>1</v>
      </c>
      <c r="AZ74" s="127">
        <v>1</v>
      </c>
      <c r="BA74" s="278">
        <v>1</v>
      </c>
      <c r="BB74" s="278">
        <v>1</v>
      </c>
      <c r="BC74" s="278">
        <v>0</v>
      </c>
      <c r="BD74" s="127">
        <v>0</v>
      </c>
      <c r="BE74" s="278">
        <v>0</v>
      </c>
      <c r="BF74" s="280">
        <v>0</v>
      </c>
      <c r="BG74" s="212">
        <v>1</v>
      </c>
      <c r="BH74" s="206">
        <v>1</v>
      </c>
      <c r="BI74" s="206">
        <v>1</v>
      </c>
      <c r="BJ74" s="206">
        <v>1</v>
      </c>
      <c r="BK74" s="206">
        <v>1</v>
      </c>
      <c r="BL74" s="206">
        <v>1</v>
      </c>
      <c r="BM74" s="207">
        <v>1</v>
      </c>
      <c r="BN74" s="207">
        <v>1</v>
      </c>
      <c r="BO74" s="207">
        <v>1</v>
      </c>
      <c r="BP74" s="215">
        <v>1</v>
      </c>
      <c r="BQ74" s="226">
        <v>1</v>
      </c>
      <c r="BR74" s="227">
        <v>1</v>
      </c>
      <c r="BS74" s="227">
        <v>1</v>
      </c>
      <c r="BT74" s="227">
        <v>1</v>
      </c>
      <c r="BU74" s="227">
        <v>1</v>
      </c>
      <c r="BV74" s="227">
        <v>1</v>
      </c>
      <c r="BW74" s="227">
        <v>1</v>
      </c>
      <c r="BX74" s="227">
        <v>1</v>
      </c>
      <c r="BY74" s="227">
        <v>1</v>
      </c>
      <c r="BZ74" s="228">
        <v>1</v>
      </c>
      <c r="CA74" s="537"/>
      <c r="CB74" s="538"/>
      <c r="CC74" s="538"/>
      <c r="CD74" s="538"/>
      <c r="CE74" s="538"/>
      <c r="CF74" s="538"/>
      <c r="CG74" s="538"/>
      <c r="CH74" s="538"/>
      <c r="CI74" s="538"/>
      <c r="CJ74" s="538"/>
      <c r="CK74" s="237">
        <v>1</v>
      </c>
      <c r="CL74" s="238">
        <v>1</v>
      </c>
      <c r="CM74" s="238">
        <v>1</v>
      </c>
      <c r="CN74" s="238">
        <v>1</v>
      </c>
      <c r="CO74" s="238">
        <v>1</v>
      </c>
      <c r="CP74" s="238">
        <v>1</v>
      </c>
      <c r="CQ74" s="238">
        <v>1</v>
      </c>
      <c r="CR74" s="238">
        <v>1</v>
      </c>
      <c r="CS74" s="238">
        <v>0</v>
      </c>
      <c r="CT74" s="273">
        <v>0</v>
      </c>
      <c r="CU74" s="295">
        <v>1</v>
      </c>
      <c r="CV74" s="296">
        <v>1</v>
      </c>
      <c r="CW74" s="296">
        <v>1</v>
      </c>
      <c r="CX74" s="296">
        <v>1</v>
      </c>
      <c r="CY74" s="296">
        <v>1</v>
      </c>
      <c r="CZ74" s="296">
        <v>1</v>
      </c>
      <c r="DA74" s="296">
        <v>1</v>
      </c>
      <c r="DB74" s="296">
        <v>1</v>
      </c>
      <c r="DC74" s="297">
        <v>1</v>
      </c>
      <c r="DD74" s="298">
        <v>1</v>
      </c>
      <c r="DE74" s="214">
        <v>1</v>
      </c>
      <c r="DF74" s="207">
        <v>1</v>
      </c>
      <c r="DG74" s="207">
        <v>1</v>
      </c>
      <c r="DH74" s="207">
        <v>1</v>
      </c>
      <c r="DI74" s="207">
        <v>1</v>
      </c>
      <c r="DJ74" s="207">
        <v>1</v>
      </c>
      <c r="DK74" s="207">
        <v>1</v>
      </c>
      <c r="DL74" s="207">
        <v>1</v>
      </c>
      <c r="DM74" s="207">
        <v>1</v>
      </c>
      <c r="DN74" s="215">
        <v>1</v>
      </c>
      <c r="DO74" s="226">
        <v>1</v>
      </c>
      <c r="DP74" s="227">
        <v>1</v>
      </c>
      <c r="DQ74" s="227">
        <v>1</v>
      </c>
      <c r="DR74" s="227">
        <v>1</v>
      </c>
      <c r="DS74" s="227">
        <v>1</v>
      </c>
      <c r="DT74" s="227">
        <v>1</v>
      </c>
      <c r="DU74" s="227">
        <v>1</v>
      </c>
      <c r="DV74" s="227">
        <v>1</v>
      </c>
      <c r="DW74" s="227">
        <v>1</v>
      </c>
      <c r="DX74" s="228">
        <v>1</v>
      </c>
      <c r="DY74" s="90">
        <v>1</v>
      </c>
      <c r="DZ74" s="91">
        <v>1</v>
      </c>
      <c r="EA74" s="91">
        <v>1</v>
      </c>
      <c r="EB74" s="91">
        <v>1</v>
      </c>
      <c r="EC74" s="91">
        <v>1</v>
      </c>
      <c r="ED74" s="91">
        <v>1</v>
      </c>
      <c r="EE74" s="91">
        <v>1</v>
      </c>
      <c r="EF74" s="91">
        <v>1</v>
      </c>
      <c r="EG74" s="91">
        <v>1</v>
      </c>
      <c r="EH74" s="92">
        <v>1</v>
      </c>
      <c r="EI74" s="237">
        <v>1</v>
      </c>
      <c r="EJ74" s="238">
        <v>1</v>
      </c>
      <c r="EK74" s="238">
        <v>1</v>
      </c>
      <c r="EL74" s="238">
        <v>1</v>
      </c>
      <c r="EM74" s="238">
        <v>1</v>
      </c>
      <c r="EN74" s="238">
        <v>1</v>
      </c>
      <c r="EO74" s="238">
        <v>1</v>
      </c>
      <c r="EP74" s="238">
        <v>1</v>
      </c>
      <c r="EQ74" s="238">
        <v>1</v>
      </c>
      <c r="ER74" s="273">
        <v>1</v>
      </c>
      <c r="ES74" s="316">
        <f t="shared" si="47"/>
        <v>0</v>
      </c>
      <c r="ET74" s="317">
        <f t="shared" si="48"/>
        <v>10</v>
      </c>
      <c r="EU74" s="317">
        <f t="shared" si="49"/>
        <v>8</v>
      </c>
      <c r="EV74" s="317">
        <f t="shared" si="50"/>
        <v>10</v>
      </c>
      <c r="EW74" s="317">
        <f t="shared" si="51"/>
        <v>5</v>
      </c>
      <c r="EX74" s="317">
        <f t="shared" si="52"/>
        <v>10</v>
      </c>
      <c r="EY74" s="317">
        <f t="shared" si="53"/>
        <v>10</v>
      </c>
      <c r="EZ74" s="317">
        <f t="shared" si="54"/>
        <v>0</v>
      </c>
      <c r="FA74" s="317">
        <f t="shared" si="55"/>
        <v>8</v>
      </c>
      <c r="FB74" s="317">
        <f t="shared" si="56"/>
        <v>10</v>
      </c>
      <c r="FC74" s="317">
        <f t="shared" si="57"/>
        <v>10</v>
      </c>
      <c r="FD74" s="317">
        <f t="shared" si="58"/>
        <v>10</v>
      </c>
      <c r="FE74" s="317">
        <f t="shared" si="59"/>
        <v>10</v>
      </c>
      <c r="FF74" s="317">
        <f t="shared" si="60"/>
        <v>10</v>
      </c>
      <c r="FG74" s="318">
        <f t="shared" si="63"/>
        <v>72</v>
      </c>
      <c r="FH74" s="319">
        <f t="shared" si="61"/>
        <v>111</v>
      </c>
      <c r="FI74" s="319">
        <f>SUM(I7:ER7)-SUM(ES74:FF74)</f>
        <v>17</v>
      </c>
      <c r="FJ74" s="319">
        <f t="shared" si="62"/>
        <v>128</v>
      </c>
      <c r="FK74" s="7"/>
    </row>
    <row r="75" spans="1:167" ht="15.75" customHeight="1">
      <c r="A75" s="2"/>
      <c r="B75" s="3">
        <f t="shared" si="45"/>
        <v>1</v>
      </c>
      <c r="C75" s="182">
        <f t="shared" si="46"/>
        <v>16</v>
      </c>
      <c r="D75" s="185" t="s">
        <v>116</v>
      </c>
      <c r="E75" s="203"/>
      <c r="F75" s="203">
        <v>15</v>
      </c>
      <c r="G75" s="571">
        <v>45915</v>
      </c>
      <c r="H75" s="572"/>
      <c r="I75" s="212">
        <v>1</v>
      </c>
      <c r="J75" s="206">
        <v>1</v>
      </c>
      <c r="K75" s="206">
        <v>1</v>
      </c>
      <c r="L75" s="206">
        <v>1</v>
      </c>
      <c r="M75" s="206">
        <v>1</v>
      </c>
      <c r="N75" s="206">
        <v>1</v>
      </c>
      <c r="O75" s="206">
        <v>1</v>
      </c>
      <c r="P75" s="206">
        <v>1</v>
      </c>
      <c r="Q75" s="206">
        <v>1</v>
      </c>
      <c r="R75" s="213">
        <v>1</v>
      </c>
      <c r="S75" s="223">
        <v>1</v>
      </c>
      <c r="T75" s="224">
        <v>1</v>
      </c>
      <c r="U75" s="224">
        <v>1</v>
      </c>
      <c r="V75" s="224">
        <v>1</v>
      </c>
      <c r="W75" s="224">
        <v>1</v>
      </c>
      <c r="X75" s="224">
        <v>1</v>
      </c>
      <c r="Y75" s="244">
        <v>1</v>
      </c>
      <c r="Z75" s="245">
        <v>1</v>
      </c>
      <c r="AA75" s="246">
        <v>1</v>
      </c>
      <c r="AB75" s="225">
        <v>1</v>
      </c>
      <c r="AC75" s="262">
        <v>1</v>
      </c>
      <c r="AD75" s="177">
        <v>1</v>
      </c>
      <c r="AE75" s="177">
        <v>1</v>
      </c>
      <c r="AF75" s="177">
        <v>1</v>
      </c>
      <c r="AG75" s="582"/>
      <c r="AH75" s="583"/>
      <c r="AI75" s="177">
        <v>1</v>
      </c>
      <c r="AJ75" s="177">
        <v>1</v>
      </c>
      <c r="AK75" s="177">
        <v>1</v>
      </c>
      <c r="AL75" s="263">
        <v>1</v>
      </c>
      <c r="AM75" s="235">
        <v>1</v>
      </c>
      <c r="AN75" s="271">
        <v>1</v>
      </c>
      <c r="AO75" s="236">
        <v>1</v>
      </c>
      <c r="AP75" s="236">
        <v>1</v>
      </c>
      <c r="AQ75" s="236">
        <v>1</v>
      </c>
      <c r="AR75" s="236">
        <v>1</v>
      </c>
      <c r="AS75" s="236">
        <v>1</v>
      </c>
      <c r="AT75" s="236">
        <v>1</v>
      </c>
      <c r="AU75" s="236">
        <v>1</v>
      </c>
      <c r="AV75" s="272">
        <v>1</v>
      </c>
      <c r="AW75" s="277">
        <v>1</v>
      </c>
      <c r="AX75" s="278">
        <v>1</v>
      </c>
      <c r="AY75" s="278">
        <v>1</v>
      </c>
      <c r="AZ75" s="127">
        <v>1</v>
      </c>
      <c r="BA75" s="278">
        <v>1</v>
      </c>
      <c r="BB75" s="278">
        <v>1</v>
      </c>
      <c r="BC75" s="278">
        <v>1</v>
      </c>
      <c r="BD75" s="127">
        <v>1</v>
      </c>
      <c r="BE75" s="278">
        <v>1</v>
      </c>
      <c r="BF75" s="280">
        <v>1</v>
      </c>
      <c r="BG75" s="212">
        <v>1</v>
      </c>
      <c r="BH75" s="206">
        <v>1</v>
      </c>
      <c r="BI75" s="206">
        <v>1</v>
      </c>
      <c r="BJ75" s="206">
        <v>1</v>
      </c>
      <c r="BK75" s="206">
        <v>1</v>
      </c>
      <c r="BL75" s="206">
        <v>1</v>
      </c>
      <c r="BM75" s="207">
        <v>1</v>
      </c>
      <c r="BN75" s="207">
        <v>1</v>
      </c>
      <c r="BO75" s="207">
        <v>1</v>
      </c>
      <c r="BP75" s="215">
        <v>1</v>
      </c>
      <c r="BQ75" s="226">
        <v>1</v>
      </c>
      <c r="BR75" s="227">
        <v>1</v>
      </c>
      <c r="BS75" s="227">
        <v>1</v>
      </c>
      <c r="BT75" s="227">
        <v>1</v>
      </c>
      <c r="BU75" s="227">
        <v>1</v>
      </c>
      <c r="BV75" s="227">
        <v>1</v>
      </c>
      <c r="BW75" s="227">
        <v>1</v>
      </c>
      <c r="BX75" s="227">
        <v>1</v>
      </c>
      <c r="BY75" s="227">
        <v>1</v>
      </c>
      <c r="BZ75" s="228">
        <v>1</v>
      </c>
      <c r="CA75" s="537"/>
      <c r="CB75" s="538"/>
      <c r="CC75" s="538"/>
      <c r="CD75" s="538"/>
      <c r="CE75" s="538"/>
      <c r="CF75" s="538"/>
      <c r="CG75" s="538"/>
      <c r="CH75" s="538"/>
      <c r="CI75" s="538"/>
      <c r="CJ75" s="538"/>
      <c r="CK75" s="237">
        <v>1</v>
      </c>
      <c r="CL75" s="238">
        <v>1</v>
      </c>
      <c r="CM75" s="238">
        <v>1</v>
      </c>
      <c r="CN75" s="238">
        <v>1</v>
      </c>
      <c r="CO75" s="238">
        <v>1</v>
      </c>
      <c r="CP75" s="238">
        <v>1</v>
      </c>
      <c r="CQ75" s="238">
        <v>1</v>
      </c>
      <c r="CR75" s="238">
        <v>1</v>
      </c>
      <c r="CS75" s="238">
        <v>1</v>
      </c>
      <c r="CT75" s="273">
        <v>1</v>
      </c>
      <c r="CU75" s="295">
        <v>1</v>
      </c>
      <c r="CV75" s="296">
        <v>1</v>
      </c>
      <c r="CW75" s="296">
        <v>1</v>
      </c>
      <c r="CX75" s="296">
        <v>1</v>
      </c>
      <c r="CY75" s="296">
        <v>1</v>
      </c>
      <c r="CZ75" s="296">
        <v>1</v>
      </c>
      <c r="DA75" s="296">
        <v>1</v>
      </c>
      <c r="DB75" s="296">
        <v>1</v>
      </c>
      <c r="DC75" s="297">
        <v>1</v>
      </c>
      <c r="DD75" s="298">
        <v>1</v>
      </c>
      <c r="DE75" s="214">
        <v>1</v>
      </c>
      <c r="DF75" s="207">
        <v>1</v>
      </c>
      <c r="DG75" s="207">
        <v>1</v>
      </c>
      <c r="DH75" s="207">
        <v>1</v>
      </c>
      <c r="DI75" s="207">
        <v>1</v>
      </c>
      <c r="DJ75" s="207">
        <v>1</v>
      </c>
      <c r="DK75" s="207">
        <v>1</v>
      </c>
      <c r="DL75" s="207">
        <v>1</v>
      </c>
      <c r="DM75" s="207">
        <v>1</v>
      </c>
      <c r="DN75" s="215">
        <v>1</v>
      </c>
      <c r="DO75" s="226">
        <v>1</v>
      </c>
      <c r="DP75" s="227">
        <v>1</v>
      </c>
      <c r="DQ75" s="227">
        <v>1</v>
      </c>
      <c r="DR75" s="227">
        <v>1</v>
      </c>
      <c r="DS75" s="227">
        <v>1</v>
      </c>
      <c r="DT75" s="227">
        <v>1</v>
      </c>
      <c r="DU75" s="227">
        <v>1</v>
      </c>
      <c r="DV75" s="227">
        <v>1</v>
      </c>
      <c r="DW75" s="227">
        <v>1</v>
      </c>
      <c r="DX75" s="228">
        <v>1</v>
      </c>
      <c r="DY75" s="90">
        <v>1</v>
      </c>
      <c r="DZ75" s="91">
        <v>1</v>
      </c>
      <c r="EA75" s="91">
        <v>1</v>
      </c>
      <c r="EB75" s="91">
        <v>1</v>
      </c>
      <c r="EC75" s="91">
        <v>1</v>
      </c>
      <c r="ED75" s="91">
        <v>1</v>
      </c>
      <c r="EE75" s="91">
        <v>1</v>
      </c>
      <c r="EF75" s="91">
        <v>1</v>
      </c>
      <c r="EG75" s="91">
        <v>1</v>
      </c>
      <c r="EH75" s="92">
        <v>1</v>
      </c>
      <c r="EI75" s="237">
        <v>1</v>
      </c>
      <c r="EJ75" s="238">
        <v>1</v>
      </c>
      <c r="EK75" s="238">
        <v>1</v>
      </c>
      <c r="EL75" s="238">
        <v>1</v>
      </c>
      <c r="EM75" s="238">
        <v>1</v>
      </c>
      <c r="EN75" s="238">
        <v>1</v>
      </c>
      <c r="EO75" s="238">
        <v>1</v>
      </c>
      <c r="EP75" s="238">
        <v>1</v>
      </c>
      <c r="EQ75" s="238">
        <v>1</v>
      </c>
      <c r="ER75" s="273">
        <v>1</v>
      </c>
      <c r="ES75" s="316">
        <f t="shared" si="47"/>
        <v>10</v>
      </c>
      <c r="ET75" s="317">
        <f t="shared" si="48"/>
        <v>10</v>
      </c>
      <c r="EU75" s="317">
        <f t="shared" si="49"/>
        <v>8</v>
      </c>
      <c r="EV75" s="317">
        <f t="shared" si="50"/>
        <v>10</v>
      </c>
      <c r="EW75" s="317">
        <f t="shared" si="51"/>
        <v>9</v>
      </c>
      <c r="EX75" s="317">
        <f t="shared" si="52"/>
        <v>10</v>
      </c>
      <c r="EY75" s="317">
        <f t="shared" si="53"/>
        <v>10</v>
      </c>
      <c r="EZ75" s="317">
        <f t="shared" si="54"/>
        <v>0</v>
      </c>
      <c r="FA75" s="317">
        <f t="shared" si="55"/>
        <v>10</v>
      </c>
      <c r="FB75" s="317">
        <f t="shared" si="56"/>
        <v>10</v>
      </c>
      <c r="FC75" s="317">
        <f t="shared" si="57"/>
        <v>10</v>
      </c>
      <c r="FD75" s="317">
        <f t="shared" si="58"/>
        <v>10</v>
      </c>
      <c r="FE75" s="317">
        <f t="shared" si="59"/>
        <v>10</v>
      </c>
      <c r="FF75" s="317">
        <f t="shared" si="60"/>
        <v>10</v>
      </c>
      <c r="FG75" s="318">
        <f t="shared" si="63"/>
        <v>73</v>
      </c>
      <c r="FH75" s="319">
        <f t="shared" si="61"/>
        <v>127</v>
      </c>
      <c r="FI75" s="319">
        <f>SUM(I7:ER7)-SUM(ES75:FF75)</f>
        <v>1</v>
      </c>
      <c r="FJ75" s="319">
        <f t="shared" si="62"/>
        <v>128</v>
      </c>
      <c r="FK75" s="7"/>
    </row>
    <row r="76" spans="1:167" ht="15.75" customHeight="1">
      <c r="A76" s="2"/>
      <c r="B76" s="3">
        <f t="shared" si="45"/>
        <v>1</v>
      </c>
      <c r="C76" s="182">
        <f t="shared" si="46"/>
        <v>17</v>
      </c>
      <c r="D76" s="185" t="s">
        <v>117</v>
      </c>
      <c r="E76" s="203"/>
      <c r="F76" s="203">
        <v>16</v>
      </c>
      <c r="G76" s="571">
        <v>45915</v>
      </c>
      <c r="H76" s="572"/>
      <c r="I76" s="212">
        <v>1</v>
      </c>
      <c r="J76" s="206">
        <v>1</v>
      </c>
      <c r="K76" s="206">
        <v>1</v>
      </c>
      <c r="L76" s="206">
        <v>1</v>
      </c>
      <c r="M76" s="206">
        <v>1</v>
      </c>
      <c r="N76" s="206">
        <v>1</v>
      </c>
      <c r="O76" s="206">
        <v>1</v>
      </c>
      <c r="P76" s="206">
        <v>1</v>
      </c>
      <c r="Q76" s="206">
        <v>1</v>
      </c>
      <c r="R76" s="213">
        <v>1</v>
      </c>
      <c r="S76" s="223">
        <v>1</v>
      </c>
      <c r="T76" s="224">
        <v>1</v>
      </c>
      <c r="U76" s="224">
        <v>1</v>
      </c>
      <c r="V76" s="224">
        <v>1</v>
      </c>
      <c r="W76" s="224">
        <v>1</v>
      </c>
      <c r="X76" s="224">
        <v>1</v>
      </c>
      <c r="Y76" s="244">
        <v>1</v>
      </c>
      <c r="Z76" s="245">
        <v>1</v>
      </c>
      <c r="AA76" s="246">
        <v>1</v>
      </c>
      <c r="AB76" s="225">
        <v>1</v>
      </c>
      <c r="AC76" s="262">
        <v>1</v>
      </c>
      <c r="AD76" s="177">
        <v>1</v>
      </c>
      <c r="AE76" s="177">
        <v>1</v>
      </c>
      <c r="AF76" s="177">
        <v>1</v>
      </c>
      <c r="AG76" s="582"/>
      <c r="AH76" s="583"/>
      <c r="AI76" s="177">
        <v>1</v>
      </c>
      <c r="AJ76" s="177">
        <v>1</v>
      </c>
      <c r="AK76" s="177">
        <v>0</v>
      </c>
      <c r="AL76" s="263">
        <v>0</v>
      </c>
      <c r="AM76" s="235">
        <v>1</v>
      </c>
      <c r="AN76" s="271">
        <v>1</v>
      </c>
      <c r="AO76" s="236">
        <v>1</v>
      </c>
      <c r="AP76" s="236">
        <v>1</v>
      </c>
      <c r="AQ76" s="236">
        <v>1</v>
      </c>
      <c r="AR76" s="236">
        <v>1</v>
      </c>
      <c r="AS76" s="236">
        <v>1</v>
      </c>
      <c r="AT76" s="236">
        <v>1</v>
      </c>
      <c r="AU76" s="236">
        <v>1</v>
      </c>
      <c r="AV76" s="272">
        <v>1</v>
      </c>
      <c r="AW76" s="277">
        <v>1</v>
      </c>
      <c r="AX76" s="278">
        <v>1</v>
      </c>
      <c r="AY76" s="278">
        <v>1</v>
      </c>
      <c r="AZ76" s="127">
        <v>1</v>
      </c>
      <c r="BA76" s="278">
        <v>1</v>
      </c>
      <c r="BB76" s="278">
        <v>1</v>
      </c>
      <c r="BC76" s="278">
        <v>1</v>
      </c>
      <c r="BD76" s="127">
        <v>1</v>
      </c>
      <c r="BE76" s="278">
        <v>1</v>
      </c>
      <c r="BF76" s="280">
        <v>1</v>
      </c>
      <c r="BG76" s="212">
        <v>1</v>
      </c>
      <c r="BH76" s="206">
        <v>1</v>
      </c>
      <c r="BI76" s="206">
        <v>1</v>
      </c>
      <c r="BJ76" s="206">
        <v>1</v>
      </c>
      <c r="BK76" s="206">
        <v>1</v>
      </c>
      <c r="BL76" s="206">
        <v>1</v>
      </c>
      <c r="BM76" s="207">
        <v>1</v>
      </c>
      <c r="BN76" s="207">
        <v>1</v>
      </c>
      <c r="BO76" s="207">
        <v>1</v>
      </c>
      <c r="BP76" s="215">
        <v>1</v>
      </c>
      <c r="BQ76" s="226">
        <v>1</v>
      </c>
      <c r="BR76" s="227">
        <v>1</v>
      </c>
      <c r="BS76" s="227">
        <v>1</v>
      </c>
      <c r="BT76" s="227">
        <v>1</v>
      </c>
      <c r="BU76" s="227">
        <v>1</v>
      </c>
      <c r="BV76" s="227">
        <v>1</v>
      </c>
      <c r="BW76" s="227">
        <v>0</v>
      </c>
      <c r="BX76" s="227">
        <v>0</v>
      </c>
      <c r="BY76" s="227">
        <v>0</v>
      </c>
      <c r="BZ76" s="228">
        <v>0</v>
      </c>
      <c r="CA76" s="537"/>
      <c r="CB76" s="538"/>
      <c r="CC76" s="538"/>
      <c r="CD76" s="538"/>
      <c r="CE76" s="538"/>
      <c r="CF76" s="538"/>
      <c r="CG76" s="538"/>
      <c r="CH76" s="538"/>
      <c r="CI76" s="538"/>
      <c r="CJ76" s="538"/>
      <c r="CK76" s="237">
        <v>1</v>
      </c>
      <c r="CL76" s="238">
        <v>1</v>
      </c>
      <c r="CM76" s="238">
        <v>1</v>
      </c>
      <c r="CN76" s="238">
        <v>1</v>
      </c>
      <c r="CO76" s="238">
        <v>1</v>
      </c>
      <c r="CP76" s="238">
        <v>1</v>
      </c>
      <c r="CQ76" s="238">
        <v>1</v>
      </c>
      <c r="CR76" s="238">
        <v>1</v>
      </c>
      <c r="CS76" s="238">
        <v>1</v>
      </c>
      <c r="CT76" s="273">
        <v>1</v>
      </c>
      <c r="CU76" s="295">
        <v>1</v>
      </c>
      <c r="CV76" s="296">
        <v>1</v>
      </c>
      <c r="CW76" s="296">
        <v>1</v>
      </c>
      <c r="CX76" s="296">
        <v>1</v>
      </c>
      <c r="CY76" s="296">
        <v>1</v>
      </c>
      <c r="CZ76" s="296">
        <v>1</v>
      </c>
      <c r="DA76" s="296">
        <v>1</v>
      </c>
      <c r="DB76" s="296">
        <v>1</v>
      </c>
      <c r="DC76" s="297">
        <v>1</v>
      </c>
      <c r="DD76" s="298">
        <v>1</v>
      </c>
      <c r="DE76" s="214">
        <v>1</v>
      </c>
      <c r="DF76" s="207">
        <v>1</v>
      </c>
      <c r="DG76" s="207">
        <v>1</v>
      </c>
      <c r="DH76" s="207">
        <v>1</v>
      </c>
      <c r="DI76" s="207">
        <v>1</v>
      </c>
      <c r="DJ76" s="207">
        <v>1</v>
      </c>
      <c r="DK76" s="207">
        <v>1</v>
      </c>
      <c r="DL76" s="207">
        <v>1</v>
      </c>
      <c r="DM76" s="207">
        <v>1</v>
      </c>
      <c r="DN76" s="215">
        <v>1</v>
      </c>
      <c r="DO76" s="226">
        <v>1</v>
      </c>
      <c r="DP76" s="227">
        <v>1</v>
      </c>
      <c r="DQ76" s="227">
        <v>1</v>
      </c>
      <c r="DR76" s="227">
        <v>1</v>
      </c>
      <c r="DS76" s="227">
        <v>1</v>
      </c>
      <c r="DT76" s="227">
        <v>1</v>
      </c>
      <c r="DU76" s="227">
        <v>1</v>
      </c>
      <c r="DV76" s="227">
        <v>1</v>
      </c>
      <c r="DW76" s="227">
        <v>1</v>
      </c>
      <c r="DX76" s="228">
        <v>1</v>
      </c>
      <c r="DY76" s="90">
        <v>1</v>
      </c>
      <c r="DZ76" s="91">
        <v>1</v>
      </c>
      <c r="EA76" s="91">
        <v>1</v>
      </c>
      <c r="EB76" s="91">
        <v>1</v>
      </c>
      <c r="EC76" s="91">
        <v>1</v>
      </c>
      <c r="ED76" s="91">
        <v>1</v>
      </c>
      <c r="EE76" s="91">
        <v>1</v>
      </c>
      <c r="EF76" s="91">
        <v>1</v>
      </c>
      <c r="EG76" s="91">
        <v>1</v>
      </c>
      <c r="EH76" s="92">
        <v>1</v>
      </c>
      <c r="EI76" s="237">
        <v>1</v>
      </c>
      <c r="EJ76" s="238">
        <v>1</v>
      </c>
      <c r="EK76" s="238">
        <v>1</v>
      </c>
      <c r="EL76" s="238">
        <v>1</v>
      </c>
      <c r="EM76" s="238">
        <v>1</v>
      </c>
      <c r="EN76" s="238">
        <v>1</v>
      </c>
      <c r="EO76" s="238">
        <v>1</v>
      </c>
      <c r="EP76" s="238">
        <v>1</v>
      </c>
      <c r="EQ76" s="238">
        <v>1</v>
      </c>
      <c r="ER76" s="273">
        <v>1</v>
      </c>
      <c r="ES76" s="316">
        <f t="shared" si="47"/>
        <v>10</v>
      </c>
      <c r="ET76" s="317">
        <f t="shared" si="48"/>
        <v>10</v>
      </c>
      <c r="EU76" s="317">
        <f t="shared" si="49"/>
        <v>6</v>
      </c>
      <c r="EV76" s="317">
        <f t="shared" si="50"/>
        <v>10</v>
      </c>
      <c r="EW76" s="317">
        <f t="shared" si="51"/>
        <v>9</v>
      </c>
      <c r="EX76" s="317">
        <f t="shared" si="52"/>
        <v>10</v>
      </c>
      <c r="EY76" s="317">
        <f t="shared" si="53"/>
        <v>6</v>
      </c>
      <c r="EZ76" s="317">
        <f t="shared" si="54"/>
        <v>0</v>
      </c>
      <c r="FA76" s="317">
        <f t="shared" si="55"/>
        <v>10</v>
      </c>
      <c r="FB76" s="317">
        <f t="shared" si="56"/>
        <v>10</v>
      </c>
      <c r="FC76" s="317">
        <f t="shared" si="57"/>
        <v>10</v>
      </c>
      <c r="FD76" s="317">
        <f t="shared" si="58"/>
        <v>10</v>
      </c>
      <c r="FE76" s="317">
        <f t="shared" si="59"/>
        <v>10</v>
      </c>
      <c r="FF76" s="317">
        <f t="shared" si="60"/>
        <v>10</v>
      </c>
      <c r="FG76" s="318">
        <f t="shared" si="63"/>
        <v>74</v>
      </c>
      <c r="FH76" s="319">
        <f t="shared" si="61"/>
        <v>121</v>
      </c>
      <c r="FI76" s="319">
        <f>SUM(I7:ER7)-SUM(ES76:FF76)</f>
        <v>7</v>
      </c>
      <c r="FJ76" s="319">
        <f t="shared" si="62"/>
        <v>128</v>
      </c>
      <c r="FK76" s="7"/>
    </row>
    <row r="77" spans="1:167" ht="15.75" customHeight="1">
      <c r="A77" s="2"/>
      <c r="B77" s="3">
        <f t="shared" si="45"/>
        <v>1</v>
      </c>
      <c r="C77" s="182">
        <f t="shared" si="46"/>
        <v>18</v>
      </c>
      <c r="D77" s="185" t="s">
        <v>118</v>
      </c>
      <c r="E77" s="203"/>
      <c r="F77" s="203">
        <v>17</v>
      </c>
      <c r="G77" s="571">
        <v>45915</v>
      </c>
      <c r="H77" s="572"/>
      <c r="I77" s="212">
        <v>1</v>
      </c>
      <c r="J77" s="206">
        <v>1</v>
      </c>
      <c r="K77" s="206">
        <v>1</v>
      </c>
      <c r="L77" s="206">
        <v>1</v>
      </c>
      <c r="M77" s="206">
        <v>1</v>
      </c>
      <c r="N77" s="206">
        <v>1</v>
      </c>
      <c r="O77" s="206">
        <v>1</v>
      </c>
      <c r="P77" s="206">
        <v>1</v>
      </c>
      <c r="Q77" s="206">
        <v>1</v>
      </c>
      <c r="R77" s="213">
        <v>1</v>
      </c>
      <c r="S77" s="223">
        <v>1</v>
      </c>
      <c r="T77" s="224">
        <v>1</v>
      </c>
      <c r="U77" s="224">
        <v>1</v>
      </c>
      <c r="V77" s="224">
        <v>1</v>
      </c>
      <c r="W77" s="224">
        <v>1</v>
      </c>
      <c r="X77" s="224">
        <v>1</v>
      </c>
      <c r="Y77" s="244">
        <v>1</v>
      </c>
      <c r="Z77" s="245">
        <v>1</v>
      </c>
      <c r="AA77" s="246">
        <v>1</v>
      </c>
      <c r="AB77" s="225">
        <v>1</v>
      </c>
      <c r="AC77" s="262">
        <v>1</v>
      </c>
      <c r="AD77" s="177">
        <v>1</v>
      </c>
      <c r="AE77" s="177">
        <v>1</v>
      </c>
      <c r="AF77" s="177">
        <v>1</v>
      </c>
      <c r="AG77" s="582"/>
      <c r="AH77" s="583"/>
      <c r="AI77" s="177">
        <v>1</v>
      </c>
      <c r="AJ77" s="177">
        <v>1</v>
      </c>
      <c r="AK77" s="177">
        <v>1</v>
      </c>
      <c r="AL77" s="263">
        <v>1</v>
      </c>
      <c r="AM77" s="235">
        <v>0</v>
      </c>
      <c r="AN77" s="271">
        <v>0</v>
      </c>
      <c r="AO77" s="236">
        <v>0</v>
      </c>
      <c r="AP77" s="236">
        <v>0</v>
      </c>
      <c r="AQ77" s="236">
        <v>0</v>
      </c>
      <c r="AR77" s="236">
        <v>0</v>
      </c>
      <c r="AS77" s="236">
        <v>0</v>
      </c>
      <c r="AT77" s="236">
        <v>0</v>
      </c>
      <c r="AU77" s="236">
        <v>0</v>
      </c>
      <c r="AV77" s="272">
        <v>0</v>
      </c>
      <c r="AW77" s="277">
        <v>1</v>
      </c>
      <c r="AX77" s="278">
        <v>1</v>
      </c>
      <c r="AY77" s="278">
        <v>1</v>
      </c>
      <c r="AZ77" s="127">
        <v>1</v>
      </c>
      <c r="BA77" s="278">
        <v>1</v>
      </c>
      <c r="BB77" s="278">
        <v>1</v>
      </c>
      <c r="BC77" s="278">
        <v>1</v>
      </c>
      <c r="BD77" s="127">
        <v>1</v>
      </c>
      <c r="BE77" s="278">
        <v>1</v>
      </c>
      <c r="BF77" s="280">
        <v>1</v>
      </c>
      <c r="BG77" s="212">
        <v>1</v>
      </c>
      <c r="BH77" s="206">
        <v>1</v>
      </c>
      <c r="BI77" s="206">
        <v>1</v>
      </c>
      <c r="BJ77" s="206">
        <v>1</v>
      </c>
      <c r="BK77" s="206">
        <v>1</v>
      </c>
      <c r="BL77" s="206">
        <v>1</v>
      </c>
      <c r="BM77" s="206">
        <v>1</v>
      </c>
      <c r="BN77" s="207">
        <v>1</v>
      </c>
      <c r="BO77" s="207">
        <v>1</v>
      </c>
      <c r="BP77" s="215">
        <v>1</v>
      </c>
      <c r="BQ77" s="226">
        <v>1</v>
      </c>
      <c r="BR77" s="227">
        <v>1</v>
      </c>
      <c r="BS77" s="227">
        <v>1</v>
      </c>
      <c r="BT77" s="227">
        <v>1</v>
      </c>
      <c r="BU77" s="227">
        <v>1</v>
      </c>
      <c r="BV77" s="227">
        <v>1</v>
      </c>
      <c r="BW77" s="227">
        <v>1</v>
      </c>
      <c r="BX77" s="227">
        <v>1</v>
      </c>
      <c r="BY77" s="227">
        <v>0</v>
      </c>
      <c r="BZ77" s="228">
        <v>0</v>
      </c>
      <c r="CA77" s="537"/>
      <c r="CB77" s="538"/>
      <c r="CC77" s="538"/>
      <c r="CD77" s="538"/>
      <c r="CE77" s="538"/>
      <c r="CF77" s="538"/>
      <c r="CG77" s="538"/>
      <c r="CH77" s="538"/>
      <c r="CI77" s="538"/>
      <c r="CJ77" s="538"/>
      <c r="CK77" s="237">
        <v>1</v>
      </c>
      <c r="CL77" s="238">
        <v>1</v>
      </c>
      <c r="CM77" s="238">
        <v>1</v>
      </c>
      <c r="CN77" s="238">
        <v>1</v>
      </c>
      <c r="CO77" s="238">
        <v>1</v>
      </c>
      <c r="CP77" s="238">
        <v>1</v>
      </c>
      <c r="CQ77" s="238">
        <v>1</v>
      </c>
      <c r="CR77" s="238">
        <v>1</v>
      </c>
      <c r="CS77" s="238">
        <v>1</v>
      </c>
      <c r="CT77" s="273">
        <v>1</v>
      </c>
      <c r="CU77" s="295">
        <v>1</v>
      </c>
      <c r="CV77" s="296">
        <v>1</v>
      </c>
      <c r="CW77" s="296">
        <v>1</v>
      </c>
      <c r="CX77" s="296">
        <v>1</v>
      </c>
      <c r="CY77" s="296">
        <v>1</v>
      </c>
      <c r="CZ77" s="296">
        <v>1</v>
      </c>
      <c r="DA77" s="296">
        <v>1</v>
      </c>
      <c r="DB77" s="296">
        <v>1</v>
      </c>
      <c r="DC77" s="297">
        <v>1</v>
      </c>
      <c r="DD77" s="298">
        <v>1</v>
      </c>
      <c r="DE77" s="214">
        <v>1</v>
      </c>
      <c r="DF77" s="207">
        <v>1</v>
      </c>
      <c r="DG77" s="207">
        <v>1</v>
      </c>
      <c r="DH77" s="207">
        <v>1</v>
      </c>
      <c r="DI77" s="207">
        <v>1</v>
      </c>
      <c r="DJ77" s="207">
        <v>1</v>
      </c>
      <c r="DK77" s="207">
        <v>1</v>
      </c>
      <c r="DL77" s="207">
        <v>1</v>
      </c>
      <c r="DM77" s="207">
        <v>1</v>
      </c>
      <c r="DN77" s="215">
        <v>1</v>
      </c>
      <c r="DO77" s="226">
        <v>1</v>
      </c>
      <c r="DP77" s="227">
        <v>1</v>
      </c>
      <c r="DQ77" s="227">
        <v>1</v>
      </c>
      <c r="DR77" s="227">
        <v>1</v>
      </c>
      <c r="DS77" s="227">
        <v>1</v>
      </c>
      <c r="DT77" s="227">
        <v>1</v>
      </c>
      <c r="DU77" s="227">
        <v>1</v>
      </c>
      <c r="DV77" s="227">
        <v>1</v>
      </c>
      <c r="DW77" s="227">
        <v>1</v>
      </c>
      <c r="DX77" s="228">
        <v>1</v>
      </c>
      <c r="DY77" s="90">
        <v>1</v>
      </c>
      <c r="DZ77" s="91">
        <v>1</v>
      </c>
      <c r="EA77" s="91">
        <v>1</v>
      </c>
      <c r="EB77" s="91">
        <v>1</v>
      </c>
      <c r="EC77" s="91">
        <v>1</v>
      </c>
      <c r="ED77" s="91">
        <v>1</v>
      </c>
      <c r="EE77" s="91">
        <v>1</v>
      </c>
      <c r="EF77" s="91">
        <v>1</v>
      </c>
      <c r="EG77" s="91">
        <v>1</v>
      </c>
      <c r="EH77" s="92">
        <v>1</v>
      </c>
      <c r="EI77" s="237">
        <v>1</v>
      </c>
      <c r="EJ77" s="238">
        <v>1</v>
      </c>
      <c r="EK77" s="238">
        <v>1</v>
      </c>
      <c r="EL77" s="238">
        <v>1</v>
      </c>
      <c r="EM77" s="238">
        <v>1</v>
      </c>
      <c r="EN77" s="238">
        <v>1</v>
      </c>
      <c r="EO77" s="238">
        <v>1</v>
      </c>
      <c r="EP77" s="238">
        <v>1</v>
      </c>
      <c r="EQ77" s="238">
        <v>1</v>
      </c>
      <c r="ER77" s="273">
        <v>1</v>
      </c>
      <c r="ES77" s="316">
        <f t="shared" si="47"/>
        <v>10</v>
      </c>
      <c r="ET77" s="317">
        <f t="shared" si="48"/>
        <v>10</v>
      </c>
      <c r="EU77" s="317">
        <f t="shared" si="49"/>
        <v>8</v>
      </c>
      <c r="EV77" s="317">
        <f t="shared" si="50"/>
        <v>0</v>
      </c>
      <c r="EW77" s="317">
        <f t="shared" si="51"/>
        <v>9</v>
      </c>
      <c r="EX77" s="317">
        <f t="shared" si="52"/>
        <v>10</v>
      </c>
      <c r="EY77" s="317">
        <f t="shared" si="53"/>
        <v>8</v>
      </c>
      <c r="EZ77" s="317">
        <f t="shared" si="54"/>
        <v>0</v>
      </c>
      <c r="FA77" s="317">
        <f t="shared" si="55"/>
        <v>10</v>
      </c>
      <c r="FB77" s="317">
        <f t="shared" si="56"/>
        <v>10</v>
      </c>
      <c r="FC77" s="317">
        <f t="shared" si="57"/>
        <v>10</v>
      </c>
      <c r="FD77" s="317">
        <f t="shared" si="58"/>
        <v>10</v>
      </c>
      <c r="FE77" s="317">
        <f t="shared" si="59"/>
        <v>10</v>
      </c>
      <c r="FF77" s="317">
        <f t="shared" si="60"/>
        <v>10</v>
      </c>
      <c r="FG77" s="318">
        <f t="shared" si="63"/>
        <v>75</v>
      </c>
      <c r="FH77" s="319">
        <f t="shared" si="61"/>
        <v>115</v>
      </c>
      <c r="FI77" s="319">
        <f>SUM(I7:ER7)-SUM(ES77:FF77)</f>
        <v>13</v>
      </c>
      <c r="FJ77" s="319">
        <f t="shared" si="62"/>
        <v>128</v>
      </c>
      <c r="FK77" s="7"/>
    </row>
    <row r="78" spans="1:167" ht="15.75" customHeight="1">
      <c r="A78" s="2"/>
      <c r="B78" s="3">
        <f t="shared" si="45"/>
        <v>1</v>
      </c>
      <c r="C78" s="182">
        <f t="shared" si="46"/>
        <v>19</v>
      </c>
      <c r="D78" s="185" t="s">
        <v>119</v>
      </c>
      <c r="E78" s="203"/>
      <c r="F78" s="203">
        <v>15</v>
      </c>
      <c r="G78" s="571">
        <v>45915</v>
      </c>
      <c r="H78" s="572"/>
      <c r="I78" s="212">
        <v>0</v>
      </c>
      <c r="J78" s="206">
        <v>0</v>
      </c>
      <c r="K78" s="206">
        <v>0</v>
      </c>
      <c r="L78" s="206">
        <v>0</v>
      </c>
      <c r="M78" s="206">
        <v>0</v>
      </c>
      <c r="N78" s="206">
        <v>0</v>
      </c>
      <c r="O78" s="206">
        <v>0</v>
      </c>
      <c r="P78" s="206">
        <v>0</v>
      </c>
      <c r="Q78" s="206">
        <v>0</v>
      </c>
      <c r="R78" s="213">
        <v>0</v>
      </c>
      <c r="S78" s="223">
        <v>1</v>
      </c>
      <c r="T78" s="224">
        <v>1</v>
      </c>
      <c r="U78" s="224">
        <v>1</v>
      </c>
      <c r="V78" s="224">
        <v>1</v>
      </c>
      <c r="W78" s="224">
        <v>1</v>
      </c>
      <c r="X78" s="224">
        <v>1</v>
      </c>
      <c r="Y78" s="244">
        <v>1</v>
      </c>
      <c r="Z78" s="245">
        <v>1</v>
      </c>
      <c r="AA78" s="246">
        <v>1</v>
      </c>
      <c r="AB78" s="225">
        <v>1</v>
      </c>
      <c r="AC78" s="262">
        <v>1</v>
      </c>
      <c r="AD78" s="177">
        <v>1</v>
      </c>
      <c r="AE78" s="177">
        <v>1</v>
      </c>
      <c r="AF78" s="177">
        <v>1</v>
      </c>
      <c r="AG78" s="582"/>
      <c r="AH78" s="583"/>
      <c r="AI78" s="177">
        <v>1</v>
      </c>
      <c r="AJ78" s="177">
        <v>1</v>
      </c>
      <c r="AK78" s="177">
        <v>1</v>
      </c>
      <c r="AL78" s="263">
        <v>1</v>
      </c>
      <c r="AM78" s="235">
        <v>1</v>
      </c>
      <c r="AN78" s="271">
        <v>1</v>
      </c>
      <c r="AO78" s="236">
        <v>1</v>
      </c>
      <c r="AP78" s="236">
        <v>1</v>
      </c>
      <c r="AQ78" s="236">
        <v>1</v>
      </c>
      <c r="AR78" s="236">
        <v>1</v>
      </c>
      <c r="AS78" s="236">
        <v>1</v>
      </c>
      <c r="AT78" s="236">
        <v>1</v>
      </c>
      <c r="AU78" s="236">
        <v>1</v>
      </c>
      <c r="AV78" s="272">
        <v>1</v>
      </c>
      <c r="AW78" s="277">
        <v>1</v>
      </c>
      <c r="AX78" s="278">
        <v>1</v>
      </c>
      <c r="AY78" s="278">
        <v>1</v>
      </c>
      <c r="AZ78" s="127">
        <v>1</v>
      </c>
      <c r="BA78" s="278">
        <v>1</v>
      </c>
      <c r="BB78" s="278">
        <v>1</v>
      </c>
      <c r="BC78" s="278">
        <v>1</v>
      </c>
      <c r="BD78" s="127">
        <v>1</v>
      </c>
      <c r="BE78" s="278">
        <v>0</v>
      </c>
      <c r="BF78" s="280">
        <v>0</v>
      </c>
      <c r="BG78" s="212">
        <v>1</v>
      </c>
      <c r="BH78" s="206">
        <v>1</v>
      </c>
      <c r="BI78" s="206">
        <v>1</v>
      </c>
      <c r="BJ78" s="206">
        <v>1</v>
      </c>
      <c r="BK78" s="206">
        <v>1</v>
      </c>
      <c r="BL78" s="206">
        <v>1</v>
      </c>
      <c r="BM78" s="207">
        <v>1</v>
      </c>
      <c r="BN78" s="207">
        <v>1</v>
      </c>
      <c r="BO78" s="207">
        <v>0</v>
      </c>
      <c r="BP78" s="215">
        <v>0</v>
      </c>
      <c r="BQ78" s="226">
        <v>1</v>
      </c>
      <c r="BR78" s="227">
        <v>1</v>
      </c>
      <c r="BS78" s="227">
        <v>1</v>
      </c>
      <c r="BT78" s="227">
        <v>1</v>
      </c>
      <c r="BU78" s="227">
        <v>1</v>
      </c>
      <c r="BV78" s="227">
        <v>1</v>
      </c>
      <c r="BW78" s="227">
        <v>1</v>
      </c>
      <c r="BX78" s="227">
        <v>1</v>
      </c>
      <c r="BY78" s="227">
        <v>1</v>
      </c>
      <c r="BZ78" s="228">
        <v>1</v>
      </c>
      <c r="CA78" s="537"/>
      <c r="CB78" s="538"/>
      <c r="CC78" s="538"/>
      <c r="CD78" s="538"/>
      <c r="CE78" s="538"/>
      <c r="CF78" s="538"/>
      <c r="CG78" s="538"/>
      <c r="CH78" s="538"/>
      <c r="CI78" s="538"/>
      <c r="CJ78" s="538"/>
      <c r="CK78" s="237">
        <v>0</v>
      </c>
      <c r="CL78" s="238">
        <v>0</v>
      </c>
      <c r="CM78" s="238">
        <v>0</v>
      </c>
      <c r="CN78" s="238">
        <v>0</v>
      </c>
      <c r="CO78" s="238">
        <v>0</v>
      </c>
      <c r="CP78" s="238">
        <v>0</v>
      </c>
      <c r="CQ78" s="238">
        <v>1</v>
      </c>
      <c r="CR78" s="238">
        <v>1</v>
      </c>
      <c r="CS78" s="238">
        <v>1</v>
      </c>
      <c r="CT78" s="273">
        <v>1</v>
      </c>
      <c r="CU78" s="295">
        <v>1</v>
      </c>
      <c r="CV78" s="296">
        <v>1</v>
      </c>
      <c r="CW78" s="296">
        <v>1</v>
      </c>
      <c r="CX78" s="296">
        <v>1</v>
      </c>
      <c r="CY78" s="296">
        <v>1</v>
      </c>
      <c r="CZ78" s="296">
        <v>1</v>
      </c>
      <c r="DA78" s="296">
        <v>1</v>
      </c>
      <c r="DB78" s="296">
        <v>1</v>
      </c>
      <c r="DC78" s="297">
        <v>1</v>
      </c>
      <c r="DD78" s="298">
        <v>1</v>
      </c>
      <c r="DE78" s="214">
        <v>1</v>
      </c>
      <c r="DF78" s="207">
        <v>1</v>
      </c>
      <c r="DG78" s="207">
        <v>1</v>
      </c>
      <c r="DH78" s="207">
        <v>1</v>
      </c>
      <c r="DI78" s="207">
        <v>1</v>
      </c>
      <c r="DJ78" s="207">
        <v>1</v>
      </c>
      <c r="DK78" s="207">
        <v>1</v>
      </c>
      <c r="DL78" s="207">
        <v>1</v>
      </c>
      <c r="DM78" s="207">
        <v>1</v>
      </c>
      <c r="DN78" s="215">
        <v>1</v>
      </c>
      <c r="DO78" s="226">
        <v>1</v>
      </c>
      <c r="DP78" s="227">
        <v>1</v>
      </c>
      <c r="DQ78" s="227">
        <v>1</v>
      </c>
      <c r="DR78" s="227">
        <v>1</v>
      </c>
      <c r="DS78" s="227">
        <v>1</v>
      </c>
      <c r="DT78" s="227">
        <v>1</v>
      </c>
      <c r="DU78" s="227">
        <v>1</v>
      </c>
      <c r="DV78" s="227">
        <v>1</v>
      </c>
      <c r="DW78" s="227">
        <v>1</v>
      </c>
      <c r="DX78" s="228">
        <v>1</v>
      </c>
      <c r="DY78" s="90">
        <v>1</v>
      </c>
      <c r="DZ78" s="91">
        <v>1</v>
      </c>
      <c r="EA78" s="91">
        <v>1</v>
      </c>
      <c r="EB78" s="91">
        <v>1</v>
      </c>
      <c r="EC78" s="91">
        <v>1</v>
      </c>
      <c r="ED78" s="91">
        <v>1</v>
      </c>
      <c r="EE78" s="91">
        <v>1</v>
      </c>
      <c r="EF78" s="91">
        <v>1</v>
      </c>
      <c r="EG78" s="91">
        <v>1</v>
      </c>
      <c r="EH78" s="92">
        <v>1</v>
      </c>
      <c r="EI78" s="237">
        <v>1</v>
      </c>
      <c r="EJ78" s="238">
        <v>1</v>
      </c>
      <c r="EK78" s="238">
        <v>1</v>
      </c>
      <c r="EL78" s="238">
        <v>1</v>
      </c>
      <c r="EM78" s="238">
        <v>1</v>
      </c>
      <c r="EN78" s="238">
        <v>1</v>
      </c>
      <c r="EO78" s="238">
        <v>1</v>
      </c>
      <c r="EP78" s="238">
        <v>1</v>
      </c>
      <c r="EQ78" s="238">
        <v>1</v>
      </c>
      <c r="ER78" s="273">
        <v>1</v>
      </c>
      <c r="ES78" s="316">
        <f t="shared" si="47"/>
        <v>0</v>
      </c>
      <c r="ET78" s="317">
        <f t="shared" si="48"/>
        <v>10</v>
      </c>
      <c r="EU78" s="317">
        <f t="shared" si="49"/>
        <v>8</v>
      </c>
      <c r="EV78" s="317">
        <f t="shared" si="50"/>
        <v>10</v>
      </c>
      <c r="EW78" s="317">
        <f t="shared" si="51"/>
        <v>7</v>
      </c>
      <c r="EX78" s="317">
        <f t="shared" si="52"/>
        <v>8</v>
      </c>
      <c r="EY78" s="317">
        <f t="shared" si="53"/>
        <v>10</v>
      </c>
      <c r="EZ78" s="317">
        <f t="shared" si="54"/>
        <v>0</v>
      </c>
      <c r="FA78" s="317">
        <f t="shared" si="55"/>
        <v>4</v>
      </c>
      <c r="FB78" s="317">
        <f t="shared" si="56"/>
        <v>10</v>
      </c>
      <c r="FC78" s="317">
        <f t="shared" si="57"/>
        <v>10</v>
      </c>
      <c r="FD78" s="317">
        <f t="shared" si="58"/>
        <v>10</v>
      </c>
      <c r="FE78" s="317">
        <f t="shared" si="59"/>
        <v>10</v>
      </c>
      <c r="FF78" s="317">
        <f t="shared" si="60"/>
        <v>10</v>
      </c>
      <c r="FG78" s="318">
        <f t="shared" si="63"/>
        <v>76</v>
      </c>
      <c r="FH78" s="319">
        <f t="shared" si="61"/>
        <v>107</v>
      </c>
      <c r="FI78" s="319">
        <f>SUM(I7:ER7)-SUM(ES78:FF78)</f>
        <v>21</v>
      </c>
      <c r="FJ78" s="319">
        <f t="shared" si="62"/>
        <v>128</v>
      </c>
      <c r="FK78" s="7"/>
    </row>
    <row r="79" spans="1:167" ht="15.75" customHeight="1">
      <c r="A79" s="2"/>
      <c r="B79" s="3">
        <f t="shared" si="45"/>
        <v>1</v>
      </c>
      <c r="C79" s="182">
        <f t="shared" si="46"/>
        <v>20</v>
      </c>
      <c r="D79" s="185" t="s">
        <v>120</v>
      </c>
      <c r="E79" s="203"/>
      <c r="F79" s="203">
        <v>16</v>
      </c>
      <c r="G79" s="571">
        <v>45915</v>
      </c>
      <c r="H79" s="572"/>
      <c r="I79" s="212">
        <v>0</v>
      </c>
      <c r="J79" s="206">
        <v>0</v>
      </c>
      <c r="K79" s="206">
        <v>1</v>
      </c>
      <c r="L79" s="206">
        <v>1</v>
      </c>
      <c r="M79" s="206">
        <v>1</v>
      </c>
      <c r="N79" s="206">
        <v>1</v>
      </c>
      <c r="O79" s="206">
        <v>1</v>
      </c>
      <c r="P79" s="206">
        <v>1</v>
      </c>
      <c r="Q79" s="206">
        <v>1</v>
      </c>
      <c r="R79" s="213">
        <v>1</v>
      </c>
      <c r="S79" s="223">
        <v>1</v>
      </c>
      <c r="T79" s="224">
        <v>1</v>
      </c>
      <c r="U79" s="224">
        <v>1</v>
      </c>
      <c r="V79" s="224">
        <v>1</v>
      </c>
      <c r="W79" s="224">
        <v>1</v>
      </c>
      <c r="X79" s="224">
        <v>1</v>
      </c>
      <c r="Y79" s="244">
        <v>1</v>
      </c>
      <c r="Z79" s="245">
        <v>1</v>
      </c>
      <c r="AA79" s="246">
        <v>1</v>
      </c>
      <c r="AB79" s="225">
        <v>1</v>
      </c>
      <c r="AC79" s="262">
        <v>1</v>
      </c>
      <c r="AD79" s="177">
        <v>1</v>
      </c>
      <c r="AE79" s="177">
        <v>1</v>
      </c>
      <c r="AF79" s="177">
        <v>1</v>
      </c>
      <c r="AG79" s="582"/>
      <c r="AH79" s="583"/>
      <c r="AI79" s="177">
        <v>1</v>
      </c>
      <c r="AJ79" s="177">
        <v>1</v>
      </c>
      <c r="AK79" s="177">
        <v>1</v>
      </c>
      <c r="AL79" s="263">
        <v>1</v>
      </c>
      <c r="AM79" s="235">
        <v>1</v>
      </c>
      <c r="AN79" s="271">
        <v>1</v>
      </c>
      <c r="AO79" s="236">
        <v>1</v>
      </c>
      <c r="AP79" s="236">
        <v>1</v>
      </c>
      <c r="AQ79" s="236">
        <v>1</v>
      </c>
      <c r="AR79" s="236">
        <v>1</v>
      </c>
      <c r="AS79" s="236">
        <v>1</v>
      </c>
      <c r="AT79" s="236">
        <v>1</v>
      </c>
      <c r="AU79" s="236">
        <v>1</v>
      </c>
      <c r="AV79" s="272">
        <v>1</v>
      </c>
      <c r="AW79" s="277">
        <v>1</v>
      </c>
      <c r="AX79" s="278">
        <v>1</v>
      </c>
      <c r="AY79" s="278">
        <v>1</v>
      </c>
      <c r="AZ79" s="127">
        <v>1</v>
      </c>
      <c r="BA79" s="278">
        <v>1</v>
      </c>
      <c r="BB79" s="278">
        <v>1</v>
      </c>
      <c r="BC79" s="278">
        <v>1</v>
      </c>
      <c r="BD79" s="127">
        <v>1</v>
      </c>
      <c r="BE79" s="278">
        <v>1</v>
      </c>
      <c r="BF79" s="280">
        <v>1</v>
      </c>
      <c r="BG79" s="212">
        <v>1</v>
      </c>
      <c r="BH79" s="206">
        <v>1</v>
      </c>
      <c r="BI79" s="206">
        <v>1</v>
      </c>
      <c r="BJ79" s="206">
        <v>1</v>
      </c>
      <c r="BK79" s="206">
        <v>1</v>
      </c>
      <c r="BL79" s="206">
        <v>1</v>
      </c>
      <c r="BM79" s="207">
        <v>1</v>
      </c>
      <c r="BN79" s="207">
        <v>1</v>
      </c>
      <c r="BO79" s="207">
        <v>1</v>
      </c>
      <c r="BP79" s="215">
        <v>1</v>
      </c>
      <c r="BQ79" s="226">
        <v>1</v>
      </c>
      <c r="BR79" s="227">
        <v>1</v>
      </c>
      <c r="BS79" s="227">
        <v>1</v>
      </c>
      <c r="BT79" s="227">
        <v>1</v>
      </c>
      <c r="BU79" s="227">
        <v>1</v>
      </c>
      <c r="BV79" s="227">
        <v>1</v>
      </c>
      <c r="BW79" s="227">
        <v>1</v>
      </c>
      <c r="BX79" s="227">
        <v>1</v>
      </c>
      <c r="BY79" s="227">
        <v>1</v>
      </c>
      <c r="BZ79" s="228">
        <v>1</v>
      </c>
      <c r="CA79" s="537"/>
      <c r="CB79" s="538"/>
      <c r="CC79" s="538"/>
      <c r="CD79" s="538"/>
      <c r="CE79" s="538"/>
      <c r="CF79" s="538"/>
      <c r="CG79" s="538"/>
      <c r="CH79" s="538"/>
      <c r="CI79" s="538"/>
      <c r="CJ79" s="538"/>
      <c r="CK79" s="237">
        <v>1</v>
      </c>
      <c r="CL79" s="238">
        <v>1</v>
      </c>
      <c r="CM79" s="238">
        <v>1</v>
      </c>
      <c r="CN79" s="238">
        <v>1</v>
      </c>
      <c r="CO79" s="238">
        <v>1</v>
      </c>
      <c r="CP79" s="238">
        <v>1</v>
      </c>
      <c r="CQ79" s="238">
        <v>1</v>
      </c>
      <c r="CR79" s="238">
        <v>1</v>
      </c>
      <c r="CS79" s="238">
        <v>1</v>
      </c>
      <c r="CT79" s="273">
        <v>1</v>
      </c>
      <c r="CU79" s="295">
        <v>1</v>
      </c>
      <c r="CV79" s="296">
        <v>1</v>
      </c>
      <c r="CW79" s="296">
        <v>1</v>
      </c>
      <c r="CX79" s="296">
        <v>1</v>
      </c>
      <c r="CY79" s="296">
        <v>1</v>
      </c>
      <c r="CZ79" s="296">
        <v>1</v>
      </c>
      <c r="DA79" s="296">
        <v>1</v>
      </c>
      <c r="DB79" s="296">
        <v>1</v>
      </c>
      <c r="DC79" s="297">
        <v>1</v>
      </c>
      <c r="DD79" s="298">
        <v>1</v>
      </c>
      <c r="DE79" s="214">
        <v>1</v>
      </c>
      <c r="DF79" s="207">
        <v>1</v>
      </c>
      <c r="DG79" s="207">
        <v>1</v>
      </c>
      <c r="DH79" s="207">
        <v>1</v>
      </c>
      <c r="DI79" s="207">
        <v>1</v>
      </c>
      <c r="DJ79" s="207">
        <v>1</v>
      </c>
      <c r="DK79" s="207">
        <v>1</v>
      </c>
      <c r="DL79" s="207">
        <v>1</v>
      </c>
      <c r="DM79" s="207">
        <v>1</v>
      </c>
      <c r="DN79" s="215">
        <v>1</v>
      </c>
      <c r="DO79" s="226">
        <v>1</v>
      </c>
      <c r="DP79" s="227">
        <v>1</v>
      </c>
      <c r="DQ79" s="227">
        <v>1</v>
      </c>
      <c r="DR79" s="227">
        <v>1</v>
      </c>
      <c r="DS79" s="227">
        <v>1</v>
      </c>
      <c r="DT79" s="227">
        <v>1</v>
      </c>
      <c r="DU79" s="227">
        <v>1</v>
      </c>
      <c r="DV79" s="227">
        <v>1</v>
      </c>
      <c r="DW79" s="227">
        <v>1</v>
      </c>
      <c r="DX79" s="228">
        <v>1</v>
      </c>
      <c r="DY79" s="90">
        <v>1</v>
      </c>
      <c r="DZ79" s="91">
        <v>1</v>
      </c>
      <c r="EA79" s="91">
        <v>1</v>
      </c>
      <c r="EB79" s="91">
        <v>1</v>
      </c>
      <c r="EC79" s="91">
        <v>1</v>
      </c>
      <c r="ED79" s="91">
        <v>1</v>
      </c>
      <c r="EE79" s="91">
        <v>1</v>
      </c>
      <c r="EF79" s="91">
        <v>1</v>
      </c>
      <c r="EG79" s="91">
        <v>1</v>
      </c>
      <c r="EH79" s="92">
        <v>1</v>
      </c>
      <c r="EI79" s="237">
        <v>1</v>
      </c>
      <c r="EJ79" s="238">
        <v>1</v>
      </c>
      <c r="EK79" s="238">
        <v>1</v>
      </c>
      <c r="EL79" s="238">
        <v>1</v>
      </c>
      <c r="EM79" s="238">
        <v>1</v>
      </c>
      <c r="EN79" s="238">
        <v>1</v>
      </c>
      <c r="EO79" s="238">
        <v>1</v>
      </c>
      <c r="EP79" s="238">
        <v>1</v>
      </c>
      <c r="EQ79" s="238">
        <v>1</v>
      </c>
      <c r="ER79" s="273">
        <v>1</v>
      </c>
      <c r="ES79" s="316">
        <f t="shared" si="47"/>
        <v>8</v>
      </c>
      <c r="ET79" s="317">
        <f t="shared" si="48"/>
        <v>10</v>
      </c>
      <c r="EU79" s="317">
        <f t="shared" si="49"/>
        <v>8</v>
      </c>
      <c r="EV79" s="317">
        <f t="shared" si="50"/>
        <v>10</v>
      </c>
      <c r="EW79" s="317">
        <f t="shared" si="51"/>
        <v>9</v>
      </c>
      <c r="EX79" s="317">
        <f t="shared" si="52"/>
        <v>10</v>
      </c>
      <c r="EY79" s="317">
        <f t="shared" si="53"/>
        <v>10</v>
      </c>
      <c r="EZ79" s="317">
        <f t="shared" si="54"/>
        <v>0</v>
      </c>
      <c r="FA79" s="317">
        <f t="shared" si="55"/>
        <v>10</v>
      </c>
      <c r="FB79" s="317">
        <f t="shared" si="56"/>
        <v>10</v>
      </c>
      <c r="FC79" s="317">
        <f t="shared" si="57"/>
        <v>10</v>
      </c>
      <c r="FD79" s="317">
        <f t="shared" si="58"/>
        <v>10</v>
      </c>
      <c r="FE79" s="317">
        <f t="shared" si="59"/>
        <v>10</v>
      </c>
      <c r="FF79" s="317">
        <f t="shared" si="60"/>
        <v>10</v>
      </c>
      <c r="FG79" s="318">
        <f t="shared" si="63"/>
        <v>77</v>
      </c>
      <c r="FH79" s="319">
        <f t="shared" si="61"/>
        <v>125</v>
      </c>
      <c r="FI79" s="319">
        <f>SUM(I7:ER7)-SUM(ES79:FF79)</f>
        <v>3</v>
      </c>
      <c r="FJ79" s="319">
        <f t="shared" si="62"/>
        <v>128</v>
      </c>
      <c r="FK79" s="7"/>
    </row>
    <row r="80" spans="1:167" ht="15.75" customHeight="1">
      <c r="A80" s="2"/>
      <c r="B80" s="3">
        <f t="shared" si="45"/>
        <v>1</v>
      </c>
      <c r="C80" s="182">
        <f t="shared" si="46"/>
        <v>21</v>
      </c>
      <c r="D80" s="185" t="s">
        <v>121</v>
      </c>
      <c r="E80" s="203"/>
      <c r="F80" s="203">
        <v>16</v>
      </c>
      <c r="G80" s="571">
        <v>45915</v>
      </c>
      <c r="H80" s="572"/>
      <c r="I80" s="212">
        <v>0</v>
      </c>
      <c r="J80" s="206">
        <v>0</v>
      </c>
      <c r="K80" s="206">
        <v>1</v>
      </c>
      <c r="L80" s="206">
        <v>1</v>
      </c>
      <c r="M80" s="206">
        <v>1</v>
      </c>
      <c r="N80" s="206">
        <v>1</v>
      </c>
      <c r="O80" s="206">
        <v>1</v>
      </c>
      <c r="P80" s="206">
        <v>1</v>
      </c>
      <c r="Q80" s="206">
        <v>1</v>
      </c>
      <c r="R80" s="213">
        <v>1</v>
      </c>
      <c r="S80" s="223">
        <v>1</v>
      </c>
      <c r="T80" s="224">
        <v>1</v>
      </c>
      <c r="U80" s="224">
        <v>1</v>
      </c>
      <c r="V80" s="224">
        <v>1</v>
      </c>
      <c r="W80" s="224">
        <v>1</v>
      </c>
      <c r="X80" s="224">
        <v>1</v>
      </c>
      <c r="Y80" s="244">
        <v>1</v>
      </c>
      <c r="Z80" s="245">
        <v>1</v>
      </c>
      <c r="AA80" s="246">
        <v>1</v>
      </c>
      <c r="AB80" s="225">
        <v>1</v>
      </c>
      <c r="AC80" s="262">
        <v>1</v>
      </c>
      <c r="AD80" s="177">
        <v>1</v>
      </c>
      <c r="AE80" s="177">
        <v>1</v>
      </c>
      <c r="AF80" s="177">
        <v>1</v>
      </c>
      <c r="AG80" s="582"/>
      <c r="AH80" s="583"/>
      <c r="AI80" s="177">
        <v>1</v>
      </c>
      <c r="AJ80" s="177">
        <v>1</v>
      </c>
      <c r="AK80" s="177">
        <v>1</v>
      </c>
      <c r="AL80" s="263">
        <v>1</v>
      </c>
      <c r="AM80" s="235">
        <v>1</v>
      </c>
      <c r="AN80" s="271">
        <v>1</v>
      </c>
      <c r="AO80" s="236">
        <v>1</v>
      </c>
      <c r="AP80" s="236">
        <v>1</v>
      </c>
      <c r="AQ80" s="236">
        <v>1</v>
      </c>
      <c r="AR80" s="236">
        <v>1</v>
      </c>
      <c r="AS80" s="236">
        <v>1</v>
      </c>
      <c r="AT80" s="236">
        <v>1</v>
      </c>
      <c r="AU80" s="236">
        <v>1</v>
      </c>
      <c r="AV80" s="272">
        <v>1</v>
      </c>
      <c r="AW80" s="277">
        <v>1</v>
      </c>
      <c r="AX80" s="278">
        <v>1</v>
      </c>
      <c r="AY80" s="278">
        <v>1</v>
      </c>
      <c r="AZ80" s="127">
        <v>1</v>
      </c>
      <c r="BA80" s="278">
        <v>1</v>
      </c>
      <c r="BB80" s="278">
        <v>1</v>
      </c>
      <c r="BC80" s="278">
        <v>1</v>
      </c>
      <c r="BD80" s="127">
        <v>1</v>
      </c>
      <c r="BE80" s="278">
        <v>1</v>
      </c>
      <c r="BF80" s="280">
        <v>1</v>
      </c>
      <c r="BG80" s="212">
        <v>1</v>
      </c>
      <c r="BH80" s="206">
        <v>1</v>
      </c>
      <c r="BI80" s="206">
        <v>1</v>
      </c>
      <c r="BJ80" s="206">
        <v>1</v>
      </c>
      <c r="BK80" s="206">
        <v>1</v>
      </c>
      <c r="BL80" s="206">
        <v>1</v>
      </c>
      <c r="BM80" s="207">
        <v>1</v>
      </c>
      <c r="BN80" s="207">
        <v>1</v>
      </c>
      <c r="BO80" s="207">
        <v>1</v>
      </c>
      <c r="BP80" s="215">
        <v>1</v>
      </c>
      <c r="BQ80" s="226">
        <v>1</v>
      </c>
      <c r="BR80" s="227">
        <v>1</v>
      </c>
      <c r="BS80" s="227">
        <v>1</v>
      </c>
      <c r="BT80" s="227">
        <v>1</v>
      </c>
      <c r="BU80" s="227">
        <v>1</v>
      </c>
      <c r="BV80" s="227">
        <v>1</v>
      </c>
      <c r="BW80" s="227">
        <v>1</v>
      </c>
      <c r="BX80" s="227">
        <v>1</v>
      </c>
      <c r="BY80" s="227">
        <v>1</v>
      </c>
      <c r="BZ80" s="228">
        <v>1</v>
      </c>
      <c r="CA80" s="537"/>
      <c r="CB80" s="538"/>
      <c r="CC80" s="538"/>
      <c r="CD80" s="538"/>
      <c r="CE80" s="538"/>
      <c r="CF80" s="538"/>
      <c r="CG80" s="538"/>
      <c r="CH80" s="538"/>
      <c r="CI80" s="538"/>
      <c r="CJ80" s="538"/>
      <c r="CK80" s="237">
        <v>1</v>
      </c>
      <c r="CL80" s="238">
        <v>1</v>
      </c>
      <c r="CM80" s="238">
        <v>1</v>
      </c>
      <c r="CN80" s="238">
        <v>1</v>
      </c>
      <c r="CO80" s="238">
        <v>1</v>
      </c>
      <c r="CP80" s="238">
        <v>1</v>
      </c>
      <c r="CQ80" s="238">
        <v>1</v>
      </c>
      <c r="CR80" s="238">
        <v>1</v>
      </c>
      <c r="CS80" s="238">
        <v>1</v>
      </c>
      <c r="CT80" s="273">
        <v>1</v>
      </c>
      <c r="CU80" s="295">
        <v>1</v>
      </c>
      <c r="CV80" s="296">
        <v>1</v>
      </c>
      <c r="CW80" s="296">
        <v>1</v>
      </c>
      <c r="CX80" s="296">
        <v>1</v>
      </c>
      <c r="CY80" s="296">
        <v>1</v>
      </c>
      <c r="CZ80" s="296">
        <v>1</v>
      </c>
      <c r="DA80" s="296">
        <v>1</v>
      </c>
      <c r="DB80" s="296">
        <v>1</v>
      </c>
      <c r="DC80" s="297">
        <v>1</v>
      </c>
      <c r="DD80" s="298">
        <v>1</v>
      </c>
      <c r="DE80" s="214">
        <v>1</v>
      </c>
      <c r="DF80" s="207">
        <v>1</v>
      </c>
      <c r="DG80" s="207">
        <v>1</v>
      </c>
      <c r="DH80" s="207">
        <v>1</v>
      </c>
      <c r="DI80" s="207">
        <v>1</v>
      </c>
      <c r="DJ80" s="207">
        <v>1</v>
      </c>
      <c r="DK80" s="207">
        <v>1</v>
      </c>
      <c r="DL80" s="207">
        <v>1</v>
      </c>
      <c r="DM80" s="207">
        <v>1</v>
      </c>
      <c r="DN80" s="215">
        <v>1</v>
      </c>
      <c r="DO80" s="226">
        <v>1</v>
      </c>
      <c r="DP80" s="227">
        <v>1</v>
      </c>
      <c r="DQ80" s="227">
        <v>1</v>
      </c>
      <c r="DR80" s="227">
        <v>1</v>
      </c>
      <c r="DS80" s="227">
        <v>1</v>
      </c>
      <c r="DT80" s="227">
        <v>1</v>
      </c>
      <c r="DU80" s="227">
        <v>1</v>
      </c>
      <c r="DV80" s="227">
        <v>1</v>
      </c>
      <c r="DW80" s="227">
        <v>1</v>
      </c>
      <c r="DX80" s="228">
        <v>1</v>
      </c>
      <c r="DY80" s="90">
        <v>1</v>
      </c>
      <c r="DZ80" s="91">
        <v>1</v>
      </c>
      <c r="EA80" s="91">
        <v>1</v>
      </c>
      <c r="EB80" s="91">
        <v>1</v>
      </c>
      <c r="EC80" s="91">
        <v>1</v>
      </c>
      <c r="ED80" s="91">
        <v>1</v>
      </c>
      <c r="EE80" s="91">
        <v>1</v>
      </c>
      <c r="EF80" s="91">
        <v>1</v>
      </c>
      <c r="EG80" s="91">
        <v>1</v>
      </c>
      <c r="EH80" s="92">
        <v>1</v>
      </c>
      <c r="EI80" s="237">
        <v>1</v>
      </c>
      <c r="EJ80" s="238">
        <v>1</v>
      </c>
      <c r="EK80" s="238">
        <v>1</v>
      </c>
      <c r="EL80" s="238">
        <v>1</v>
      </c>
      <c r="EM80" s="238">
        <v>1</v>
      </c>
      <c r="EN80" s="238">
        <v>1</v>
      </c>
      <c r="EO80" s="238">
        <v>1</v>
      </c>
      <c r="EP80" s="238">
        <v>1</v>
      </c>
      <c r="EQ80" s="238">
        <v>1</v>
      </c>
      <c r="ER80" s="273">
        <v>1</v>
      </c>
      <c r="ES80" s="316">
        <f t="shared" si="47"/>
        <v>8</v>
      </c>
      <c r="ET80" s="317">
        <f t="shared" si="48"/>
        <v>10</v>
      </c>
      <c r="EU80" s="317">
        <f t="shared" si="49"/>
        <v>8</v>
      </c>
      <c r="EV80" s="317">
        <f t="shared" si="50"/>
        <v>10</v>
      </c>
      <c r="EW80" s="317">
        <f t="shared" si="51"/>
        <v>9</v>
      </c>
      <c r="EX80" s="317">
        <f t="shared" si="52"/>
        <v>10</v>
      </c>
      <c r="EY80" s="317">
        <f t="shared" si="53"/>
        <v>10</v>
      </c>
      <c r="EZ80" s="317">
        <f t="shared" si="54"/>
        <v>0</v>
      </c>
      <c r="FA80" s="317">
        <f t="shared" si="55"/>
        <v>10</v>
      </c>
      <c r="FB80" s="317">
        <f t="shared" si="56"/>
        <v>10</v>
      </c>
      <c r="FC80" s="317">
        <f t="shared" si="57"/>
        <v>10</v>
      </c>
      <c r="FD80" s="317">
        <f t="shared" si="58"/>
        <v>10</v>
      </c>
      <c r="FE80" s="317">
        <f t="shared" si="59"/>
        <v>10</v>
      </c>
      <c r="FF80" s="317">
        <f t="shared" si="60"/>
        <v>10</v>
      </c>
      <c r="FG80" s="318">
        <f t="shared" si="63"/>
        <v>78</v>
      </c>
      <c r="FH80" s="319">
        <f t="shared" si="61"/>
        <v>125</v>
      </c>
      <c r="FI80" s="319">
        <f>SUM(I7:ER7)-SUM(ES80:FF80)</f>
        <v>3</v>
      </c>
      <c r="FJ80" s="319">
        <f t="shared" si="62"/>
        <v>128</v>
      </c>
      <c r="FK80" s="7"/>
    </row>
    <row r="81" spans="1:167" ht="15.75" customHeight="1">
      <c r="A81" s="2"/>
      <c r="B81" s="3">
        <f t="shared" si="45"/>
        <v>1</v>
      </c>
      <c r="C81" s="182">
        <f t="shared" si="46"/>
        <v>22</v>
      </c>
      <c r="D81" s="185" t="s">
        <v>122</v>
      </c>
      <c r="E81" s="203"/>
      <c r="F81" s="203"/>
      <c r="G81" s="571">
        <v>45915</v>
      </c>
      <c r="H81" s="572"/>
      <c r="I81" s="212">
        <v>0</v>
      </c>
      <c r="J81" s="206">
        <v>0</v>
      </c>
      <c r="K81" s="206">
        <v>0</v>
      </c>
      <c r="L81" s="206">
        <v>0</v>
      </c>
      <c r="M81" s="206">
        <v>0</v>
      </c>
      <c r="N81" s="206">
        <v>0</v>
      </c>
      <c r="O81" s="206">
        <v>0</v>
      </c>
      <c r="P81" s="206">
        <v>0</v>
      </c>
      <c r="Q81" s="206">
        <v>0</v>
      </c>
      <c r="R81" s="213">
        <v>0</v>
      </c>
      <c r="S81" s="223">
        <v>1</v>
      </c>
      <c r="T81" s="224">
        <v>1</v>
      </c>
      <c r="U81" s="224">
        <v>1</v>
      </c>
      <c r="V81" s="224">
        <v>1</v>
      </c>
      <c r="W81" s="224">
        <v>1</v>
      </c>
      <c r="X81" s="224">
        <v>1</v>
      </c>
      <c r="Y81" s="244">
        <v>1</v>
      </c>
      <c r="Z81" s="245">
        <v>1</v>
      </c>
      <c r="AA81" s="246">
        <v>1</v>
      </c>
      <c r="AB81" s="225">
        <v>1</v>
      </c>
      <c r="AC81" s="262">
        <v>1</v>
      </c>
      <c r="AD81" s="177">
        <v>1</v>
      </c>
      <c r="AE81" s="177">
        <v>1</v>
      </c>
      <c r="AF81" s="177">
        <v>1</v>
      </c>
      <c r="AG81" s="582"/>
      <c r="AH81" s="583"/>
      <c r="AI81" s="177">
        <v>1</v>
      </c>
      <c r="AJ81" s="177">
        <v>1</v>
      </c>
      <c r="AK81" s="177">
        <v>1</v>
      </c>
      <c r="AL81" s="263">
        <v>1</v>
      </c>
      <c r="AM81" s="235">
        <v>1</v>
      </c>
      <c r="AN81" s="271">
        <v>1</v>
      </c>
      <c r="AO81" s="236">
        <v>1</v>
      </c>
      <c r="AP81" s="236">
        <v>1</v>
      </c>
      <c r="AQ81" s="236">
        <v>1</v>
      </c>
      <c r="AR81" s="236">
        <v>1</v>
      </c>
      <c r="AS81" s="236">
        <v>1</v>
      </c>
      <c r="AT81" s="236">
        <v>1</v>
      </c>
      <c r="AU81" s="236">
        <v>1</v>
      </c>
      <c r="AV81" s="272">
        <v>1</v>
      </c>
      <c r="AW81" s="277">
        <v>1</v>
      </c>
      <c r="AX81" s="278">
        <v>1</v>
      </c>
      <c r="AY81" s="278">
        <v>1</v>
      </c>
      <c r="AZ81" s="127">
        <v>1</v>
      </c>
      <c r="BA81" s="278">
        <v>1</v>
      </c>
      <c r="BB81" s="278">
        <v>1</v>
      </c>
      <c r="BC81" s="278">
        <v>1</v>
      </c>
      <c r="BD81" s="127">
        <v>1</v>
      </c>
      <c r="BE81" s="278">
        <v>1</v>
      </c>
      <c r="BF81" s="280">
        <v>1</v>
      </c>
      <c r="BG81" s="212">
        <v>1</v>
      </c>
      <c r="BH81" s="206">
        <v>1</v>
      </c>
      <c r="BI81" s="206">
        <v>0</v>
      </c>
      <c r="BJ81" s="206">
        <v>0</v>
      </c>
      <c r="BK81" s="206">
        <v>0</v>
      </c>
      <c r="BL81" s="206">
        <v>0</v>
      </c>
      <c r="BM81" s="207">
        <v>0</v>
      </c>
      <c r="BN81" s="207">
        <v>0</v>
      </c>
      <c r="BO81" s="207">
        <v>1</v>
      </c>
      <c r="BP81" s="215">
        <v>1</v>
      </c>
      <c r="BQ81" s="226">
        <v>1</v>
      </c>
      <c r="BR81" s="227">
        <v>1</v>
      </c>
      <c r="BS81" s="227">
        <v>1</v>
      </c>
      <c r="BT81" s="227">
        <v>1</v>
      </c>
      <c r="BU81" s="227">
        <v>1</v>
      </c>
      <c r="BV81" s="227">
        <v>1</v>
      </c>
      <c r="BW81" s="227">
        <v>1</v>
      </c>
      <c r="BX81" s="227">
        <v>1</v>
      </c>
      <c r="BY81" s="227">
        <v>0</v>
      </c>
      <c r="BZ81" s="228">
        <v>0</v>
      </c>
      <c r="CA81" s="537"/>
      <c r="CB81" s="538"/>
      <c r="CC81" s="538"/>
      <c r="CD81" s="538"/>
      <c r="CE81" s="538"/>
      <c r="CF81" s="538"/>
      <c r="CG81" s="538"/>
      <c r="CH81" s="538"/>
      <c r="CI81" s="538"/>
      <c r="CJ81" s="538"/>
      <c r="CK81" s="237">
        <v>1</v>
      </c>
      <c r="CL81" s="238">
        <v>1</v>
      </c>
      <c r="CM81" s="238">
        <v>1</v>
      </c>
      <c r="CN81" s="238">
        <v>1</v>
      </c>
      <c r="CO81" s="238">
        <v>1</v>
      </c>
      <c r="CP81" s="238">
        <v>1</v>
      </c>
      <c r="CQ81" s="238">
        <v>0</v>
      </c>
      <c r="CR81" s="238">
        <v>0</v>
      </c>
      <c r="CS81" s="238">
        <v>0</v>
      </c>
      <c r="CT81" s="273">
        <v>0</v>
      </c>
      <c r="CU81" s="295">
        <v>1</v>
      </c>
      <c r="CV81" s="296">
        <v>1</v>
      </c>
      <c r="CW81" s="296">
        <v>1</v>
      </c>
      <c r="CX81" s="296">
        <v>1</v>
      </c>
      <c r="CY81" s="296">
        <v>0</v>
      </c>
      <c r="CZ81" s="296">
        <v>0</v>
      </c>
      <c r="DA81" s="296">
        <v>1</v>
      </c>
      <c r="DB81" s="296">
        <v>1</v>
      </c>
      <c r="DC81" s="297">
        <v>1</v>
      </c>
      <c r="DD81" s="298">
        <v>1</v>
      </c>
      <c r="DE81" s="214">
        <v>1</v>
      </c>
      <c r="DF81" s="207">
        <v>1</v>
      </c>
      <c r="DG81" s="207">
        <v>1</v>
      </c>
      <c r="DH81" s="207">
        <v>1</v>
      </c>
      <c r="DI81" s="207">
        <v>1</v>
      </c>
      <c r="DJ81" s="207">
        <v>1</v>
      </c>
      <c r="DK81" s="207">
        <v>1</v>
      </c>
      <c r="DL81" s="207">
        <v>1</v>
      </c>
      <c r="DM81" s="207">
        <v>1</v>
      </c>
      <c r="DN81" s="215">
        <v>1</v>
      </c>
      <c r="DO81" s="226">
        <v>1</v>
      </c>
      <c r="DP81" s="227">
        <v>1</v>
      </c>
      <c r="DQ81" s="227">
        <v>1</v>
      </c>
      <c r="DR81" s="227">
        <v>1</v>
      </c>
      <c r="DS81" s="227">
        <v>1</v>
      </c>
      <c r="DT81" s="227">
        <v>1</v>
      </c>
      <c r="DU81" s="227">
        <v>1</v>
      </c>
      <c r="DV81" s="227">
        <v>1</v>
      </c>
      <c r="DW81" s="227">
        <v>1</v>
      </c>
      <c r="DX81" s="228">
        <v>1</v>
      </c>
      <c r="DY81" s="90">
        <v>1</v>
      </c>
      <c r="DZ81" s="91">
        <v>1</v>
      </c>
      <c r="EA81" s="91">
        <v>1</v>
      </c>
      <c r="EB81" s="91">
        <v>1</v>
      </c>
      <c r="EC81" s="91">
        <v>1</v>
      </c>
      <c r="ED81" s="91">
        <v>1</v>
      </c>
      <c r="EE81" s="91">
        <v>1</v>
      </c>
      <c r="EF81" s="91">
        <v>1</v>
      </c>
      <c r="EG81" s="91">
        <v>1</v>
      </c>
      <c r="EH81" s="92">
        <v>1</v>
      </c>
      <c r="EI81" s="237">
        <v>1</v>
      </c>
      <c r="EJ81" s="238">
        <v>1</v>
      </c>
      <c r="EK81" s="238">
        <v>1</v>
      </c>
      <c r="EL81" s="238">
        <v>1</v>
      </c>
      <c r="EM81" s="238">
        <v>1</v>
      </c>
      <c r="EN81" s="238">
        <v>1</v>
      </c>
      <c r="EO81" s="238">
        <v>1</v>
      </c>
      <c r="EP81" s="238">
        <v>1</v>
      </c>
      <c r="EQ81" s="238">
        <v>1</v>
      </c>
      <c r="ER81" s="273">
        <v>1</v>
      </c>
      <c r="ES81" s="316">
        <f t="shared" si="47"/>
        <v>0</v>
      </c>
      <c r="ET81" s="317">
        <f t="shared" si="48"/>
        <v>10</v>
      </c>
      <c r="EU81" s="317">
        <f t="shared" si="49"/>
        <v>8</v>
      </c>
      <c r="EV81" s="317">
        <f t="shared" si="50"/>
        <v>10</v>
      </c>
      <c r="EW81" s="317">
        <f t="shared" si="51"/>
        <v>9</v>
      </c>
      <c r="EX81" s="317">
        <f t="shared" si="52"/>
        <v>4</v>
      </c>
      <c r="EY81" s="317">
        <f t="shared" si="53"/>
        <v>8</v>
      </c>
      <c r="EZ81" s="317">
        <f t="shared" si="54"/>
        <v>0</v>
      </c>
      <c r="FA81" s="317">
        <f t="shared" si="55"/>
        <v>6</v>
      </c>
      <c r="FB81" s="317">
        <f t="shared" si="56"/>
        <v>8</v>
      </c>
      <c r="FC81" s="317">
        <f t="shared" si="57"/>
        <v>10</v>
      </c>
      <c r="FD81" s="317">
        <f t="shared" si="58"/>
        <v>10</v>
      </c>
      <c r="FE81" s="317">
        <f t="shared" si="59"/>
        <v>10</v>
      </c>
      <c r="FF81" s="317">
        <f t="shared" si="60"/>
        <v>10</v>
      </c>
      <c r="FG81" s="318">
        <f t="shared" si="63"/>
        <v>79</v>
      </c>
      <c r="FH81" s="319">
        <f t="shared" si="61"/>
        <v>103</v>
      </c>
      <c r="FI81" s="319">
        <f>SUM(I7:ER7)-SUM(ES81:FF81)</f>
        <v>25</v>
      </c>
      <c r="FJ81" s="319">
        <f t="shared" si="62"/>
        <v>128</v>
      </c>
      <c r="FK81" s="7"/>
    </row>
    <row r="82" spans="1:167" ht="15.75" customHeight="1">
      <c r="A82" s="2"/>
      <c r="B82" s="3">
        <f t="shared" si="45"/>
        <v>1</v>
      </c>
      <c r="C82" s="182">
        <f t="shared" si="46"/>
        <v>23</v>
      </c>
      <c r="D82" s="185" t="s">
        <v>123</v>
      </c>
      <c r="E82" s="203"/>
      <c r="F82" s="203">
        <v>16</v>
      </c>
      <c r="G82" s="571">
        <v>45915</v>
      </c>
      <c r="H82" s="572"/>
      <c r="I82" s="212">
        <v>0</v>
      </c>
      <c r="J82" s="206">
        <v>0</v>
      </c>
      <c r="K82" s="206">
        <v>1</v>
      </c>
      <c r="L82" s="206">
        <v>1</v>
      </c>
      <c r="M82" s="206">
        <v>1</v>
      </c>
      <c r="N82" s="206">
        <v>1</v>
      </c>
      <c r="O82" s="206">
        <v>1</v>
      </c>
      <c r="P82" s="206">
        <v>1</v>
      </c>
      <c r="Q82" s="206">
        <v>1</v>
      </c>
      <c r="R82" s="213">
        <v>1</v>
      </c>
      <c r="S82" s="223">
        <v>1</v>
      </c>
      <c r="T82" s="224">
        <v>1</v>
      </c>
      <c r="U82" s="224">
        <v>1</v>
      </c>
      <c r="V82" s="224">
        <v>1</v>
      </c>
      <c r="W82" s="224">
        <v>1</v>
      </c>
      <c r="X82" s="224">
        <v>1</v>
      </c>
      <c r="Y82" s="244">
        <v>1</v>
      </c>
      <c r="Z82" s="245">
        <v>1</v>
      </c>
      <c r="AA82" s="246">
        <v>1</v>
      </c>
      <c r="AB82" s="225">
        <v>1</v>
      </c>
      <c r="AC82" s="262">
        <v>1</v>
      </c>
      <c r="AD82" s="177">
        <v>1</v>
      </c>
      <c r="AE82" s="177">
        <v>1</v>
      </c>
      <c r="AF82" s="177">
        <v>1</v>
      </c>
      <c r="AG82" s="582"/>
      <c r="AH82" s="583"/>
      <c r="AI82" s="177">
        <v>1</v>
      </c>
      <c r="AJ82" s="177">
        <v>1</v>
      </c>
      <c r="AK82" s="177">
        <v>1</v>
      </c>
      <c r="AL82" s="263">
        <v>1</v>
      </c>
      <c r="AM82" s="235">
        <v>1</v>
      </c>
      <c r="AN82" s="271">
        <v>1</v>
      </c>
      <c r="AO82" s="236">
        <v>1</v>
      </c>
      <c r="AP82" s="236">
        <v>1</v>
      </c>
      <c r="AQ82" s="236">
        <v>1</v>
      </c>
      <c r="AR82" s="236">
        <v>1</v>
      </c>
      <c r="AS82" s="236">
        <v>1</v>
      </c>
      <c r="AT82" s="236">
        <v>1</v>
      </c>
      <c r="AU82" s="236">
        <v>1</v>
      </c>
      <c r="AV82" s="272">
        <v>1</v>
      </c>
      <c r="AW82" s="277">
        <v>1</v>
      </c>
      <c r="AX82" s="278">
        <v>1</v>
      </c>
      <c r="AY82" s="278">
        <v>1</v>
      </c>
      <c r="AZ82" s="127">
        <v>1</v>
      </c>
      <c r="BA82" s="278">
        <v>1</v>
      </c>
      <c r="BB82" s="278">
        <v>1</v>
      </c>
      <c r="BC82" s="278">
        <v>1</v>
      </c>
      <c r="BD82" s="127">
        <v>1</v>
      </c>
      <c r="BE82" s="278">
        <v>1</v>
      </c>
      <c r="BF82" s="280">
        <v>1</v>
      </c>
      <c r="BG82" s="212">
        <v>1</v>
      </c>
      <c r="BH82" s="206">
        <v>1</v>
      </c>
      <c r="BI82" s="206">
        <v>1</v>
      </c>
      <c r="BJ82" s="206">
        <v>1</v>
      </c>
      <c r="BK82" s="206">
        <v>1</v>
      </c>
      <c r="BL82" s="206">
        <v>1</v>
      </c>
      <c r="BM82" s="207">
        <v>1</v>
      </c>
      <c r="BN82" s="207">
        <v>1</v>
      </c>
      <c r="BO82" s="207">
        <v>1</v>
      </c>
      <c r="BP82" s="215">
        <v>1</v>
      </c>
      <c r="BQ82" s="226">
        <v>1</v>
      </c>
      <c r="BR82" s="227">
        <v>1</v>
      </c>
      <c r="BS82" s="227">
        <v>1</v>
      </c>
      <c r="BT82" s="227">
        <v>1</v>
      </c>
      <c r="BU82" s="227">
        <v>1</v>
      </c>
      <c r="BV82" s="227">
        <v>1</v>
      </c>
      <c r="BW82" s="227">
        <v>1</v>
      </c>
      <c r="BX82" s="227">
        <v>1</v>
      </c>
      <c r="BY82" s="227">
        <v>1</v>
      </c>
      <c r="BZ82" s="228">
        <v>1</v>
      </c>
      <c r="CA82" s="537"/>
      <c r="CB82" s="538"/>
      <c r="CC82" s="538"/>
      <c r="CD82" s="538"/>
      <c r="CE82" s="538"/>
      <c r="CF82" s="538"/>
      <c r="CG82" s="538"/>
      <c r="CH82" s="538"/>
      <c r="CI82" s="538"/>
      <c r="CJ82" s="538"/>
      <c r="CK82" s="237">
        <v>1</v>
      </c>
      <c r="CL82" s="238">
        <v>1</v>
      </c>
      <c r="CM82" s="238">
        <v>1</v>
      </c>
      <c r="CN82" s="238">
        <v>1</v>
      </c>
      <c r="CO82" s="238">
        <v>1</v>
      </c>
      <c r="CP82" s="238">
        <v>1</v>
      </c>
      <c r="CQ82" s="238">
        <v>1</v>
      </c>
      <c r="CR82" s="238">
        <v>1</v>
      </c>
      <c r="CS82" s="238">
        <v>1</v>
      </c>
      <c r="CT82" s="273">
        <v>1</v>
      </c>
      <c r="CU82" s="295">
        <v>1</v>
      </c>
      <c r="CV82" s="296">
        <v>1</v>
      </c>
      <c r="CW82" s="296">
        <v>1</v>
      </c>
      <c r="CX82" s="296">
        <v>1</v>
      </c>
      <c r="CY82" s="296">
        <v>1</v>
      </c>
      <c r="CZ82" s="296">
        <v>1</v>
      </c>
      <c r="DA82" s="296">
        <v>1</v>
      </c>
      <c r="DB82" s="296">
        <v>1</v>
      </c>
      <c r="DC82" s="297">
        <v>1</v>
      </c>
      <c r="DD82" s="298">
        <v>1</v>
      </c>
      <c r="DE82" s="214">
        <v>1</v>
      </c>
      <c r="DF82" s="207">
        <v>1</v>
      </c>
      <c r="DG82" s="207">
        <v>1</v>
      </c>
      <c r="DH82" s="207">
        <v>1</v>
      </c>
      <c r="DI82" s="207">
        <v>1</v>
      </c>
      <c r="DJ82" s="207">
        <v>1</v>
      </c>
      <c r="DK82" s="207">
        <v>1</v>
      </c>
      <c r="DL82" s="207">
        <v>1</v>
      </c>
      <c r="DM82" s="207">
        <v>1</v>
      </c>
      <c r="DN82" s="215">
        <v>1</v>
      </c>
      <c r="DO82" s="226">
        <v>1</v>
      </c>
      <c r="DP82" s="227">
        <v>1</v>
      </c>
      <c r="DQ82" s="227">
        <v>1</v>
      </c>
      <c r="DR82" s="227">
        <v>1</v>
      </c>
      <c r="DS82" s="227">
        <v>1</v>
      </c>
      <c r="DT82" s="227">
        <v>1</v>
      </c>
      <c r="DU82" s="227">
        <v>1</v>
      </c>
      <c r="DV82" s="227">
        <v>1</v>
      </c>
      <c r="DW82" s="227">
        <v>1</v>
      </c>
      <c r="DX82" s="228">
        <v>1</v>
      </c>
      <c r="DY82" s="90">
        <v>1</v>
      </c>
      <c r="DZ82" s="91">
        <v>1</v>
      </c>
      <c r="EA82" s="91">
        <v>1</v>
      </c>
      <c r="EB82" s="91">
        <v>1</v>
      </c>
      <c r="EC82" s="91">
        <v>1</v>
      </c>
      <c r="ED82" s="91">
        <v>1</v>
      </c>
      <c r="EE82" s="91">
        <v>1</v>
      </c>
      <c r="EF82" s="91">
        <v>1</v>
      </c>
      <c r="EG82" s="91">
        <v>1</v>
      </c>
      <c r="EH82" s="92">
        <v>1</v>
      </c>
      <c r="EI82" s="237">
        <v>1</v>
      </c>
      <c r="EJ82" s="238">
        <v>1</v>
      </c>
      <c r="EK82" s="238">
        <v>1</v>
      </c>
      <c r="EL82" s="238">
        <v>1</v>
      </c>
      <c r="EM82" s="238">
        <v>1</v>
      </c>
      <c r="EN82" s="238">
        <v>1</v>
      </c>
      <c r="EO82" s="238">
        <v>1</v>
      </c>
      <c r="EP82" s="238">
        <v>1</v>
      </c>
      <c r="EQ82" s="238">
        <v>1</v>
      </c>
      <c r="ER82" s="273">
        <v>1</v>
      </c>
      <c r="ES82" s="316">
        <f t="shared" si="47"/>
        <v>8</v>
      </c>
      <c r="ET82" s="317">
        <f t="shared" si="48"/>
        <v>10</v>
      </c>
      <c r="EU82" s="317">
        <f t="shared" si="49"/>
        <v>8</v>
      </c>
      <c r="EV82" s="317">
        <f t="shared" si="50"/>
        <v>10</v>
      </c>
      <c r="EW82" s="317">
        <f t="shared" si="51"/>
        <v>9</v>
      </c>
      <c r="EX82" s="317">
        <f t="shared" si="52"/>
        <v>10</v>
      </c>
      <c r="EY82" s="317">
        <f t="shared" si="53"/>
        <v>10</v>
      </c>
      <c r="EZ82" s="317">
        <f t="shared" si="54"/>
        <v>0</v>
      </c>
      <c r="FA82" s="317">
        <f t="shared" si="55"/>
        <v>10</v>
      </c>
      <c r="FB82" s="317">
        <f t="shared" si="56"/>
        <v>10</v>
      </c>
      <c r="FC82" s="317">
        <f t="shared" si="57"/>
        <v>10</v>
      </c>
      <c r="FD82" s="317">
        <f t="shared" si="58"/>
        <v>10</v>
      </c>
      <c r="FE82" s="317">
        <f t="shared" si="59"/>
        <v>10</v>
      </c>
      <c r="FF82" s="317">
        <f t="shared" si="60"/>
        <v>10</v>
      </c>
      <c r="FG82" s="318">
        <f t="shared" si="63"/>
        <v>80</v>
      </c>
      <c r="FH82" s="319">
        <f t="shared" si="61"/>
        <v>125</v>
      </c>
      <c r="FI82" s="319">
        <f>SUM(I7:ER7)-SUM(ES82:FF82)</f>
        <v>3</v>
      </c>
      <c r="FJ82" s="319">
        <f t="shared" si="62"/>
        <v>128</v>
      </c>
      <c r="FK82" s="7"/>
    </row>
    <row r="83" spans="1:167" ht="15.75" customHeight="1">
      <c r="A83" s="2"/>
      <c r="B83" s="3">
        <f t="shared" si="45"/>
        <v>1</v>
      </c>
      <c r="C83" s="182">
        <f t="shared" si="46"/>
        <v>24</v>
      </c>
      <c r="D83" s="185" t="s">
        <v>124</v>
      </c>
      <c r="E83" s="203"/>
      <c r="F83" s="203">
        <v>17</v>
      </c>
      <c r="G83" s="571">
        <v>45915</v>
      </c>
      <c r="H83" s="572"/>
      <c r="I83" s="212">
        <v>0</v>
      </c>
      <c r="J83" s="206">
        <v>0</v>
      </c>
      <c r="K83" s="206">
        <v>0</v>
      </c>
      <c r="L83" s="206">
        <v>0</v>
      </c>
      <c r="M83" s="206">
        <v>1</v>
      </c>
      <c r="N83" s="206">
        <v>1</v>
      </c>
      <c r="O83" s="206">
        <v>1</v>
      </c>
      <c r="P83" s="206">
        <v>1</v>
      </c>
      <c r="Q83" s="206">
        <v>1</v>
      </c>
      <c r="R83" s="213">
        <v>1</v>
      </c>
      <c r="S83" s="223">
        <v>1</v>
      </c>
      <c r="T83" s="224">
        <v>1</v>
      </c>
      <c r="U83" s="224">
        <v>1</v>
      </c>
      <c r="V83" s="224">
        <v>1</v>
      </c>
      <c r="W83" s="224">
        <v>1</v>
      </c>
      <c r="X83" s="224">
        <v>1</v>
      </c>
      <c r="Y83" s="244">
        <v>1</v>
      </c>
      <c r="Z83" s="245">
        <v>1</v>
      </c>
      <c r="AA83" s="246">
        <v>1</v>
      </c>
      <c r="AB83" s="225">
        <v>1</v>
      </c>
      <c r="AC83" s="262">
        <v>1</v>
      </c>
      <c r="AD83" s="177">
        <v>1</v>
      </c>
      <c r="AE83" s="177">
        <v>1</v>
      </c>
      <c r="AF83" s="177">
        <v>1</v>
      </c>
      <c r="AG83" s="582"/>
      <c r="AH83" s="583"/>
      <c r="AI83" s="177">
        <v>1</v>
      </c>
      <c r="AJ83" s="177">
        <v>1</v>
      </c>
      <c r="AK83" s="177">
        <v>1</v>
      </c>
      <c r="AL83" s="263">
        <v>1</v>
      </c>
      <c r="AM83" s="235">
        <v>1</v>
      </c>
      <c r="AN83" s="271">
        <v>1</v>
      </c>
      <c r="AO83" s="236">
        <v>1</v>
      </c>
      <c r="AP83" s="236">
        <v>1</v>
      </c>
      <c r="AQ83" s="236">
        <v>1</v>
      </c>
      <c r="AR83" s="236">
        <v>1</v>
      </c>
      <c r="AS83" s="236">
        <v>1</v>
      </c>
      <c r="AT83" s="236">
        <v>1</v>
      </c>
      <c r="AU83" s="236">
        <v>1</v>
      </c>
      <c r="AV83" s="272">
        <v>1</v>
      </c>
      <c r="AW83" s="277">
        <v>1</v>
      </c>
      <c r="AX83" s="278">
        <v>1</v>
      </c>
      <c r="AY83" s="278">
        <v>1</v>
      </c>
      <c r="AZ83" s="127">
        <v>1</v>
      </c>
      <c r="BA83" s="278">
        <v>1</v>
      </c>
      <c r="BB83" s="278">
        <v>1</v>
      </c>
      <c r="BC83" s="278">
        <v>1</v>
      </c>
      <c r="BD83" s="127">
        <v>1</v>
      </c>
      <c r="BE83" s="278">
        <v>1</v>
      </c>
      <c r="BF83" s="280">
        <v>1</v>
      </c>
      <c r="BG83" s="212">
        <v>1</v>
      </c>
      <c r="BH83" s="206">
        <v>1</v>
      </c>
      <c r="BI83" s="206">
        <v>1</v>
      </c>
      <c r="BJ83" s="206">
        <v>1</v>
      </c>
      <c r="BK83" s="206">
        <v>1</v>
      </c>
      <c r="BL83" s="206">
        <v>1</v>
      </c>
      <c r="BM83" s="207">
        <v>1</v>
      </c>
      <c r="BN83" s="207">
        <v>1</v>
      </c>
      <c r="BO83" s="207">
        <v>1</v>
      </c>
      <c r="BP83" s="215">
        <v>1</v>
      </c>
      <c r="BQ83" s="226">
        <v>1</v>
      </c>
      <c r="BR83" s="227">
        <v>1</v>
      </c>
      <c r="BS83" s="227">
        <v>1</v>
      </c>
      <c r="BT83" s="227">
        <v>1</v>
      </c>
      <c r="BU83" s="227">
        <v>1</v>
      </c>
      <c r="BV83" s="227">
        <v>1</v>
      </c>
      <c r="BW83" s="227">
        <v>1</v>
      </c>
      <c r="BX83" s="227">
        <v>1</v>
      </c>
      <c r="BY83" s="227">
        <v>1</v>
      </c>
      <c r="BZ83" s="228">
        <v>1</v>
      </c>
      <c r="CA83" s="537"/>
      <c r="CB83" s="538"/>
      <c r="CC83" s="538"/>
      <c r="CD83" s="538"/>
      <c r="CE83" s="538"/>
      <c r="CF83" s="538"/>
      <c r="CG83" s="538"/>
      <c r="CH83" s="538"/>
      <c r="CI83" s="538"/>
      <c r="CJ83" s="538"/>
      <c r="CK83" s="237">
        <v>1</v>
      </c>
      <c r="CL83" s="238">
        <v>1</v>
      </c>
      <c r="CM83" s="238">
        <v>1</v>
      </c>
      <c r="CN83" s="238">
        <v>1</v>
      </c>
      <c r="CO83" s="238">
        <v>1</v>
      </c>
      <c r="CP83" s="238">
        <v>1</v>
      </c>
      <c r="CQ83" s="238">
        <v>1</v>
      </c>
      <c r="CR83" s="238">
        <v>1</v>
      </c>
      <c r="CS83" s="238">
        <v>1</v>
      </c>
      <c r="CT83" s="273">
        <v>1</v>
      </c>
      <c r="CU83" s="295">
        <v>1</v>
      </c>
      <c r="CV83" s="296">
        <v>1</v>
      </c>
      <c r="CW83" s="296">
        <v>1</v>
      </c>
      <c r="CX83" s="296">
        <v>1</v>
      </c>
      <c r="CY83" s="296">
        <v>1</v>
      </c>
      <c r="CZ83" s="296">
        <v>1</v>
      </c>
      <c r="DA83" s="296">
        <v>1</v>
      </c>
      <c r="DB83" s="296">
        <v>1</v>
      </c>
      <c r="DC83" s="297">
        <v>1</v>
      </c>
      <c r="DD83" s="298">
        <v>1</v>
      </c>
      <c r="DE83" s="214">
        <v>1</v>
      </c>
      <c r="DF83" s="207">
        <v>1</v>
      </c>
      <c r="DG83" s="207">
        <v>1</v>
      </c>
      <c r="DH83" s="207">
        <v>1</v>
      </c>
      <c r="DI83" s="207">
        <v>1</v>
      </c>
      <c r="DJ83" s="207">
        <v>1</v>
      </c>
      <c r="DK83" s="207">
        <v>1</v>
      </c>
      <c r="DL83" s="207">
        <v>1</v>
      </c>
      <c r="DM83" s="207">
        <v>1</v>
      </c>
      <c r="DN83" s="215">
        <v>1</v>
      </c>
      <c r="DO83" s="226">
        <v>1</v>
      </c>
      <c r="DP83" s="227">
        <v>1</v>
      </c>
      <c r="DQ83" s="227">
        <v>1</v>
      </c>
      <c r="DR83" s="227">
        <v>1</v>
      </c>
      <c r="DS83" s="227">
        <v>1</v>
      </c>
      <c r="DT83" s="227">
        <v>1</v>
      </c>
      <c r="DU83" s="227">
        <v>1</v>
      </c>
      <c r="DV83" s="227">
        <v>1</v>
      </c>
      <c r="DW83" s="227">
        <v>1</v>
      </c>
      <c r="DX83" s="228">
        <v>1</v>
      </c>
      <c r="DY83" s="90">
        <v>1</v>
      </c>
      <c r="DZ83" s="91">
        <v>1</v>
      </c>
      <c r="EA83" s="91">
        <v>1</v>
      </c>
      <c r="EB83" s="91">
        <v>1</v>
      </c>
      <c r="EC83" s="91">
        <v>1</v>
      </c>
      <c r="ED83" s="91">
        <v>1</v>
      </c>
      <c r="EE83" s="91">
        <v>1</v>
      </c>
      <c r="EF83" s="91">
        <v>1</v>
      </c>
      <c r="EG83" s="91">
        <v>1</v>
      </c>
      <c r="EH83" s="92">
        <v>1</v>
      </c>
      <c r="EI83" s="237">
        <v>1</v>
      </c>
      <c r="EJ83" s="238">
        <v>1</v>
      </c>
      <c r="EK83" s="238">
        <v>1</v>
      </c>
      <c r="EL83" s="238">
        <v>1</v>
      </c>
      <c r="EM83" s="238">
        <v>1</v>
      </c>
      <c r="EN83" s="238">
        <v>1</v>
      </c>
      <c r="EO83" s="238">
        <v>1</v>
      </c>
      <c r="EP83" s="238">
        <v>1</v>
      </c>
      <c r="EQ83" s="238">
        <v>1</v>
      </c>
      <c r="ER83" s="273">
        <v>1</v>
      </c>
      <c r="ES83" s="316">
        <f t="shared" si="47"/>
        <v>6</v>
      </c>
      <c r="ET83" s="317">
        <f t="shared" si="48"/>
        <v>10</v>
      </c>
      <c r="EU83" s="317">
        <f t="shared" si="49"/>
        <v>8</v>
      </c>
      <c r="EV83" s="317">
        <f t="shared" si="50"/>
        <v>10</v>
      </c>
      <c r="EW83" s="317">
        <f t="shared" si="51"/>
        <v>9</v>
      </c>
      <c r="EX83" s="317">
        <f t="shared" si="52"/>
        <v>10</v>
      </c>
      <c r="EY83" s="317">
        <f t="shared" si="53"/>
        <v>10</v>
      </c>
      <c r="EZ83" s="317">
        <f t="shared" si="54"/>
        <v>0</v>
      </c>
      <c r="FA83" s="317">
        <f t="shared" si="55"/>
        <v>10</v>
      </c>
      <c r="FB83" s="317">
        <f t="shared" si="56"/>
        <v>10</v>
      </c>
      <c r="FC83" s="317">
        <f t="shared" si="57"/>
        <v>10</v>
      </c>
      <c r="FD83" s="317">
        <f t="shared" si="58"/>
        <v>10</v>
      </c>
      <c r="FE83" s="317">
        <f t="shared" si="59"/>
        <v>10</v>
      </c>
      <c r="FF83" s="317">
        <f t="shared" si="60"/>
        <v>10</v>
      </c>
      <c r="FG83" s="318">
        <f t="shared" si="63"/>
        <v>81</v>
      </c>
      <c r="FH83" s="319">
        <f t="shared" si="61"/>
        <v>123</v>
      </c>
      <c r="FI83" s="319">
        <f>SUM(I7:ER7)-SUM(ES83:FF83)</f>
        <v>5</v>
      </c>
      <c r="FJ83" s="319">
        <f t="shared" si="62"/>
        <v>128</v>
      </c>
      <c r="FK83" s="7"/>
    </row>
    <row r="84" spans="1:167" ht="15.75" customHeight="1">
      <c r="A84" s="2"/>
      <c r="B84" s="3">
        <f t="shared" si="45"/>
        <v>1</v>
      </c>
      <c r="C84" s="182">
        <f t="shared" si="46"/>
        <v>25</v>
      </c>
      <c r="D84" s="185" t="s">
        <v>125</v>
      </c>
      <c r="E84" s="203"/>
      <c r="F84" s="203">
        <v>17</v>
      </c>
      <c r="G84" s="571">
        <v>45915</v>
      </c>
      <c r="H84" s="572"/>
      <c r="I84" s="212">
        <v>0</v>
      </c>
      <c r="J84" s="206">
        <v>0</v>
      </c>
      <c r="K84" s="206">
        <v>1</v>
      </c>
      <c r="L84" s="206">
        <v>1</v>
      </c>
      <c r="M84" s="206">
        <v>1</v>
      </c>
      <c r="N84" s="206">
        <v>1</v>
      </c>
      <c r="O84" s="206">
        <v>1</v>
      </c>
      <c r="P84" s="206">
        <v>1</v>
      </c>
      <c r="Q84" s="206">
        <v>1</v>
      </c>
      <c r="R84" s="213">
        <v>1</v>
      </c>
      <c r="S84" s="223">
        <v>1</v>
      </c>
      <c r="T84" s="224">
        <v>1</v>
      </c>
      <c r="U84" s="224">
        <v>1</v>
      </c>
      <c r="V84" s="224">
        <v>1</v>
      </c>
      <c r="W84" s="224">
        <v>1</v>
      </c>
      <c r="X84" s="224">
        <v>1</v>
      </c>
      <c r="Y84" s="244">
        <v>1</v>
      </c>
      <c r="Z84" s="245">
        <v>1</v>
      </c>
      <c r="AA84" s="246">
        <v>1</v>
      </c>
      <c r="AB84" s="225">
        <v>1</v>
      </c>
      <c r="AC84" s="262">
        <v>1</v>
      </c>
      <c r="AD84" s="177">
        <v>1</v>
      </c>
      <c r="AE84" s="177">
        <v>1</v>
      </c>
      <c r="AF84" s="177">
        <v>1</v>
      </c>
      <c r="AG84" s="582"/>
      <c r="AH84" s="583"/>
      <c r="AI84" s="177">
        <v>1</v>
      </c>
      <c r="AJ84" s="177">
        <v>1</v>
      </c>
      <c r="AK84" s="177">
        <v>1</v>
      </c>
      <c r="AL84" s="263">
        <v>1</v>
      </c>
      <c r="AM84" s="235">
        <v>1</v>
      </c>
      <c r="AN84" s="271">
        <v>1</v>
      </c>
      <c r="AO84" s="236">
        <v>1</v>
      </c>
      <c r="AP84" s="236">
        <v>1</v>
      </c>
      <c r="AQ84" s="236">
        <v>1</v>
      </c>
      <c r="AR84" s="236">
        <v>1</v>
      </c>
      <c r="AS84" s="236">
        <v>1</v>
      </c>
      <c r="AT84" s="236">
        <v>1</v>
      </c>
      <c r="AU84" s="236">
        <v>1</v>
      </c>
      <c r="AV84" s="272">
        <v>1</v>
      </c>
      <c r="AW84" s="277">
        <v>1</v>
      </c>
      <c r="AX84" s="278">
        <v>1</v>
      </c>
      <c r="AY84" s="278">
        <v>1</v>
      </c>
      <c r="AZ84" s="127">
        <v>1</v>
      </c>
      <c r="BA84" s="278">
        <v>1</v>
      </c>
      <c r="BB84" s="278">
        <v>1</v>
      </c>
      <c r="BC84" s="278">
        <v>1</v>
      </c>
      <c r="BD84" s="127">
        <v>1</v>
      </c>
      <c r="BE84" s="278">
        <v>1</v>
      </c>
      <c r="BF84" s="280">
        <v>1</v>
      </c>
      <c r="BG84" s="212">
        <v>1</v>
      </c>
      <c r="BH84" s="206">
        <v>1</v>
      </c>
      <c r="BI84" s="206">
        <v>1</v>
      </c>
      <c r="BJ84" s="206">
        <v>1</v>
      </c>
      <c r="BK84" s="206">
        <v>1</v>
      </c>
      <c r="BL84" s="206">
        <v>1</v>
      </c>
      <c r="BM84" s="207">
        <v>1</v>
      </c>
      <c r="BN84" s="207">
        <v>1</v>
      </c>
      <c r="BO84" s="207">
        <v>1</v>
      </c>
      <c r="BP84" s="215">
        <v>1</v>
      </c>
      <c r="BQ84" s="226">
        <v>1</v>
      </c>
      <c r="BR84" s="227">
        <v>1</v>
      </c>
      <c r="BS84" s="227">
        <v>1</v>
      </c>
      <c r="BT84" s="227">
        <v>1</v>
      </c>
      <c r="BU84" s="227">
        <v>0</v>
      </c>
      <c r="BV84" s="227">
        <v>0</v>
      </c>
      <c r="BW84" s="227">
        <v>1</v>
      </c>
      <c r="BX84" s="227">
        <v>1</v>
      </c>
      <c r="BY84" s="227">
        <v>1</v>
      </c>
      <c r="BZ84" s="228">
        <v>1</v>
      </c>
      <c r="CA84" s="537"/>
      <c r="CB84" s="538"/>
      <c r="CC84" s="538"/>
      <c r="CD84" s="538"/>
      <c r="CE84" s="538"/>
      <c r="CF84" s="538"/>
      <c r="CG84" s="538"/>
      <c r="CH84" s="538"/>
      <c r="CI84" s="538"/>
      <c r="CJ84" s="538"/>
      <c r="CK84" s="237">
        <v>1</v>
      </c>
      <c r="CL84" s="238">
        <v>1</v>
      </c>
      <c r="CM84" s="238">
        <v>1</v>
      </c>
      <c r="CN84" s="238">
        <v>1</v>
      </c>
      <c r="CO84" s="238">
        <v>1</v>
      </c>
      <c r="CP84" s="238">
        <v>1</v>
      </c>
      <c r="CQ84" s="238">
        <v>1</v>
      </c>
      <c r="CR84" s="238">
        <v>1</v>
      </c>
      <c r="CS84" s="238">
        <v>1</v>
      </c>
      <c r="CT84" s="273">
        <v>1</v>
      </c>
      <c r="CU84" s="295">
        <v>1</v>
      </c>
      <c r="CV84" s="296">
        <v>1</v>
      </c>
      <c r="CW84" s="296">
        <v>1</v>
      </c>
      <c r="CX84" s="296">
        <v>1</v>
      </c>
      <c r="CY84" s="296">
        <v>1</v>
      </c>
      <c r="CZ84" s="296">
        <v>1</v>
      </c>
      <c r="DA84" s="296">
        <v>1</v>
      </c>
      <c r="DB84" s="296">
        <v>1</v>
      </c>
      <c r="DC84" s="297">
        <v>1</v>
      </c>
      <c r="DD84" s="298">
        <v>1</v>
      </c>
      <c r="DE84" s="214">
        <v>1</v>
      </c>
      <c r="DF84" s="207">
        <v>1</v>
      </c>
      <c r="DG84" s="207">
        <v>1</v>
      </c>
      <c r="DH84" s="207">
        <v>1</v>
      </c>
      <c r="DI84" s="207">
        <v>1</v>
      </c>
      <c r="DJ84" s="207">
        <v>1</v>
      </c>
      <c r="DK84" s="207">
        <v>1</v>
      </c>
      <c r="DL84" s="207">
        <v>1</v>
      </c>
      <c r="DM84" s="207">
        <v>1</v>
      </c>
      <c r="DN84" s="215">
        <v>1</v>
      </c>
      <c r="DO84" s="226">
        <v>1</v>
      </c>
      <c r="DP84" s="227">
        <v>1</v>
      </c>
      <c r="DQ84" s="227">
        <v>1</v>
      </c>
      <c r="DR84" s="227">
        <v>1</v>
      </c>
      <c r="DS84" s="227">
        <v>1</v>
      </c>
      <c r="DT84" s="227">
        <v>1</v>
      </c>
      <c r="DU84" s="227">
        <v>1</v>
      </c>
      <c r="DV84" s="227">
        <v>1</v>
      </c>
      <c r="DW84" s="227">
        <v>1</v>
      </c>
      <c r="DX84" s="228">
        <v>1</v>
      </c>
      <c r="DY84" s="90">
        <v>1</v>
      </c>
      <c r="DZ84" s="91">
        <v>1</v>
      </c>
      <c r="EA84" s="91">
        <v>1</v>
      </c>
      <c r="EB84" s="91">
        <v>1</v>
      </c>
      <c r="EC84" s="91">
        <v>1</v>
      </c>
      <c r="ED84" s="91">
        <v>1</v>
      </c>
      <c r="EE84" s="91">
        <v>1</v>
      </c>
      <c r="EF84" s="91">
        <v>1</v>
      </c>
      <c r="EG84" s="91">
        <v>1</v>
      </c>
      <c r="EH84" s="92">
        <v>1</v>
      </c>
      <c r="EI84" s="237">
        <v>1</v>
      </c>
      <c r="EJ84" s="238">
        <v>1</v>
      </c>
      <c r="EK84" s="238">
        <v>1</v>
      </c>
      <c r="EL84" s="238">
        <v>1</v>
      </c>
      <c r="EM84" s="238">
        <v>1</v>
      </c>
      <c r="EN84" s="238">
        <v>1</v>
      </c>
      <c r="EO84" s="238">
        <v>1</v>
      </c>
      <c r="EP84" s="238">
        <v>1</v>
      </c>
      <c r="EQ84" s="238">
        <v>1</v>
      </c>
      <c r="ER84" s="273">
        <v>1</v>
      </c>
      <c r="ES84" s="316">
        <f t="shared" si="47"/>
        <v>8</v>
      </c>
      <c r="ET84" s="317">
        <f t="shared" si="48"/>
        <v>10</v>
      </c>
      <c r="EU84" s="317">
        <f t="shared" si="49"/>
        <v>8</v>
      </c>
      <c r="EV84" s="317">
        <f t="shared" si="50"/>
        <v>10</v>
      </c>
      <c r="EW84" s="317">
        <f t="shared" si="51"/>
        <v>9</v>
      </c>
      <c r="EX84" s="317">
        <f t="shared" si="52"/>
        <v>10</v>
      </c>
      <c r="EY84" s="317">
        <f t="shared" si="53"/>
        <v>8</v>
      </c>
      <c r="EZ84" s="317">
        <f t="shared" si="54"/>
        <v>0</v>
      </c>
      <c r="FA84" s="317">
        <f t="shared" si="55"/>
        <v>10</v>
      </c>
      <c r="FB84" s="317">
        <f t="shared" si="56"/>
        <v>10</v>
      </c>
      <c r="FC84" s="317">
        <f t="shared" si="57"/>
        <v>10</v>
      </c>
      <c r="FD84" s="317">
        <f t="shared" si="58"/>
        <v>10</v>
      </c>
      <c r="FE84" s="317">
        <f t="shared" si="59"/>
        <v>10</v>
      </c>
      <c r="FF84" s="317">
        <f t="shared" si="60"/>
        <v>10</v>
      </c>
      <c r="FG84" s="318">
        <f t="shared" si="63"/>
        <v>82</v>
      </c>
      <c r="FH84" s="319">
        <f t="shared" si="61"/>
        <v>123</v>
      </c>
      <c r="FI84" s="319">
        <f>SUM(I7:ER7)-SUM(ES84:FF84)</f>
        <v>5</v>
      </c>
      <c r="FJ84" s="319">
        <f t="shared" si="62"/>
        <v>128</v>
      </c>
      <c r="FK84" s="7"/>
    </row>
    <row r="85" spans="1:167" ht="15.75" customHeight="1">
      <c r="A85" s="2"/>
      <c r="B85" s="3">
        <f t="shared" si="45"/>
        <v>1</v>
      </c>
      <c r="C85" s="182">
        <f t="shared" si="46"/>
        <v>26</v>
      </c>
      <c r="D85" s="185" t="s">
        <v>126</v>
      </c>
      <c r="E85" s="203"/>
      <c r="F85" s="203">
        <v>14</v>
      </c>
      <c r="G85" s="571">
        <v>45915</v>
      </c>
      <c r="H85" s="572"/>
      <c r="I85" s="212">
        <v>1</v>
      </c>
      <c r="J85" s="206">
        <v>1</v>
      </c>
      <c r="K85" s="206">
        <v>1</v>
      </c>
      <c r="L85" s="206">
        <v>1</v>
      </c>
      <c r="M85" s="206">
        <v>1</v>
      </c>
      <c r="N85" s="206">
        <v>1</v>
      </c>
      <c r="O85" s="206">
        <v>1</v>
      </c>
      <c r="P85" s="206">
        <v>1</v>
      </c>
      <c r="Q85" s="206">
        <v>1</v>
      </c>
      <c r="R85" s="213">
        <v>1</v>
      </c>
      <c r="S85" s="223">
        <v>1</v>
      </c>
      <c r="T85" s="224">
        <v>1</v>
      </c>
      <c r="U85" s="224">
        <v>1</v>
      </c>
      <c r="V85" s="224">
        <v>1</v>
      </c>
      <c r="W85" s="224">
        <v>1</v>
      </c>
      <c r="X85" s="224">
        <v>1</v>
      </c>
      <c r="Y85" s="244">
        <v>1</v>
      </c>
      <c r="Z85" s="245">
        <v>1</v>
      </c>
      <c r="AA85" s="246">
        <v>1</v>
      </c>
      <c r="AB85" s="225">
        <v>1</v>
      </c>
      <c r="AC85" s="262">
        <v>1</v>
      </c>
      <c r="AD85" s="177">
        <v>1</v>
      </c>
      <c r="AE85" s="177">
        <v>1</v>
      </c>
      <c r="AF85" s="177">
        <v>1</v>
      </c>
      <c r="AG85" s="582"/>
      <c r="AH85" s="583"/>
      <c r="AI85" s="177">
        <v>1</v>
      </c>
      <c r="AJ85" s="177">
        <v>1</v>
      </c>
      <c r="AK85" s="177">
        <v>1</v>
      </c>
      <c r="AL85" s="263">
        <v>1</v>
      </c>
      <c r="AM85" s="235">
        <v>1</v>
      </c>
      <c r="AN85" s="271">
        <v>1</v>
      </c>
      <c r="AO85" s="236">
        <v>1</v>
      </c>
      <c r="AP85" s="236">
        <v>1</v>
      </c>
      <c r="AQ85" s="236">
        <v>1</v>
      </c>
      <c r="AR85" s="236">
        <v>1</v>
      </c>
      <c r="AS85" s="236">
        <v>1</v>
      </c>
      <c r="AT85" s="236">
        <v>1</v>
      </c>
      <c r="AU85" s="236">
        <v>1</v>
      </c>
      <c r="AV85" s="272">
        <v>1</v>
      </c>
      <c r="AW85" s="277">
        <v>1</v>
      </c>
      <c r="AX85" s="278">
        <v>1</v>
      </c>
      <c r="AY85" s="278">
        <v>1</v>
      </c>
      <c r="AZ85" s="127">
        <v>1</v>
      </c>
      <c r="BA85" s="278">
        <v>1</v>
      </c>
      <c r="BB85" s="278">
        <v>1</v>
      </c>
      <c r="BC85" s="278">
        <v>1</v>
      </c>
      <c r="BD85" s="127">
        <v>1</v>
      </c>
      <c r="BE85" s="278">
        <v>1</v>
      </c>
      <c r="BF85" s="280">
        <v>1</v>
      </c>
      <c r="BG85" s="212">
        <v>1</v>
      </c>
      <c r="BH85" s="206">
        <v>1</v>
      </c>
      <c r="BI85" s="206">
        <v>1</v>
      </c>
      <c r="BJ85" s="206">
        <v>1</v>
      </c>
      <c r="BK85" s="206">
        <v>1</v>
      </c>
      <c r="BL85" s="206">
        <v>1</v>
      </c>
      <c r="BM85" s="207">
        <v>1</v>
      </c>
      <c r="BN85" s="207">
        <v>1</v>
      </c>
      <c r="BO85" s="207">
        <v>1</v>
      </c>
      <c r="BP85" s="215">
        <v>1</v>
      </c>
      <c r="BQ85" s="226">
        <v>1</v>
      </c>
      <c r="BR85" s="227">
        <v>1</v>
      </c>
      <c r="BS85" s="227">
        <v>1</v>
      </c>
      <c r="BT85" s="227">
        <v>1</v>
      </c>
      <c r="BU85" s="227">
        <v>1</v>
      </c>
      <c r="BV85" s="227">
        <v>1</v>
      </c>
      <c r="BW85" s="227">
        <v>1</v>
      </c>
      <c r="BX85" s="227">
        <v>1</v>
      </c>
      <c r="BY85" s="227">
        <v>1</v>
      </c>
      <c r="BZ85" s="228">
        <v>1</v>
      </c>
      <c r="CA85" s="537"/>
      <c r="CB85" s="538"/>
      <c r="CC85" s="538"/>
      <c r="CD85" s="538"/>
      <c r="CE85" s="538"/>
      <c r="CF85" s="538"/>
      <c r="CG85" s="538"/>
      <c r="CH85" s="538"/>
      <c r="CI85" s="538"/>
      <c r="CJ85" s="538"/>
      <c r="CK85" s="237">
        <v>1</v>
      </c>
      <c r="CL85" s="238">
        <v>1</v>
      </c>
      <c r="CM85" s="238">
        <v>1</v>
      </c>
      <c r="CN85" s="238">
        <v>1</v>
      </c>
      <c r="CO85" s="238">
        <v>1</v>
      </c>
      <c r="CP85" s="238">
        <v>1</v>
      </c>
      <c r="CQ85" s="238">
        <v>1</v>
      </c>
      <c r="CR85" s="238">
        <v>1</v>
      </c>
      <c r="CS85" s="238">
        <v>1</v>
      </c>
      <c r="CT85" s="273">
        <v>1</v>
      </c>
      <c r="CU85" s="295">
        <v>1</v>
      </c>
      <c r="CV85" s="296">
        <v>1</v>
      </c>
      <c r="CW85" s="296">
        <v>1</v>
      </c>
      <c r="CX85" s="296">
        <v>1</v>
      </c>
      <c r="CY85" s="296">
        <v>1</v>
      </c>
      <c r="CZ85" s="296">
        <v>1</v>
      </c>
      <c r="DA85" s="296">
        <v>1</v>
      </c>
      <c r="DB85" s="296">
        <v>1</v>
      </c>
      <c r="DC85" s="297">
        <v>1</v>
      </c>
      <c r="DD85" s="298">
        <v>1</v>
      </c>
      <c r="DE85" s="214">
        <v>1</v>
      </c>
      <c r="DF85" s="207">
        <v>1</v>
      </c>
      <c r="DG85" s="207">
        <v>1</v>
      </c>
      <c r="DH85" s="207">
        <v>1</v>
      </c>
      <c r="DI85" s="207">
        <v>1</v>
      </c>
      <c r="DJ85" s="207">
        <v>1</v>
      </c>
      <c r="DK85" s="207">
        <v>1</v>
      </c>
      <c r="DL85" s="207">
        <v>1</v>
      </c>
      <c r="DM85" s="207">
        <v>1</v>
      </c>
      <c r="DN85" s="215">
        <v>1</v>
      </c>
      <c r="DO85" s="226">
        <v>1</v>
      </c>
      <c r="DP85" s="227">
        <v>1</v>
      </c>
      <c r="DQ85" s="227">
        <v>1</v>
      </c>
      <c r="DR85" s="227">
        <v>1</v>
      </c>
      <c r="DS85" s="227">
        <v>1</v>
      </c>
      <c r="DT85" s="227">
        <v>1</v>
      </c>
      <c r="DU85" s="227">
        <v>1</v>
      </c>
      <c r="DV85" s="227">
        <v>1</v>
      </c>
      <c r="DW85" s="227">
        <v>1</v>
      </c>
      <c r="DX85" s="228">
        <v>1</v>
      </c>
      <c r="DY85" s="90">
        <v>1</v>
      </c>
      <c r="DZ85" s="91">
        <v>1</v>
      </c>
      <c r="EA85" s="91">
        <v>1</v>
      </c>
      <c r="EB85" s="91">
        <v>1</v>
      </c>
      <c r="EC85" s="91">
        <v>1</v>
      </c>
      <c r="ED85" s="91">
        <v>1</v>
      </c>
      <c r="EE85" s="91">
        <v>1</v>
      </c>
      <c r="EF85" s="91">
        <v>1</v>
      </c>
      <c r="EG85" s="91">
        <v>1</v>
      </c>
      <c r="EH85" s="92">
        <v>1</v>
      </c>
      <c r="EI85" s="237">
        <v>1</v>
      </c>
      <c r="EJ85" s="238">
        <v>1</v>
      </c>
      <c r="EK85" s="238">
        <v>1</v>
      </c>
      <c r="EL85" s="238">
        <v>1</v>
      </c>
      <c r="EM85" s="238">
        <v>1</v>
      </c>
      <c r="EN85" s="238">
        <v>1</v>
      </c>
      <c r="EO85" s="238">
        <v>1</v>
      </c>
      <c r="EP85" s="238">
        <v>1</v>
      </c>
      <c r="EQ85" s="238">
        <v>1</v>
      </c>
      <c r="ER85" s="273">
        <v>1</v>
      </c>
      <c r="ES85" s="316">
        <f t="shared" si="47"/>
        <v>10</v>
      </c>
      <c r="ET85" s="317">
        <f t="shared" si="48"/>
        <v>10</v>
      </c>
      <c r="EU85" s="317">
        <f t="shared" si="49"/>
        <v>8</v>
      </c>
      <c r="EV85" s="317">
        <f t="shared" si="50"/>
        <v>10</v>
      </c>
      <c r="EW85" s="317">
        <f t="shared" si="51"/>
        <v>9</v>
      </c>
      <c r="EX85" s="317">
        <f t="shared" si="52"/>
        <v>10</v>
      </c>
      <c r="EY85" s="317">
        <f t="shared" si="53"/>
        <v>10</v>
      </c>
      <c r="EZ85" s="317">
        <f t="shared" si="54"/>
        <v>0</v>
      </c>
      <c r="FA85" s="317">
        <f t="shared" si="55"/>
        <v>10</v>
      </c>
      <c r="FB85" s="317">
        <f t="shared" si="56"/>
        <v>10</v>
      </c>
      <c r="FC85" s="317">
        <f t="shared" si="57"/>
        <v>10</v>
      </c>
      <c r="FD85" s="317">
        <f t="shared" si="58"/>
        <v>10</v>
      </c>
      <c r="FE85" s="317">
        <f t="shared" si="59"/>
        <v>10</v>
      </c>
      <c r="FF85" s="317">
        <f t="shared" si="60"/>
        <v>10</v>
      </c>
      <c r="FG85" s="318">
        <f t="shared" si="63"/>
        <v>83</v>
      </c>
      <c r="FH85" s="319">
        <f t="shared" si="61"/>
        <v>127</v>
      </c>
      <c r="FI85" s="319">
        <f>SUM(I7:ER7)-SUM(ES85:FF85)</f>
        <v>1</v>
      </c>
      <c r="FJ85" s="319">
        <f t="shared" si="62"/>
        <v>128</v>
      </c>
      <c r="FK85" s="7"/>
    </row>
    <row r="86" spans="1:167" ht="15.75" customHeight="1">
      <c r="A86" s="2"/>
      <c r="B86" s="3">
        <f t="shared" si="45"/>
        <v>1</v>
      </c>
      <c r="C86" s="182">
        <f t="shared" si="46"/>
        <v>27</v>
      </c>
      <c r="D86" s="185" t="s">
        <v>127</v>
      </c>
      <c r="E86" s="203"/>
      <c r="F86" s="203">
        <v>14</v>
      </c>
      <c r="G86" s="571">
        <v>45915</v>
      </c>
      <c r="H86" s="572"/>
      <c r="I86" s="212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13">
        <v>0</v>
      </c>
      <c r="S86" s="223">
        <v>1</v>
      </c>
      <c r="T86" s="224">
        <v>1</v>
      </c>
      <c r="U86" s="224">
        <v>1</v>
      </c>
      <c r="V86" s="224">
        <v>1</v>
      </c>
      <c r="W86" s="224">
        <v>1</v>
      </c>
      <c r="X86" s="224">
        <v>1</v>
      </c>
      <c r="Y86" s="244">
        <v>1</v>
      </c>
      <c r="Z86" s="245">
        <v>1</v>
      </c>
      <c r="AA86" s="246">
        <v>1</v>
      </c>
      <c r="AB86" s="225">
        <v>1</v>
      </c>
      <c r="AC86" s="262">
        <v>1</v>
      </c>
      <c r="AD86" s="177">
        <v>1</v>
      </c>
      <c r="AE86" s="177">
        <v>1</v>
      </c>
      <c r="AF86" s="177">
        <v>1</v>
      </c>
      <c r="AG86" s="582"/>
      <c r="AH86" s="583"/>
      <c r="AI86" s="177">
        <v>1</v>
      </c>
      <c r="AJ86" s="177">
        <v>1</v>
      </c>
      <c r="AK86" s="177">
        <v>0</v>
      </c>
      <c r="AL86" s="263">
        <v>0</v>
      </c>
      <c r="AM86" s="235">
        <v>0</v>
      </c>
      <c r="AN86" s="271">
        <v>0</v>
      </c>
      <c r="AO86" s="236">
        <v>1</v>
      </c>
      <c r="AP86" s="236">
        <v>1</v>
      </c>
      <c r="AQ86" s="236">
        <v>0</v>
      </c>
      <c r="AR86" s="236">
        <v>0</v>
      </c>
      <c r="AS86" s="236">
        <v>0</v>
      </c>
      <c r="AT86" s="236">
        <v>0</v>
      </c>
      <c r="AU86" s="236">
        <v>0</v>
      </c>
      <c r="AV86" s="272">
        <v>0</v>
      </c>
      <c r="AW86" s="277">
        <v>0</v>
      </c>
      <c r="AX86" s="278">
        <v>0</v>
      </c>
      <c r="AY86" s="278">
        <v>0</v>
      </c>
      <c r="AZ86" s="127">
        <v>0</v>
      </c>
      <c r="BA86" s="278">
        <v>0</v>
      </c>
      <c r="BB86" s="278">
        <v>0</v>
      </c>
      <c r="BC86" s="278">
        <v>0</v>
      </c>
      <c r="BD86" s="127">
        <v>0</v>
      </c>
      <c r="BE86" s="278">
        <v>0</v>
      </c>
      <c r="BF86" s="280">
        <v>0</v>
      </c>
      <c r="BG86" s="212">
        <v>0</v>
      </c>
      <c r="BH86" s="206">
        <v>0</v>
      </c>
      <c r="BI86" s="206">
        <v>0</v>
      </c>
      <c r="BJ86" s="206">
        <v>0</v>
      </c>
      <c r="BK86" s="206">
        <v>0</v>
      </c>
      <c r="BL86" s="206">
        <v>0</v>
      </c>
      <c r="BM86" s="207">
        <v>0</v>
      </c>
      <c r="BN86" s="207">
        <v>0</v>
      </c>
      <c r="BO86" s="207">
        <v>0</v>
      </c>
      <c r="BP86" s="215">
        <v>0</v>
      </c>
      <c r="BQ86" s="226">
        <v>0</v>
      </c>
      <c r="BR86" s="227">
        <v>0</v>
      </c>
      <c r="BS86" s="227">
        <v>0</v>
      </c>
      <c r="BT86" s="227">
        <v>0</v>
      </c>
      <c r="BU86" s="227">
        <v>0</v>
      </c>
      <c r="BV86" s="227">
        <v>0</v>
      </c>
      <c r="BW86" s="227">
        <v>0</v>
      </c>
      <c r="BX86" s="227">
        <v>0</v>
      </c>
      <c r="BY86" s="227">
        <v>0</v>
      </c>
      <c r="BZ86" s="228">
        <v>0</v>
      </c>
      <c r="CA86" s="537"/>
      <c r="CB86" s="538"/>
      <c r="CC86" s="538"/>
      <c r="CD86" s="538"/>
      <c r="CE86" s="538"/>
      <c r="CF86" s="538"/>
      <c r="CG86" s="538"/>
      <c r="CH86" s="538"/>
      <c r="CI86" s="538"/>
      <c r="CJ86" s="538"/>
      <c r="CK86" s="237">
        <v>0</v>
      </c>
      <c r="CL86" s="238">
        <v>0</v>
      </c>
      <c r="CM86" s="238">
        <v>0</v>
      </c>
      <c r="CN86" s="238">
        <v>0</v>
      </c>
      <c r="CO86" s="238">
        <v>0</v>
      </c>
      <c r="CP86" s="238">
        <v>0</v>
      </c>
      <c r="CQ86" s="238">
        <v>0</v>
      </c>
      <c r="CR86" s="238">
        <v>0</v>
      </c>
      <c r="CS86" s="238">
        <v>0</v>
      </c>
      <c r="CT86" s="273">
        <v>0</v>
      </c>
      <c r="CU86" s="295">
        <v>0</v>
      </c>
      <c r="CV86" s="296">
        <v>0</v>
      </c>
      <c r="CW86" s="296">
        <v>0</v>
      </c>
      <c r="CX86" s="296">
        <v>0</v>
      </c>
      <c r="CY86" s="296">
        <v>0</v>
      </c>
      <c r="CZ86" s="296">
        <v>0</v>
      </c>
      <c r="DA86" s="296">
        <v>0</v>
      </c>
      <c r="DB86" s="296">
        <v>0</v>
      </c>
      <c r="DC86" s="297">
        <v>0</v>
      </c>
      <c r="DD86" s="298">
        <v>0</v>
      </c>
      <c r="DE86" s="214">
        <v>0</v>
      </c>
      <c r="DF86" s="207">
        <v>0</v>
      </c>
      <c r="DG86" s="207">
        <v>0</v>
      </c>
      <c r="DH86" s="207">
        <v>0</v>
      </c>
      <c r="DI86" s="207">
        <v>0</v>
      </c>
      <c r="DJ86" s="207">
        <v>0</v>
      </c>
      <c r="DK86" s="207">
        <v>0</v>
      </c>
      <c r="DL86" s="207">
        <v>0</v>
      </c>
      <c r="DM86" s="207">
        <v>0</v>
      </c>
      <c r="DN86" s="215">
        <v>0</v>
      </c>
      <c r="DO86" s="226">
        <v>0</v>
      </c>
      <c r="DP86" s="227">
        <v>0</v>
      </c>
      <c r="DQ86" s="227">
        <v>0</v>
      </c>
      <c r="DR86" s="227">
        <v>0</v>
      </c>
      <c r="DS86" s="227">
        <v>0</v>
      </c>
      <c r="DT86" s="227">
        <v>0</v>
      </c>
      <c r="DU86" s="227">
        <v>0</v>
      </c>
      <c r="DV86" s="227">
        <v>0</v>
      </c>
      <c r="DW86" s="227">
        <v>0</v>
      </c>
      <c r="DX86" s="228">
        <v>0</v>
      </c>
      <c r="DY86" s="90">
        <v>0</v>
      </c>
      <c r="DZ86" s="91">
        <v>0</v>
      </c>
      <c r="EA86" s="91">
        <v>0</v>
      </c>
      <c r="EB86" s="91">
        <v>0</v>
      </c>
      <c r="EC86" s="91">
        <v>0</v>
      </c>
      <c r="ED86" s="91">
        <v>0</v>
      </c>
      <c r="EE86" s="91">
        <v>0</v>
      </c>
      <c r="EF86" s="91">
        <v>0</v>
      </c>
      <c r="EG86" s="91">
        <v>0</v>
      </c>
      <c r="EH86" s="92">
        <v>0</v>
      </c>
      <c r="EI86" s="237">
        <v>0</v>
      </c>
      <c r="EJ86" s="238">
        <v>0</v>
      </c>
      <c r="EK86" s="238">
        <v>0</v>
      </c>
      <c r="EL86" s="238">
        <v>0</v>
      </c>
      <c r="EM86" s="238">
        <v>0</v>
      </c>
      <c r="EN86" s="238">
        <v>0</v>
      </c>
      <c r="EO86" s="238">
        <v>0</v>
      </c>
      <c r="EP86" s="238">
        <v>0</v>
      </c>
      <c r="EQ86" s="238">
        <v>0</v>
      </c>
      <c r="ER86" s="273">
        <v>0</v>
      </c>
      <c r="ES86" s="316">
        <f t="shared" si="47"/>
        <v>0</v>
      </c>
      <c r="ET86" s="317">
        <f t="shared" si="48"/>
        <v>10</v>
      </c>
      <c r="EU86" s="317">
        <f t="shared" si="49"/>
        <v>6</v>
      </c>
      <c r="EV86" s="317">
        <f t="shared" si="50"/>
        <v>2</v>
      </c>
      <c r="EW86" s="317">
        <f t="shared" si="51"/>
        <v>0</v>
      </c>
      <c r="EX86" s="317">
        <f t="shared" si="52"/>
        <v>0</v>
      </c>
      <c r="EY86" s="317">
        <f t="shared" si="53"/>
        <v>0</v>
      </c>
      <c r="EZ86" s="317">
        <f t="shared" si="54"/>
        <v>0</v>
      </c>
      <c r="FA86" s="317">
        <f t="shared" si="55"/>
        <v>0</v>
      </c>
      <c r="FB86" s="317">
        <f t="shared" si="56"/>
        <v>0</v>
      </c>
      <c r="FC86" s="317">
        <f t="shared" si="57"/>
        <v>0</v>
      </c>
      <c r="FD86" s="317">
        <f t="shared" si="58"/>
        <v>0</v>
      </c>
      <c r="FE86" s="317">
        <f t="shared" si="59"/>
        <v>0</v>
      </c>
      <c r="FF86" s="317">
        <f t="shared" si="60"/>
        <v>0</v>
      </c>
      <c r="FG86" s="318">
        <f t="shared" si="63"/>
        <v>84</v>
      </c>
      <c r="FH86" s="319">
        <f t="shared" si="61"/>
        <v>18</v>
      </c>
      <c r="FI86" s="319">
        <f>SUM(I7:ER7)-SUM(ES86:FF86)</f>
        <v>110</v>
      </c>
      <c r="FJ86" s="319">
        <f t="shared" si="62"/>
        <v>128</v>
      </c>
      <c r="FK86" s="7"/>
    </row>
    <row r="87" spans="1:167" ht="15.75" customHeight="1">
      <c r="A87" s="2"/>
      <c r="B87" s="3">
        <f t="shared" si="45"/>
        <v>1</v>
      </c>
      <c r="C87" s="182">
        <f t="shared" si="46"/>
        <v>28</v>
      </c>
      <c r="D87" s="185" t="s">
        <v>128</v>
      </c>
      <c r="E87" s="203"/>
      <c r="F87" s="203">
        <v>14</v>
      </c>
      <c r="G87" s="571">
        <v>45915</v>
      </c>
      <c r="H87" s="572"/>
      <c r="I87" s="212">
        <v>0</v>
      </c>
      <c r="J87" s="206">
        <v>0</v>
      </c>
      <c r="K87" s="206">
        <v>1</v>
      </c>
      <c r="L87" s="206">
        <v>1</v>
      </c>
      <c r="M87" s="206">
        <v>1</v>
      </c>
      <c r="N87" s="206">
        <v>1</v>
      </c>
      <c r="O87" s="206">
        <v>1</v>
      </c>
      <c r="P87" s="206">
        <v>1</v>
      </c>
      <c r="Q87" s="206">
        <v>1</v>
      </c>
      <c r="R87" s="213">
        <v>1</v>
      </c>
      <c r="S87" s="223">
        <v>1</v>
      </c>
      <c r="T87" s="224">
        <v>1</v>
      </c>
      <c r="U87" s="224">
        <v>1</v>
      </c>
      <c r="V87" s="224">
        <v>1</v>
      </c>
      <c r="W87" s="224">
        <v>1</v>
      </c>
      <c r="X87" s="224">
        <v>1</v>
      </c>
      <c r="Y87" s="244">
        <v>1</v>
      </c>
      <c r="Z87" s="245">
        <v>1</v>
      </c>
      <c r="AA87" s="246">
        <v>1</v>
      </c>
      <c r="AB87" s="225">
        <v>1</v>
      </c>
      <c r="AC87" s="262">
        <v>1</v>
      </c>
      <c r="AD87" s="177">
        <v>1</v>
      </c>
      <c r="AE87" s="177">
        <v>1</v>
      </c>
      <c r="AF87" s="177">
        <v>1</v>
      </c>
      <c r="AG87" s="582"/>
      <c r="AH87" s="583"/>
      <c r="AI87" s="177">
        <v>1</v>
      </c>
      <c r="AJ87" s="177">
        <v>1</v>
      </c>
      <c r="AK87" s="177">
        <v>1</v>
      </c>
      <c r="AL87" s="263">
        <v>1</v>
      </c>
      <c r="AM87" s="235">
        <v>1</v>
      </c>
      <c r="AN87" s="271">
        <v>1</v>
      </c>
      <c r="AO87" s="236">
        <v>1</v>
      </c>
      <c r="AP87" s="236">
        <v>1</v>
      </c>
      <c r="AQ87" s="236">
        <v>1</v>
      </c>
      <c r="AR87" s="236">
        <v>1</v>
      </c>
      <c r="AS87" s="236">
        <v>1</v>
      </c>
      <c r="AT87" s="236">
        <v>1</v>
      </c>
      <c r="AU87" s="236">
        <v>1</v>
      </c>
      <c r="AV87" s="272">
        <v>1</v>
      </c>
      <c r="AW87" s="277">
        <v>1</v>
      </c>
      <c r="AX87" s="278">
        <v>1</v>
      </c>
      <c r="AY87" s="278">
        <v>1</v>
      </c>
      <c r="AZ87" s="127">
        <v>1</v>
      </c>
      <c r="BA87" s="278">
        <v>1</v>
      </c>
      <c r="BB87" s="278">
        <v>1</v>
      </c>
      <c r="BC87" s="278">
        <v>1</v>
      </c>
      <c r="BD87" s="127">
        <v>1</v>
      </c>
      <c r="BE87" s="278">
        <v>1</v>
      </c>
      <c r="BF87" s="280">
        <v>1</v>
      </c>
      <c r="BG87" s="212">
        <v>1</v>
      </c>
      <c r="BH87" s="206">
        <v>1</v>
      </c>
      <c r="BI87" s="206">
        <v>1</v>
      </c>
      <c r="BJ87" s="206">
        <v>1</v>
      </c>
      <c r="BK87" s="206">
        <v>1</v>
      </c>
      <c r="BL87" s="206">
        <v>1</v>
      </c>
      <c r="BM87" s="206">
        <v>1</v>
      </c>
      <c r="BN87" s="207">
        <v>1</v>
      </c>
      <c r="BO87" s="207">
        <v>1</v>
      </c>
      <c r="BP87" s="215">
        <v>1</v>
      </c>
      <c r="BQ87" s="226">
        <v>1</v>
      </c>
      <c r="BR87" s="227">
        <v>1</v>
      </c>
      <c r="BS87" s="227">
        <v>1</v>
      </c>
      <c r="BT87" s="227">
        <v>1</v>
      </c>
      <c r="BU87" s="227">
        <v>1</v>
      </c>
      <c r="BV87" s="227">
        <v>1</v>
      </c>
      <c r="BW87" s="227">
        <v>1</v>
      </c>
      <c r="BX87" s="227">
        <v>1</v>
      </c>
      <c r="BY87" s="227">
        <v>1</v>
      </c>
      <c r="BZ87" s="228">
        <v>1</v>
      </c>
      <c r="CA87" s="537"/>
      <c r="CB87" s="538"/>
      <c r="CC87" s="538"/>
      <c r="CD87" s="538"/>
      <c r="CE87" s="538"/>
      <c r="CF87" s="538"/>
      <c r="CG87" s="538"/>
      <c r="CH87" s="538"/>
      <c r="CI87" s="538"/>
      <c r="CJ87" s="538"/>
      <c r="CK87" s="237">
        <v>1</v>
      </c>
      <c r="CL87" s="238">
        <v>1</v>
      </c>
      <c r="CM87" s="238">
        <v>1</v>
      </c>
      <c r="CN87" s="238">
        <v>1</v>
      </c>
      <c r="CO87" s="238">
        <v>1</v>
      </c>
      <c r="CP87" s="238">
        <v>1</v>
      </c>
      <c r="CQ87" s="238">
        <v>1</v>
      </c>
      <c r="CR87" s="238">
        <v>1</v>
      </c>
      <c r="CS87" s="238">
        <v>1</v>
      </c>
      <c r="CT87" s="273">
        <v>1</v>
      </c>
      <c r="CU87" s="295">
        <v>1</v>
      </c>
      <c r="CV87" s="296">
        <v>1</v>
      </c>
      <c r="CW87" s="296">
        <v>1</v>
      </c>
      <c r="CX87" s="296">
        <v>1</v>
      </c>
      <c r="CY87" s="296">
        <v>1</v>
      </c>
      <c r="CZ87" s="296">
        <v>1</v>
      </c>
      <c r="DA87" s="296">
        <v>1</v>
      </c>
      <c r="DB87" s="296">
        <v>1</v>
      </c>
      <c r="DC87" s="297">
        <v>1</v>
      </c>
      <c r="DD87" s="298">
        <v>1</v>
      </c>
      <c r="DE87" s="214">
        <v>1</v>
      </c>
      <c r="DF87" s="207">
        <v>1</v>
      </c>
      <c r="DG87" s="207">
        <v>1</v>
      </c>
      <c r="DH87" s="207">
        <v>1</v>
      </c>
      <c r="DI87" s="207">
        <v>1</v>
      </c>
      <c r="DJ87" s="207">
        <v>1</v>
      </c>
      <c r="DK87" s="207">
        <v>1</v>
      </c>
      <c r="DL87" s="207">
        <v>1</v>
      </c>
      <c r="DM87" s="207">
        <v>1</v>
      </c>
      <c r="DN87" s="215">
        <v>1</v>
      </c>
      <c r="DO87" s="226">
        <v>1</v>
      </c>
      <c r="DP87" s="227">
        <v>1</v>
      </c>
      <c r="DQ87" s="227">
        <v>1</v>
      </c>
      <c r="DR87" s="227">
        <v>1</v>
      </c>
      <c r="DS87" s="227">
        <v>1</v>
      </c>
      <c r="DT87" s="227">
        <v>1</v>
      </c>
      <c r="DU87" s="227">
        <v>1</v>
      </c>
      <c r="DV87" s="227">
        <v>1</v>
      </c>
      <c r="DW87" s="227">
        <v>1</v>
      </c>
      <c r="DX87" s="228">
        <v>1</v>
      </c>
      <c r="DY87" s="90">
        <v>1</v>
      </c>
      <c r="DZ87" s="91">
        <v>1</v>
      </c>
      <c r="EA87" s="91">
        <v>1</v>
      </c>
      <c r="EB87" s="91">
        <v>1</v>
      </c>
      <c r="EC87" s="91">
        <v>1</v>
      </c>
      <c r="ED87" s="91">
        <v>1</v>
      </c>
      <c r="EE87" s="91">
        <v>1</v>
      </c>
      <c r="EF87" s="91">
        <v>1</v>
      </c>
      <c r="EG87" s="91">
        <v>1</v>
      </c>
      <c r="EH87" s="92">
        <v>1</v>
      </c>
      <c r="EI87" s="237">
        <v>1</v>
      </c>
      <c r="EJ87" s="238">
        <v>1</v>
      </c>
      <c r="EK87" s="238">
        <v>1</v>
      </c>
      <c r="EL87" s="238">
        <v>1</v>
      </c>
      <c r="EM87" s="238">
        <v>1</v>
      </c>
      <c r="EN87" s="238">
        <v>1</v>
      </c>
      <c r="EO87" s="238">
        <v>1</v>
      </c>
      <c r="EP87" s="238">
        <v>1</v>
      </c>
      <c r="EQ87" s="238">
        <v>1</v>
      </c>
      <c r="ER87" s="273">
        <v>1</v>
      </c>
      <c r="ES87" s="316">
        <f t="shared" si="47"/>
        <v>8</v>
      </c>
      <c r="ET87" s="317">
        <f t="shared" si="48"/>
        <v>10</v>
      </c>
      <c r="EU87" s="317">
        <f t="shared" si="49"/>
        <v>8</v>
      </c>
      <c r="EV87" s="317">
        <f t="shared" si="50"/>
        <v>10</v>
      </c>
      <c r="EW87" s="317">
        <f t="shared" si="51"/>
        <v>9</v>
      </c>
      <c r="EX87" s="317">
        <f t="shared" si="52"/>
        <v>10</v>
      </c>
      <c r="EY87" s="317">
        <f t="shared" si="53"/>
        <v>10</v>
      </c>
      <c r="EZ87" s="317">
        <f t="shared" si="54"/>
        <v>0</v>
      </c>
      <c r="FA87" s="317">
        <f t="shared" si="55"/>
        <v>10</v>
      </c>
      <c r="FB87" s="317">
        <f t="shared" si="56"/>
        <v>10</v>
      </c>
      <c r="FC87" s="317">
        <f t="shared" si="57"/>
        <v>10</v>
      </c>
      <c r="FD87" s="317">
        <f t="shared" si="58"/>
        <v>10</v>
      </c>
      <c r="FE87" s="317">
        <f t="shared" si="59"/>
        <v>10</v>
      </c>
      <c r="FF87" s="317">
        <f t="shared" si="60"/>
        <v>10</v>
      </c>
      <c r="FG87" s="318">
        <f t="shared" si="63"/>
        <v>85</v>
      </c>
      <c r="FH87" s="319">
        <f t="shared" si="61"/>
        <v>125</v>
      </c>
      <c r="FI87" s="319">
        <f>SUM(I7:ER7)-SUM(ES87:FF87)</f>
        <v>3</v>
      </c>
      <c r="FJ87" s="319">
        <f t="shared" si="62"/>
        <v>128</v>
      </c>
      <c r="FK87" s="7"/>
    </row>
    <row r="88" spans="1:167" ht="15.75" customHeight="1">
      <c r="A88" s="2"/>
      <c r="B88" s="3">
        <f t="shared" si="45"/>
        <v>1</v>
      </c>
      <c r="C88" s="182">
        <f t="shared" si="46"/>
        <v>29</v>
      </c>
      <c r="D88" s="185" t="s">
        <v>129</v>
      </c>
      <c r="E88" s="203"/>
      <c r="F88" s="203">
        <v>15</v>
      </c>
      <c r="G88" s="571">
        <v>45915</v>
      </c>
      <c r="H88" s="572"/>
      <c r="I88" s="212">
        <v>0</v>
      </c>
      <c r="J88" s="206">
        <v>0</v>
      </c>
      <c r="K88" s="206">
        <v>0</v>
      </c>
      <c r="L88" s="206">
        <v>0</v>
      </c>
      <c r="M88" s="206">
        <v>0</v>
      </c>
      <c r="N88" s="206">
        <v>0</v>
      </c>
      <c r="O88" s="206">
        <v>0</v>
      </c>
      <c r="P88" s="206">
        <v>0</v>
      </c>
      <c r="Q88" s="206">
        <v>0</v>
      </c>
      <c r="R88" s="213">
        <v>0</v>
      </c>
      <c r="S88" s="223">
        <v>1</v>
      </c>
      <c r="T88" s="224">
        <v>1</v>
      </c>
      <c r="U88" s="224">
        <v>1</v>
      </c>
      <c r="V88" s="224">
        <v>1</v>
      </c>
      <c r="W88" s="224">
        <v>1</v>
      </c>
      <c r="X88" s="224">
        <v>1</v>
      </c>
      <c r="Y88" s="244">
        <v>1</v>
      </c>
      <c r="Z88" s="245">
        <v>1</v>
      </c>
      <c r="AA88" s="246">
        <v>1</v>
      </c>
      <c r="AB88" s="225">
        <v>1</v>
      </c>
      <c r="AC88" s="262">
        <v>1</v>
      </c>
      <c r="AD88" s="177">
        <v>1</v>
      </c>
      <c r="AE88" s="177">
        <v>1</v>
      </c>
      <c r="AF88" s="177">
        <v>1</v>
      </c>
      <c r="AG88" s="582"/>
      <c r="AH88" s="583"/>
      <c r="AI88" s="177">
        <v>1</v>
      </c>
      <c r="AJ88" s="177">
        <v>1</v>
      </c>
      <c r="AK88" s="177">
        <v>0</v>
      </c>
      <c r="AL88" s="263">
        <v>0</v>
      </c>
      <c r="AM88" s="235">
        <v>1</v>
      </c>
      <c r="AN88" s="271">
        <v>1</v>
      </c>
      <c r="AO88" s="236">
        <v>1</v>
      </c>
      <c r="AP88" s="236">
        <v>1</v>
      </c>
      <c r="AQ88" s="236">
        <v>1</v>
      </c>
      <c r="AR88" s="236">
        <v>1</v>
      </c>
      <c r="AS88" s="236">
        <v>0</v>
      </c>
      <c r="AT88" s="236">
        <v>0</v>
      </c>
      <c r="AU88" s="236">
        <v>1</v>
      </c>
      <c r="AV88" s="272">
        <v>1</v>
      </c>
      <c r="AW88" s="277">
        <v>1</v>
      </c>
      <c r="AX88" s="278">
        <v>1</v>
      </c>
      <c r="AY88" s="278">
        <v>1</v>
      </c>
      <c r="AZ88" s="127">
        <v>1</v>
      </c>
      <c r="BA88" s="278">
        <v>1</v>
      </c>
      <c r="BB88" s="278">
        <v>1</v>
      </c>
      <c r="BC88" s="278">
        <v>1</v>
      </c>
      <c r="BD88" s="127">
        <v>1</v>
      </c>
      <c r="BE88" s="278">
        <v>0</v>
      </c>
      <c r="BF88" s="280">
        <v>0</v>
      </c>
      <c r="BG88" s="212">
        <v>1</v>
      </c>
      <c r="BH88" s="206">
        <v>1</v>
      </c>
      <c r="BI88" s="206">
        <v>1</v>
      </c>
      <c r="BJ88" s="206">
        <v>1</v>
      </c>
      <c r="BK88" s="206">
        <v>1</v>
      </c>
      <c r="BL88" s="206">
        <v>1</v>
      </c>
      <c r="BM88" s="207">
        <v>1</v>
      </c>
      <c r="BN88" s="207">
        <v>1</v>
      </c>
      <c r="BO88" s="207">
        <v>1</v>
      </c>
      <c r="BP88" s="215">
        <v>1</v>
      </c>
      <c r="BQ88" s="226">
        <v>0</v>
      </c>
      <c r="BR88" s="227">
        <v>0</v>
      </c>
      <c r="BS88" s="227">
        <v>1</v>
      </c>
      <c r="BT88" s="227">
        <v>1</v>
      </c>
      <c r="BU88" s="227">
        <v>1</v>
      </c>
      <c r="BV88" s="227">
        <v>1</v>
      </c>
      <c r="BW88" s="227">
        <v>1</v>
      </c>
      <c r="BX88" s="227">
        <v>1</v>
      </c>
      <c r="BY88" s="227">
        <v>1</v>
      </c>
      <c r="BZ88" s="228">
        <v>1</v>
      </c>
      <c r="CA88" s="537"/>
      <c r="CB88" s="538"/>
      <c r="CC88" s="538"/>
      <c r="CD88" s="538"/>
      <c r="CE88" s="538"/>
      <c r="CF88" s="538"/>
      <c r="CG88" s="538"/>
      <c r="CH88" s="538"/>
      <c r="CI88" s="538"/>
      <c r="CJ88" s="538"/>
      <c r="CK88" s="237">
        <v>1</v>
      </c>
      <c r="CL88" s="238">
        <v>1</v>
      </c>
      <c r="CM88" s="238">
        <v>1</v>
      </c>
      <c r="CN88" s="238">
        <v>1</v>
      </c>
      <c r="CO88" s="238">
        <v>1</v>
      </c>
      <c r="CP88" s="238">
        <v>1</v>
      </c>
      <c r="CQ88" s="238">
        <v>1</v>
      </c>
      <c r="CR88" s="238">
        <v>1</v>
      </c>
      <c r="CS88" s="238">
        <v>1</v>
      </c>
      <c r="CT88" s="273">
        <v>1</v>
      </c>
      <c r="CU88" s="295">
        <v>0</v>
      </c>
      <c r="CV88" s="296">
        <v>0</v>
      </c>
      <c r="CW88" s="296">
        <v>0</v>
      </c>
      <c r="CX88" s="296">
        <v>0</v>
      </c>
      <c r="CY88" s="296">
        <v>0</v>
      </c>
      <c r="CZ88" s="296">
        <v>0</v>
      </c>
      <c r="DA88" s="296">
        <v>1</v>
      </c>
      <c r="DB88" s="296">
        <v>1</v>
      </c>
      <c r="DC88" s="297">
        <v>1</v>
      </c>
      <c r="DD88" s="298">
        <v>1</v>
      </c>
      <c r="DE88" s="214">
        <v>1</v>
      </c>
      <c r="DF88" s="207">
        <v>1</v>
      </c>
      <c r="DG88" s="207">
        <v>1</v>
      </c>
      <c r="DH88" s="207">
        <v>1</v>
      </c>
      <c r="DI88" s="207">
        <v>1</v>
      </c>
      <c r="DJ88" s="207">
        <v>1</v>
      </c>
      <c r="DK88" s="207">
        <v>1</v>
      </c>
      <c r="DL88" s="207">
        <v>1</v>
      </c>
      <c r="DM88" s="207">
        <v>1</v>
      </c>
      <c r="DN88" s="215">
        <v>1</v>
      </c>
      <c r="DO88" s="226">
        <v>1</v>
      </c>
      <c r="DP88" s="227">
        <v>1</v>
      </c>
      <c r="DQ88" s="227">
        <v>1</v>
      </c>
      <c r="DR88" s="227">
        <v>1</v>
      </c>
      <c r="DS88" s="227">
        <v>1</v>
      </c>
      <c r="DT88" s="227">
        <v>1</v>
      </c>
      <c r="DU88" s="227">
        <v>1</v>
      </c>
      <c r="DV88" s="227">
        <v>1</v>
      </c>
      <c r="DW88" s="227">
        <v>1</v>
      </c>
      <c r="DX88" s="228">
        <v>1</v>
      </c>
      <c r="DY88" s="90">
        <v>1</v>
      </c>
      <c r="DZ88" s="91">
        <v>1</v>
      </c>
      <c r="EA88" s="91">
        <v>1</v>
      </c>
      <c r="EB88" s="91">
        <v>1</v>
      </c>
      <c r="EC88" s="91">
        <v>1</v>
      </c>
      <c r="ED88" s="91">
        <v>1</v>
      </c>
      <c r="EE88" s="91">
        <v>1</v>
      </c>
      <c r="EF88" s="91">
        <v>1</v>
      </c>
      <c r="EG88" s="91">
        <v>1</v>
      </c>
      <c r="EH88" s="92">
        <v>1</v>
      </c>
      <c r="EI88" s="237">
        <v>1</v>
      </c>
      <c r="EJ88" s="238">
        <v>1</v>
      </c>
      <c r="EK88" s="238">
        <v>1</v>
      </c>
      <c r="EL88" s="238">
        <v>1</v>
      </c>
      <c r="EM88" s="238">
        <v>1</v>
      </c>
      <c r="EN88" s="238">
        <v>1</v>
      </c>
      <c r="EO88" s="238">
        <v>1</v>
      </c>
      <c r="EP88" s="238">
        <v>1</v>
      </c>
      <c r="EQ88" s="238">
        <v>1</v>
      </c>
      <c r="ER88" s="273">
        <v>1</v>
      </c>
      <c r="ES88" s="316">
        <f t="shared" si="47"/>
        <v>0</v>
      </c>
      <c r="ET88" s="317">
        <f t="shared" si="48"/>
        <v>10</v>
      </c>
      <c r="EU88" s="317">
        <f t="shared" si="49"/>
        <v>6</v>
      </c>
      <c r="EV88" s="317">
        <f t="shared" si="50"/>
        <v>8</v>
      </c>
      <c r="EW88" s="317">
        <f t="shared" si="51"/>
        <v>7</v>
      </c>
      <c r="EX88" s="317">
        <f t="shared" si="52"/>
        <v>10</v>
      </c>
      <c r="EY88" s="317">
        <f t="shared" si="53"/>
        <v>8</v>
      </c>
      <c r="EZ88" s="317">
        <f t="shared" si="54"/>
        <v>0</v>
      </c>
      <c r="FA88" s="317">
        <f t="shared" si="55"/>
        <v>10</v>
      </c>
      <c r="FB88" s="317">
        <f t="shared" si="56"/>
        <v>4</v>
      </c>
      <c r="FC88" s="317">
        <f t="shared" si="57"/>
        <v>10</v>
      </c>
      <c r="FD88" s="317">
        <f t="shared" si="58"/>
        <v>10</v>
      </c>
      <c r="FE88" s="317">
        <f t="shared" si="59"/>
        <v>10</v>
      </c>
      <c r="FF88" s="317">
        <f t="shared" si="60"/>
        <v>10</v>
      </c>
      <c r="FG88" s="318">
        <f t="shared" si="63"/>
        <v>86</v>
      </c>
      <c r="FH88" s="319">
        <f t="shared" si="61"/>
        <v>103</v>
      </c>
      <c r="FI88" s="319">
        <f>SUM(I7:ER7)-SUM(ES88:FF88)</f>
        <v>25</v>
      </c>
      <c r="FJ88" s="319">
        <f t="shared" si="62"/>
        <v>128</v>
      </c>
      <c r="FK88" s="7"/>
    </row>
    <row r="89" spans="1:167" ht="15.75" customHeight="1">
      <c r="A89" s="2"/>
      <c r="B89" s="3">
        <f t="shared" si="45"/>
        <v>1</v>
      </c>
      <c r="C89" s="182">
        <f t="shared" si="46"/>
        <v>30</v>
      </c>
      <c r="D89" s="185" t="s">
        <v>130</v>
      </c>
      <c r="E89" s="203"/>
      <c r="F89" s="203">
        <v>15</v>
      </c>
      <c r="G89" s="571">
        <v>45915</v>
      </c>
      <c r="H89" s="572"/>
      <c r="I89" s="212">
        <v>1</v>
      </c>
      <c r="J89" s="206">
        <v>1</v>
      </c>
      <c r="K89" s="206">
        <v>1</v>
      </c>
      <c r="L89" s="206">
        <v>1</v>
      </c>
      <c r="M89" s="206">
        <v>1</v>
      </c>
      <c r="N89" s="206">
        <v>1</v>
      </c>
      <c r="O89" s="206">
        <v>1</v>
      </c>
      <c r="P89" s="206">
        <v>1</v>
      </c>
      <c r="Q89" s="206">
        <v>0</v>
      </c>
      <c r="R89" s="213">
        <v>0</v>
      </c>
      <c r="S89" s="223">
        <v>1</v>
      </c>
      <c r="T89" s="224">
        <v>1</v>
      </c>
      <c r="U89" s="224">
        <v>1</v>
      </c>
      <c r="V89" s="224">
        <v>1</v>
      </c>
      <c r="W89" s="224">
        <v>1</v>
      </c>
      <c r="X89" s="224">
        <v>1</v>
      </c>
      <c r="Y89" s="244">
        <v>1</v>
      </c>
      <c r="Z89" s="245">
        <v>1</v>
      </c>
      <c r="AA89" s="246">
        <v>1</v>
      </c>
      <c r="AB89" s="225">
        <v>1</v>
      </c>
      <c r="AC89" s="262">
        <v>1</v>
      </c>
      <c r="AD89" s="177">
        <v>1</v>
      </c>
      <c r="AE89" s="177">
        <v>1</v>
      </c>
      <c r="AF89" s="177">
        <v>1</v>
      </c>
      <c r="AG89" s="582"/>
      <c r="AH89" s="583"/>
      <c r="AI89" s="177">
        <v>1</v>
      </c>
      <c r="AJ89" s="177">
        <v>1</v>
      </c>
      <c r="AK89" s="177">
        <v>1</v>
      </c>
      <c r="AL89" s="263">
        <v>1</v>
      </c>
      <c r="AM89" s="235">
        <v>1</v>
      </c>
      <c r="AN89" s="271">
        <v>1</v>
      </c>
      <c r="AO89" s="236">
        <v>1</v>
      </c>
      <c r="AP89" s="236">
        <v>1</v>
      </c>
      <c r="AQ89" s="236">
        <v>1</v>
      </c>
      <c r="AR89" s="236">
        <v>1</v>
      </c>
      <c r="AS89" s="236">
        <v>1</v>
      </c>
      <c r="AT89" s="236">
        <v>1</v>
      </c>
      <c r="AU89" s="236">
        <v>1</v>
      </c>
      <c r="AV89" s="272">
        <v>1</v>
      </c>
      <c r="AW89" s="277">
        <v>1</v>
      </c>
      <c r="AX89" s="278">
        <v>1</v>
      </c>
      <c r="AY89" s="278">
        <v>1</v>
      </c>
      <c r="AZ89" s="127">
        <v>1</v>
      </c>
      <c r="BA89" s="278">
        <v>1</v>
      </c>
      <c r="BB89" s="278">
        <v>1</v>
      </c>
      <c r="BC89" s="278">
        <v>1</v>
      </c>
      <c r="BD89" s="127">
        <v>1</v>
      </c>
      <c r="BE89" s="278">
        <v>1</v>
      </c>
      <c r="BF89" s="280">
        <v>1</v>
      </c>
      <c r="BG89" s="212">
        <v>1</v>
      </c>
      <c r="BH89" s="206">
        <v>1</v>
      </c>
      <c r="BI89" s="206">
        <v>1</v>
      </c>
      <c r="BJ89" s="206">
        <v>1</v>
      </c>
      <c r="BK89" s="206">
        <v>1</v>
      </c>
      <c r="BL89" s="206">
        <v>1</v>
      </c>
      <c r="BM89" s="207">
        <v>1</v>
      </c>
      <c r="BN89" s="207">
        <v>1</v>
      </c>
      <c r="BO89" s="207">
        <v>1</v>
      </c>
      <c r="BP89" s="215">
        <v>1</v>
      </c>
      <c r="BQ89" s="226">
        <v>1</v>
      </c>
      <c r="BR89" s="227">
        <v>1</v>
      </c>
      <c r="BS89" s="227">
        <v>1</v>
      </c>
      <c r="BT89" s="227">
        <v>1</v>
      </c>
      <c r="BU89" s="227">
        <v>1</v>
      </c>
      <c r="BV89" s="227">
        <v>1</v>
      </c>
      <c r="BW89" s="227">
        <v>1</v>
      </c>
      <c r="BX89" s="227">
        <v>1</v>
      </c>
      <c r="BY89" s="227">
        <v>1</v>
      </c>
      <c r="BZ89" s="228">
        <v>1</v>
      </c>
      <c r="CA89" s="537"/>
      <c r="CB89" s="538"/>
      <c r="CC89" s="538"/>
      <c r="CD89" s="538"/>
      <c r="CE89" s="538"/>
      <c r="CF89" s="538"/>
      <c r="CG89" s="538"/>
      <c r="CH89" s="538"/>
      <c r="CI89" s="538"/>
      <c r="CJ89" s="538"/>
      <c r="CK89" s="237">
        <v>1</v>
      </c>
      <c r="CL89" s="238">
        <v>1</v>
      </c>
      <c r="CM89" s="238">
        <v>1</v>
      </c>
      <c r="CN89" s="238">
        <v>1</v>
      </c>
      <c r="CO89" s="238">
        <v>1</v>
      </c>
      <c r="CP89" s="238">
        <v>1</v>
      </c>
      <c r="CQ89" s="238">
        <v>1</v>
      </c>
      <c r="CR89" s="238">
        <v>1</v>
      </c>
      <c r="CS89" s="238">
        <v>1</v>
      </c>
      <c r="CT89" s="273">
        <v>1</v>
      </c>
      <c r="CU89" s="295">
        <v>1</v>
      </c>
      <c r="CV89" s="296">
        <v>1</v>
      </c>
      <c r="CW89" s="296">
        <v>0</v>
      </c>
      <c r="CX89" s="296">
        <v>0</v>
      </c>
      <c r="CY89" s="296">
        <v>1</v>
      </c>
      <c r="CZ89" s="296">
        <v>1</v>
      </c>
      <c r="DA89" s="296">
        <v>1</v>
      </c>
      <c r="DB89" s="296">
        <v>1</v>
      </c>
      <c r="DC89" s="297">
        <v>1</v>
      </c>
      <c r="DD89" s="298">
        <v>1</v>
      </c>
      <c r="DE89" s="214">
        <v>1</v>
      </c>
      <c r="DF89" s="207">
        <v>1</v>
      </c>
      <c r="DG89" s="207">
        <v>1</v>
      </c>
      <c r="DH89" s="207">
        <v>1</v>
      </c>
      <c r="DI89" s="207">
        <v>1</v>
      </c>
      <c r="DJ89" s="207">
        <v>1</v>
      </c>
      <c r="DK89" s="207">
        <v>1</v>
      </c>
      <c r="DL89" s="207">
        <v>1</v>
      </c>
      <c r="DM89" s="207">
        <v>1</v>
      </c>
      <c r="DN89" s="215">
        <v>1</v>
      </c>
      <c r="DO89" s="226">
        <v>1</v>
      </c>
      <c r="DP89" s="227">
        <v>1</v>
      </c>
      <c r="DQ89" s="227">
        <v>1</v>
      </c>
      <c r="DR89" s="227">
        <v>1</v>
      </c>
      <c r="DS89" s="227">
        <v>1</v>
      </c>
      <c r="DT89" s="227">
        <v>1</v>
      </c>
      <c r="DU89" s="227">
        <v>1</v>
      </c>
      <c r="DV89" s="227">
        <v>1</v>
      </c>
      <c r="DW89" s="227">
        <v>1</v>
      </c>
      <c r="DX89" s="228">
        <v>1</v>
      </c>
      <c r="DY89" s="90">
        <v>1</v>
      </c>
      <c r="DZ89" s="91">
        <v>1</v>
      </c>
      <c r="EA89" s="91">
        <v>1</v>
      </c>
      <c r="EB89" s="91">
        <v>1</v>
      </c>
      <c r="EC89" s="91">
        <v>1</v>
      </c>
      <c r="ED89" s="91">
        <v>1</v>
      </c>
      <c r="EE89" s="91">
        <v>1</v>
      </c>
      <c r="EF89" s="91">
        <v>1</v>
      </c>
      <c r="EG89" s="91">
        <v>1</v>
      </c>
      <c r="EH89" s="92">
        <v>1</v>
      </c>
      <c r="EI89" s="237">
        <v>1</v>
      </c>
      <c r="EJ89" s="238">
        <v>1</v>
      </c>
      <c r="EK89" s="238">
        <v>1</v>
      </c>
      <c r="EL89" s="238">
        <v>1</v>
      </c>
      <c r="EM89" s="238">
        <v>1</v>
      </c>
      <c r="EN89" s="238">
        <v>1</v>
      </c>
      <c r="EO89" s="238">
        <v>1</v>
      </c>
      <c r="EP89" s="238">
        <v>1</v>
      </c>
      <c r="EQ89" s="238">
        <v>1</v>
      </c>
      <c r="ER89" s="273">
        <v>1</v>
      </c>
      <c r="ES89" s="316">
        <f t="shared" si="47"/>
        <v>8</v>
      </c>
      <c r="ET89" s="317">
        <f t="shared" si="48"/>
        <v>10</v>
      </c>
      <c r="EU89" s="317">
        <f t="shared" si="49"/>
        <v>8</v>
      </c>
      <c r="EV89" s="317">
        <f t="shared" si="50"/>
        <v>10</v>
      </c>
      <c r="EW89" s="317">
        <f t="shared" si="51"/>
        <v>9</v>
      </c>
      <c r="EX89" s="317">
        <f t="shared" si="52"/>
        <v>10</v>
      </c>
      <c r="EY89" s="317">
        <f t="shared" si="53"/>
        <v>10</v>
      </c>
      <c r="EZ89" s="317">
        <f t="shared" si="54"/>
        <v>0</v>
      </c>
      <c r="FA89" s="317">
        <f t="shared" si="55"/>
        <v>10</v>
      </c>
      <c r="FB89" s="317">
        <f t="shared" si="56"/>
        <v>8</v>
      </c>
      <c r="FC89" s="317">
        <f t="shared" si="57"/>
        <v>10</v>
      </c>
      <c r="FD89" s="317">
        <f t="shared" si="58"/>
        <v>10</v>
      </c>
      <c r="FE89" s="317">
        <f t="shared" si="59"/>
        <v>10</v>
      </c>
      <c r="FF89" s="317">
        <f t="shared" si="60"/>
        <v>10</v>
      </c>
      <c r="FG89" s="318">
        <f t="shared" si="63"/>
        <v>87</v>
      </c>
      <c r="FH89" s="319">
        <f t="shared" si="61"/>
        <v>123</v>
      </c>
      <c r="FI89" s="319">
        <f>SUM(I7:ER7)-SUM(ES89:FF89)</f>
        <v>5</v>
      </c>
      <c r="FJ89" s="319">
        <f t="shared" si="62"/>
        <v>128</v>
      </c>
      <c r="FK89" s="7"/>
    </row>
    <row r="90" spans="1:167" ht="15.75" customHeight="1">
      <c r="A90" s="2"/>
      <c r="B90" s="3">
        <f t="shared" si="45"/>
        <v>1</v>
      </c>
      <c r="C90" s="182">
        <f t="shared" si="46"/>
        <v>31</v>
      </c>
      <c r="D90" s="185" t="s">
        <v>131</v>
      </c>
      <c r="E90" s="203"/>
      <c r="F90" s="203">
        <v>15</v>
      </c>
      <c r="G90" s="571">
        <v>45915</v>
      </c>
      <c r="H90" s="572"/>
      <c r="I90" s="212">
        <v>0</v>
      </c>
      <c r="J90" s="206">
        <v>0</v>
      </c>
      <c r="K90" s="206">
        <v>1</v>
      </c>
      <c r="L90" s="206">
        <v>1</v>
      </c>
      <c r="M90" s="206">
        <v>1</v>
      </c>
      <c r="N90" s="206">
        <v>1</v>
      </c>
      <c r="O90" s="206">
        <v>1</v>
      </c>
      <c r="P90" s="206">
        <v>1</v>
      </c>
      <c r="Q90" s="206">
        <v>1</v>
      </c>
      <c r="R90" s="213">
        <v>1</v>
      </c>
      <c r="S90" s="223">
        <v>1</v>
      </c>
      <c r="T90" s="224">
        <v>1</v>
      </c>
      <c r="U90" s="224">
        <v>1</v>
      </c>
      <c r="V90" s="224">
        <v>1</v>
      </c>
      <c r="W90" s="224">
        <v>1</v>
      </c>
      <c r="X90" s="224">
        <v>1</v>
      </c>
      <c r="Y90" s="244">
        <v>1</v>
      </c>
      <c r="Z90" s="245">
        <v>1</v>
      </c>
      <c r="AA90" s="246">
        <v>1</v>
      </c>
      <c r="AB90" s="225">
        <v>1</v>
      </c>
      <c r="AC90" s="262">
        <v>1</v>
      </c>
      <c r="AD90" s="177">
        <v>1</v>
      </c>
      <c r="AE90" s="177">
        <v>1</v>
      </c>
      <c r="AF90" s="177">
        <v>1</v>
      </c>
      <c r="AG90" s="582"/>
      <c r="AH90" s="583"/>
      <c r="AI90" s="177">
        <v>1</v>
      </c>
      <c r="AJ90" s="177">
        <v>1</v>
      </c>
      <c r="AK90" s="177">
        <v>1</v>
      </c>
      <c r="AL90" s="263">
        <v>1</v>
      </c>
      <c r="AM90" s="235">
        <v>1</v>
      </c>
      <c r="AN90" s="271">
        <v>1</v>
      </c>
      <c r="AO90" s="236">
        <v>1</v>
      </c>
      <c r="AP90" s="236">
        <v>1</v>
      </c>
      <c r="AQ90" s="236">
        <v>1</v>
      </c>
      <c r="AR90" s="236">
        <v>1</v>
      </c>
      <c r="AS90" s="236">
        <v>1</v>
      </c>
      <c r="AT90" s="236">
        <v>1</v>
      </c>
      <c r="AU90" s="236">
        <v>1</v>
      </c>
      <c r="AV90" s="272">
        <v>1</v>
      </c>
      <c r="AW90" s="277">
        <v>1</v>
      </c>
      <c r="AX90" s="278">
        <v>1</v>
      </c>
      <c r="AY90" s="278">
        <v>1</v>
      </c>
      <c r="AZ90" s="127">
        <v>1</v>
      </c>
      <c r="BA90" s="278">
        <v>1</v>
      </c>
      <c r="BB90" s="278">
        <v>1</v>
      </c>
      <c r="BC90" s="278">
        <v>1</v>
      </c>
      <c r="BD90" s="127">
        <v>1</v>
      </c>
      <c r="BE90" s="278">
        <v>1</v>
      </c>
      <c r="BF90" s="280">
        <v>1</v>
      </c>
      <c r="BG90" s="212">
        <v>1</v>
      </c>
      <c r="BH90" s="206">
        <v>1</v>
      </c>
      <c r="BI90" s="206">
        <v>1</v>
      </c>
      <c r="BJ90" s="206">
        <v>1</v>
      </c>
      <c r="BK90" s="206">
        <v>1</v>
      </c>
      <c r="BL90" s="206">
        <v>1</v>
      </c>
      <c r="BM90" s="206">
        <v>1</v>
      </c>
      <c r="BN90" s="207">
        <v>1</v>
      </c>
      <c r="BO90" s="207">
        <v>1</v>
      </c>
      <c r="BP90" s="215">
        <v>1</v>
      </c>
      <c r="BQ90" s="226">
        <v>1</v>
      </c>
      <c r="BR90" s="227">
        <v>1</v>
      </c>
      <c r="BS90" s="227">
        <v>1</v>
      </c>
      <c r="BT90" s="227">
        <v>1</v>
      </c>
      <c r="BU90" s="227">
        <v>1</v>
      </c>
      <c r="BV90" s="227">
        <v>1</v>
      </c>
      <c r="BW90" s="227">
        <v>1</v>
      </c>
      <c r="BX90" s="227">
        <v>1</v>
      </c>
      <c r="BY90" s="227">
        <v>1</v>
      </c>
      <c r="BZ90" s="228">
        <v>1</v>
      </c>
      <c r="CA90" s="537"/>
      <c r="CB90" s="538"/>
      <c r="CC90" s="538"/>
      <c r="CD90" s="538"/>
      <c r="CE90" s="538"/>
      <c r="CF90" s="538"/>
      <c r="CG90" s="538"/>
      <c r="CH90" s="538"/>
      <c r="CI90" s="538"/>
      <c r="CJ90" s="538"/>
      <c r="CK90" s="237">
        <v>1</v>
      </c>
      <c r="CL90" s="238">
        <v>1</v>
      </c>
      <c r="CM90" s="238">
        <v>1</v>
      </c>
      <c r="CN90" s="238">
        <v>1</v>
      </c>
      <c r="CO90" s="238">
        <v>1</v>
      </c>
      <c r="CP90" s="238">
        <v>1</v>
      </c>
      <c r="CQ90" s="238">
        <v>1</v>
      </c>
      <c r="CR90" s="238">
        <v>1</v>
      </c>
      <c r="CS90" s="238">
        <v>1</v>
      </c>
      <c r="CT90" s="273">
        <v>1</v>
      </c>
      <c r="CU90" s="295">
        <v>1</v>
      </c>
      <c r="CV90" s="296">
        <v>1</v>
      </c>
      <c r="CW90" s="296">
        <v>1</v>
      </c>
      <c r="CX90" s="296">
        <v>1</v>
      </c>
      <c r="CY90" s="296">
        <v>1</v>
      </c>
      <c r="CZ90" s="296">
        <v>1</v>
      </c>
      <c r="DA90" s="296">
        <v>1</v>
      </c>
      <c r="DB90" s="296">
        <v>1</v>
      </c>
      <c r="DC90" s="297">
        <v>1</v>
      </c>
      <c r="DD90" s="298">
        <v>1</v>
      </c>
      <c r="DE90" s="214">
        <v>1</v>
      </c>
      <c r="DF90" s="207">
        <v>1</v>
      </c>
      <c r="DG90" s="207">
        <v>1</v>
      </c>
      <c r="DH90" s="207">
        <v>1</v>
      </c>
      <c r="DI90" s="207">
        <v>1</v>
      </c>
      <c r="DJ90" s="207">
        <v>1</v>
      </c>
      <c r="DK90" s="207">
        <v>1</v>
      </c>
      <c r="DL90" s="207">
        <v>1</v>
      </c>
      <c r="DM90" s="207">
        <v>1</v>
      </c>
      <c r="DN90" s="215">
        <v>1</v>
      </c>
      <c r="DO90" s="226">
        <v>1</v>
      </c>
      <c r="DP90" s="227">
        <v>1</v>
      </c>
      <c r="DQ90" s="227">
        <v>1</v>
      </c>
      <c r="DR90" s="227">
        <v>1</v>
      </c>
      <c r="DS90" s="227">
        <v>1</v>
      </c>
      <c r="DT90" s="227">
        <v>1</v>
      </c>
      <c r="DU90" s="227">
        <v>1</v>
      </c>
      <c r="DV90" s="227">
        <v>1</v>
      </c>
      <c r="DW90" s="227">
        <v>1</v>
      </c>
      <c r="DX90" s="228">
        <v>1</v>
      </c>
      <c r="DY90" s="90">
        <v>1</v>
      </c>
      <c r="DZ90" s="91">
        <v>1</v>
      </c>
      <c r="EA90" s="91">
        <v>1</v>
      </c>
      <c r="EB90" s="91">
        <v>1</v>
      </c>
      <c r="EC90" s="91">
        <v>1</v>
      </c>
      <c r="ED90" s="91">
        <v>1</v>
      </c>
      <c r="EE90" s="91">
        <v>1</v>
      </c>
      <c r="EF90" s="91">
        <v>1</v>
      </c>
      <c r="EG90" s="91">
        <v>1</v>
      </c>
      <c r="EH90" s="92">
        <v>1</v>
      </c>
      <c r="EI90" s="237">
        <v>1</v>
      </c>
      <c r="EJ90" s="238">
        <v>1</v>
      </c>
      <c r="EK90" s="238">
        <v>1</v>
      </c>
      <c r="EL90" s="238">
        <v>1</v>
      </c>
      <c r="EM90" s="238">
        <v>1</v>
      </c>
      <c r="EN90" s="238">
        <v>1</v>
      </c>
      <c r="EO90" s="238">
        <v>1</v>
      </c>
      <c r="EP90" s="238">
        <v>1</v>
      </c>
      <c r="EQ90" s="238">
        <v>1</v>
      </c>
      <c r="ER90" s="273">
        <v>1</v>
      </c>
      <c r="ES90" s="316">
        <f t="shared" si="47"/>
        <v>8</v>
      </c>
      <c r="ET90" s="317">
        <f t="shared" si="48"/>
        <v>10</v>
      </c>
      <c r="EU90" s="317">
        <f t="shared" si="49"/>
        <v>8</v>
      </c>
      <c r="EV90" s="317">
        <f t="shared" si="50"/>
        <v>10</v>
      </c>
      <c r="EW90" s="317">
        <f t="shared" si="51"/>
        <v>9</v>
      </c>
      <c r="EX90" s="317">
        <f t="shared" si="52"/>
        <v>10</v>
      </c>
      <c r="EY90" s="317">
        <f t="shared" si="53"/>
        <v>10</v>
      </c>
      <c r="EZ90" s="317">
        <f t="shared" si="54"/>
        <v>0</v>
      </c>
      <c r="FA90" s="317">
        <f t="shared" si="55"/>
        <v>10</v>
      </c>
      <c r="FB90" s="317">
        <f t="shared" si="56"/>
        <v>10</v>
      </c>
      <c r="FC90" s="317">
        <f t="shared" si="57"/>
        <v>10</v>
      </c>
      <c r="FD90" s="317">
        <f t="shared" si="58"/>
        <v>10</v>
      </c>
      <c r="FE90" s="317">
        <f t="shared" si="59"/>
        <v>10</v>
      </c>
      <c r="FF90" s="317">
        <f t="shared" si="60"/>
        <v>10</v>
      </c>
      <c r="FG90" s="318">
        <f t="shared" si="63"/>
        <v>88</v>
      </c>
      <c r="FH90" s="319">
        <f t="shared" si="61"/>
        <v>125</v>
      </c>
      <c r="FI90" s="319">
        <f>SUM(I7:ER7)-SUM(ES90:FF90)</f>
        <v>3</v>
      </c>
      <c r="FJ90" s="319">
        <f t="shared" si="62"/>
        <v>128</v>
      </c>
      <c r="FK90" s="7"/>
    </row>
    <row r="91" spans="1:167" ht="15.75" customHeight="1">
      <c r="A91" s="2"/>
      <c r="B91" s="3">
        <f t="shared" si="45"/>
        <v>1</v>
      </c>
      <c r="C91" s="182">
        <f t="shared" si="46"/>
        <v>32</v>
      </c>
      <c r="D91" s="185" t="s">
        <v>132</v>
      </c>
      <c r="E91" s="203"/>
      <c r="F91" s="203">
        <v>14</v>
      </c>
      <c r="G91" s="571">
        <v>45915</v>
      </c>
      <c r="H91" s="572"/>
      <c r="I91" s="212">
        <v>1</v>
      </c>
      <c r="J91" s="206">
        <v>1</v>
      </c>
      <c r="K91" s="206">
        <v>0</v>
      </c>
      <c r="L91" s="206">
        <v>0</v>
      </c>
      <c r="M91" s="206">
        <v>1</v>
      </c>
      <c r="N91" s="206">
        <v>1</v>
      </c>
      <c r="O91" s="206">
        <v>1</v>
      </c>
      <c r="P91" s="206">
        <v>1</v>
      </c>
      <c r="Q91" s="206">
        <v>1</v>
      </c>
      <c r="R91" s="213">
        <v>1</v>
      </c>
      <c r="S91" s="223">
        <v>1</v>
      </c>
      <c r="T91" s="224">
        <v>1</v>
      </c>
      <c r="U91" s="224">
        <v>1</v>
      </c>
      <c r="V91" s="224">
        <v>1</v>
      </c>
      <c r="W91" s="224">
        <v>1</v>
      </c>
      <c r="X91" s="224">
        <v>1</v>
      </c>
      <c r="Y91" s="244">
        <v>1</v>
      </c>
      <c r="Z91" s="245">
        <v>1</v>
      </c>
      <c r="AA91" s="246">
        <v>1</v>
      </c>
      <c r="AB91" s="225">
        <v>1</v>
      </c>
      <c r="AC91" s="262">
        <v>1</v>
      </c>
      <c r="AD91" s="177">
        <v>1</v>
      </c>
      <c r="AE91" s="177">
        <v>1</v>
      </c>
      <c r="AF91" s="177">
        <v>1</v>
      </c>
      <c r="AG91" s="582"/>
      <c r="AH91" s="583"/>
      <c r="AI91" s="177">
        <v>1</v>
      </c>
      <c r="AJ91" s="177">
        <v>1</v>
      </c>
      <c r="AK91" s="177">
        <v>0</v>
      </c>
      <c r="AL91" s="263">
        <v>0</v>
      </c>
      <c r="AM91" s="235">
        <v>0</v>
      </c>
      <c r="AN91" s="271">
        <v>0</v>
      </c>
      <c r="AO91" s="236">
        <v>1</v>
      </c>
      <c r="AP91" s="236">
        <v>1</v>
      </c>
      <c r="AQ91" s="236">
        <v>1</v>
      </c>
      <c r="AR91" s="236">
        <v>1</v>
      </c>
      <c r="AS91" s="236">
        <v>1</v>
      </c>
      <c r="AT91" s="236">
        <v>1</v>
      </c>
      <c r="AU91" s="236">
        <v>1</v>
      </c>
      <c r="AV91" s="272">
        <v>1</v>
      </c>
      <c r="AW91" s="277">
        <v>1</v>
      </c>
      <c r="AX91" s="278">
        <v>1</v>
      </c>
      <c r="AY91" s="278">
        <v>1</v>
      </c>
      <c r="AZ91" s="127">
        <v>1</v>
      </c>
      <c r="BA91" s="278">
        <v>0</v>
      </c>
      <c r="BB91" s="278">
        <v>0</v>
      </c>
      <c r="BC91" s="278">
        <v>1</v>
      </c>
      <c r="BD91" s="127">
        <v>1</v>
      </c>
      <c r="BE91" s="278">
        <v>1</v>
      </c>
      <c r="BF91" s="280">
        <v>1</v>
      </c>
      <c r="BG91" s="212">
        <v>1</v>
      </c>
      <c r="BH91" s="206">
        <v>1</v>
      </c>
      <c r="BI91" s="206">
        <v>1</v>
      </c>
      <c r="BJ91" s="206">
        <v>1</v>
      </c>
      <c r="BK91" s="206">
        <v>1</v>
      </c>
      <c r="BL91" s="206">
        <v>1</v>
      </c>
      <c r="BM91" s="207">
        <v>1</v>
      </c>
      <c r="BN91" s="207">
        <v>1</v>
      </c>
      <c r="BO91" s="207">
        <v>1</v>
      </c>
      <c r="BP91" s="215">
        <v>1</v>
      </c>
      <c r="BQ91" s="226">
        <v>1</v>
      </c>
      <c r="BR91" s="227">
        <v>1</v>
      </c>
      <c r="BS91" s="227">
        <v>1</v>
      </c>
      <c r="BT91" s="227">
        <v>1</v>
      </c>
      <c r="BU91" s="227">
        <v>1</v>
      </c>
      <c r="BV91" s="227">
        <v>1</v>
      </c>
      <c r="BW91" s="227">
        <v>1</v>
      </c>
      <c r="BX91" s="227">
        <v>1</v>
      </c>
      <c r="BY91" s="227">
        <v>1</v>
      </c>
      <c r="BZ91" s="228">
        <v>1</v>
      </c>
      <c r="CA91" s="537"/>
      <c r="CB91" s="538"/>
      <c r="CC91" s="538"/>
      <c r="CD91" s="538"/>
      <c r="CE91" s="538"/>
      <c r="CF91" s="538"/>
      <c r="CG91" s="538"/>
      <c r="CH91" s="538"/>
      <c r="CI91" s="538"/>
      <c r="CJ91" s="538"/>
      <c r="CK91" s="237">
        <v>1</v>
      </c>
      <c r="CL91" s="238">
        <v>1</v>
      </c>
      <c r="CM91" s="238">
        <v>1</v>
      </c>
      <c r="CN91" s="238">
        <v>1</v>
      </c>
      <c r="CO91" s="238">
        <v>1</v>
      </c>
      <c r="CP91" s="238">
        <v>1</v>
      </c>
      <c r="CQ91" s="238">
        <v>1</v>
      </c>
      <c r="CR91" s="238">
        <v>1</v>
      </c>
      <c r="CS91" s="238">
        <v>1</v>
      </c>
      <c r="CT91" s="273">
        <v>1</v>
      </c>
      <c r="CU91" s="295">
        <v>1</v>
      </c>
      <c r="CV91" s="296">
        <v>1</v>
      </c>
      <c r="CW91" s="296">
        <v>1</v>
      </c>
      <c r="CX91" s="296">
        <v>1</v>
      </c>
      <c r="CY91" s="296">
        <v>0</v>
      </c>
      <c r="CZ91" s="296">
        <v>0</v>
      </c>
      <c r="DA91" s="296">
        <v>0</v>
      </c>
      <c r="DB91" s="296">
        <v>0</v>
      </c>
      <c r="DC91" s="297">
        <v>1</v>
      </c>
      <c r="DD91" s="298">
        <v>1</v>
      </c>
      <c r="DE91" s="214">
        <v>1</v>
      </c>
      <c r="DF91" s="207">
        <v>1</v>
      </c>
      <c r="DG91" s="207">
        <v>1</v>
      </c>
      <c r="DH91" s="207">
        <v>1</v>
      </c>
      <c r="DI91" s="207">
        <v>1</v>
      </c>
      <c r="DJ91" s="207">
        <v>1</v>
      </c>
      <c r="DK91" s="207">
        <v>1</v>
      </c>
      <c r="DL91" s="207">
        <v>1</v>
      </c>
      <c r="DM91" s="207">
        <v>1</v>
      </c>
      <c r="DN91" s="215">
        <v>1</v>
      </c>
      <c r="DO91" s="226">
        <v>1</v>
      </c>
      <c r="DP91" s="227">
        <v>1</v>
      </c>
      <c r="DQ91" s="227">
        <v>1</v>
      </c>
      <c r="DR91" s="227">
        <v>1</v>
      </c>
      <c r="DS91" s="227">
        <v>1</v>
      </c>
      <c r="DT91" s="227">
        <v>1</v>
      </c>
      <c r="DU91" s="227">
        <v>1</v>
      </c>
      <c r="DV91" s="227">
        <v>1</v>
      </c>
      <c r="DW91" s="227">
        <v>1</v>
      </c>
      <c r="DX91" s="228">
        <v>1</v>
      </c>
      <c r="DY91" s="90">
        <v>1</v>
      </c>
      <c r="DZ91" s="91">
        <v>1</v>
      </c>
      <c r="EA91" s="91">
        <v>1</v>
      </c>
      <c r="EB91" s="91">
        <v>1</v>
      </c>
      <c r="EC91" s="91">
        <v>1</v>
      </c>
      <c r="ED91" s="91">
        <v>1</v>
      </c>
      <c r="EE91" s="91">
        <v>1</v>
      </c>
      <c r="EF91" s="91">
        <v>1</v>
      </c>
      <c r="EG91" s="91">
        <v>1</v>
      </c>
      <c r="EH91" s="92">
        <v>1</v>
      </c>
      <c r="EI91" s="237">
        <v>1</v>
      </c>
      <c r="EJ91" s="238">
        <v>1</v>
      </c>
      <c r="EK91" s="238">
        <v>1</v>
      </c>
      <c r="EL91" s="238">
        <v>1</v>
      </c>
      <c r="EM91" s="238">
        <v>1</v>
      </c>
      <c r="EN91" s="238">
        <v>1</v>
      </c>
      <c r="EO91" s="238">
        <v>1</v>
      </c>
      <c r="EP91" s="238">
        <v>1</v>
      </c>
      <c r="EQ91" s="238">
        <v>1</v>
      </c>
      <c r="ER91" s="273">
        <v>1</v>
      </c>
      <c r="ES91" s="316">
        <f t="shared" si="47"/>
        <v>8</v>
      </c>
      <c r="ET91" s="317">
        <f t="shared" si="48"/>
        <v>10</v>
      </c>
      <c r="EU91" s="317">
        <f t="shared" si="49"/>
        <v>6</v>
      </c>
      <c r="EV91" s="317">
        <f t="shared" si="50"/>
        <v>8</v>
      </c>
      <c r="EW91" s="317">
        <f t="shared" si="51"/>
        <v>7</v>
      </c>
      <c r="EX91" s="317">
        <f t="shared" si="52"/>
        <v>10</v>
      </c>
      <c r="EY91" s="317">
        <f t="shared" si="53"/>
        <v>10</v>
      </c>
      <c r="EZ91" s="317">
        <f t="shared" si="54"/>
        <v>0</v>
      </c>
      <c r="FA91" s="317">
        <f t="shared" si="55"/>
        <v>10</v>
      </c>
      <c r="FB91" s="317">
        <f t="shared" si="56"/>
        <v>6</v>
      </c>
      <c r="FC91" s="317">
        <f t="shared" si="57"/>
        <v>10</v>
      </c>
      <c r="FD91" s="317">
        <f t="shared" si="58"/>
        <v>10</v>
      </c>
      <c r="FE91" s="317">
        <f t="shared" si="59"/>
        <v>10</v>
      </c>
      <c r="FF91" s="317">
        <f t="shared" si="60"/>
        <v>10</v>
      </c>
      <c r="FG91" s="318">
        <f t="shared" si="63"/>
        <v>89</v>
      </c>
      <c r="FH91" s="319">
        <f t="shared" si="61"/>
        <v>115</v>
      </c>
      <c r="FI91" s="319">
        <f>SUM(I7:ER7)-SUM(ES91:FF91)</f>
        <v>13</v>
      </c>
      <c r="FJ91" s="319">
        <f t="shared" si="62"/>
        <v>128</v>
      </c>
      <c r="FK91" s="7"/>
    </row>
    <row r="92" spans="1:167" ht="15.75" customHeight="1">
      <c r="A92" s="2"/>
      <c r="B92" s="3">
        <f t="shared" si="45"/>
        <v>1</v>
      </c>
      <c r="C92" s="182">
        <f t="shared" si="46"/>
        <v>33</v>
      </c>
      <c r="D92" s="185" t="s">
        <v>133</v>
      </c>
      <c r="E92" s="203"/>
      <c r="F92" s="203">
        <v>16</v>
      </c>
      <c r="G92" s="571">
        <v>45915</v>
      </c>
      <c r="H92" s="572"/>
      <c r="I92" s="212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13">
        <v>0</v>
      </c>
      <c r="S92" s="223">
        <v>1</v>
      </c>
      <c r="T92" s="224">
        <v>1</v>
      </c>
      <c r="U92" s="224">
        <v>1</v>
      </c>
      <c r="V92" s="224">
        <v>1</v>
      </c>
      <c r="W92" s="224">
        <v>1</v>
      </c>
      <c r="X92" s="224">
        <v>1</v>
      </c>
      <c r="Y92" s="244">
        <v>1</v>
      </c>
      <c r="Z92" s="245">
        <v>1</v>
      </c>
      <c r="AA92" s="246">
        <v>1</v>
      </c>
      <c r="AB92" s="225">
        <v>1</v>
      </c>
      <c r="AC92" s="262">
        <v>1</v>
      </c>
      <c r="AD92" s="177">
        <v>1</v>
      </c>
      <c r="AE92" s="177">
        <v>1</v>
      </c>
      <c r="AF92" s="177">
        <v>1</v>
      </c>
      <c r="AG92" s="582"/>
      <c r="AH92" s="583"/>
      <c r="AI92" s="177">
        <v>1</v>
      </c>
      <c r="AJ92" s="177">
        <v>1</v>
      </c>
      <c r="AK92" s="177">
        <v>1</v>
      </c>
      <c r="AL92" s="263">
        <v>1</v>
      </c>
      <c r="AM92" s="235">
        <v>1</v>
      </c>
      <c r="AN92" s="271">
        <v>1</v>
      </c>
      <c r="AO92" s="236">
        <v>1</v>
      </c>
      <c r="AP92" s="236">
        <v>1</v>
      </c>
      <c r="AQ92" s="236">
        <v>1</v>
      </c>
      <c r="AR92" s="236">
        <v>1</v>
      </c>
      <c r="AS92" s="236">
        <v>1</v>
      </c>
      <c r="AT92" s="236">
        <v>1</v>
      </c>
      <c r="AU92" s="236">
        <v>1</v>
      </c>
      <c r="AV92" s="272">
        <v>1</v>
      </c>
      <c r="AW92" s="277">
        <v>1</v>
      </c>
      <c r="AX92" s="278">
        <v>1</v>
      </c>
      <c r="AY92" s="278">
        <v>1</v>
      </c>
      <c r="AZ92" s="127">
        <v>1</v>
      </c>
      <c r="BA92" s="278">
        <v>1</v>
      </c>
      <c r="BB92" s="278">
        <v>1</v>
      </c>
      <c r="BC92" s="278">
        <v>1</v>
      </c>
      <c r="BD92" s="127">
        <v>1</v>
      </c>
      <c r="BE92" s="278">
        <v>1</v>
      </c>
      <c r="BF92" s="280">
        <v>1</v>
      </c>
      <c r="BG92" s="212">
        <v>1</v>
      </c>
      <c r="BH92" s="206">
        <v>1</v>
      </c>
      <c r="BI92" s="206">
        <v>1</v>
      </c>
      <c r="BJ92" s="206">
        <v>1</v>
      </c>
      <c r="BK92" s="206">
        <v>1</v>
      </c>
      <c r="BL92" s="206">
        <v>1</v>
      </c>
      <c r="BM92" s="207">
        <v>1</v>
      </c>
      <c r="BN92" s="207">
        <v>1</v>
      </c>
      <c r="BO92" s="207">
        <v>1</v>
      </c>
      <c r="BP92" s="215">
        <v>1</v>
      </c>
      <c r="BQ92" s="226">
        <v>1</v>
      </c>
      <c r="BR92" s="227">
        <v>1</v>
      </c>
      <c r="BS92" s="227">
        <v>1</v>
      </c>
      <c r="BT92" s="227">
        <v>1</v>
      </c>
      <c r="BU92" s="227">
        <v>1</v>
      </c>
      <c r="BV92" s="227">
        <v>1</v>
      </c>
      <c r="BW92" s="227">
        <v>1</v>
      </c>
      <c r="BX92" s="227">
        <v>1</v>
      </c>
      <c r="BY92" s="227">
        <v>1</v>
      </c>
      <c r="BZ92" s="228">
        <v>1</v>
      </c>
      <c r="CA92" s="537"/>
      <c r="CB92" s="538"/>
      <c r="CC92" s="538"/>
      <c r="CD92" s="538"/>
      <c r="CE92" s="538"/>
      <c r="CF92" s="538"/>
      <c r="CG92" s="538"/>
      <c r="CH92" s="538"/>
      <c r="CI92" s="538"/>
      <c r="CJ92" s="538"/>
      <c r="CK92" s="237">
        <v>1</v>
      </c>
      <c r="CL92" s="238">
        <v>1</v>
      </c>
      <c r="CM92" s="238">
        <v>1</v>
      </c>
      <c r="CN92" s="238">
        <v>1</v>
      </c>
      <c r="CO92" s="238">
        <v>1</v>
      </c>
      <c r="CP92" s="238">
        <v>1</v>
      </c>
      <c r="CQ92" s="238">
        <v>1</v>
      </c>
      <c r="CR92" s="238">
        <v>1</v>
      </c>
      <c r="CS92" s="238">
        <v>1</v>
      </c>
      <c r="CT92" s="273">
        <v>1</v>
      </c>
      <c r="CU92" s="295">
        <v>1</v>
      </c>
      <c r="CV92" s="296">
        <v>1</v>
      </c>
      <c r="CW92" s="296">
        <v>1</v>
      </c>
      <c r="CX92" s="296">
        <v>1</v>
      </c>
      <c r="CY92" s="296">
        <v>0</v>
      </c>
      <c r="CZ92" s="296">
        <v>0</v>
      </c>
      <c r="DA92" s="296">
        <v>0</v>
      </c>
      <c r="DB92" s="296">
        <v>0</v>
      </c>
      <c r="DC92" s="297">
        <v>0</v>
      </c>
      <c r="DD92" s="298">
        <v>0</v>
      </c>
      <c r="DE92" s="214">
        <v>0</v>
      </c>
      <c r="DF92" s="207">
        <v>0</v>
      </c>
      <c r="DG92" s="207">
        <v>0</v>
      </c>
      <c r="DH92" s="207">
        <v>0</v>
      </c>
      <c r="DI92" s="207">
        <v>0</v>
      </c>
      <c r="DJ92" s="207">
        <v>0</v>
      </c>
      <c r="DK92" s="207">
        <v>0</v>
      </c>
      <c r="DL92" s="207">
        <v>0</v>
      </c>
      <c r="DM92" s="207">
        <v>0</v>
      </c>
      <c r="DN92" s="215">
        <v>0</v>
      </c>
      <c r="DO92" s="226">
        <v>1</v>
      </c>
      <c r="DP92" s="227">
        <v>1</v>
      </c>
      <c r="DQ92" s="227">
        <v>1</v>
      </c>
      <c r="DR92" s="227">
        <v>1</v>
      </c>
      <c r="DS92" s="227">
        <v>1</v>
      </c>
      <c r="DT92" s="227">
        <v>1</v>
      </c>
      <c r="DU92" s="227">
        <v>1</v>
      </c>
      <c r="DV92" s="227">
        <v>1</v>
      </c>
      <c r="DW92" s="227">
        <v>1</v>
      </c>
      <c r="DX92" s="228">
        <v>1</v>
      </c>
      <c r="DY92" s="90">
        <v>1</v>
      </c>
      <c r="DZ92" s="91">
        <v>1</v>
      </c>
      <c r="EA92" s="91">
        <v>1</v>
      </c>
      <c r="EB92" s="91">
        <v>1</v>
      </c>
      <c r="EC92" s="91">
        <v>1</v>
      </c>
      <c r="ED92" s="91">
        <v>1</v>
      </c>
      <c r="EE92" s="91">
        <v>1</v>
      </c>
      <c r="EF92" s="91">
        <v>1</v>
      </c>
      <c r="EG92" s="91">
        <v>1</v>
      </c>
      <c r="EH92" s="92">
        <v>1</v>
      </c>
      <c r="EI92" s="237">
        <v>1</v>
      </c>
      <c r="EJ92" s="238">
        <v>1</v>
      </c>
      <c r="EK92" s="238">
        <v>1</v>
      </c>
      <c r="EL92" s="238">
        <v>1</v>
      </c>
      <c r="EM92" s="238">
        <v>1</v>
      </c>
      <c r="EN92" s="238">
        <v>1</v>
      </c>
      <c r="EO92" s="238">
        <v>1</v>
      </c>
      <c r="EP92" s="238">
        <v>1</v>
      </c>
      <c r="EQ92" s="238">
        <v>1</v>
      </c>
      <c r="ER92" s="273">
        <v>1</v>
      </c>
      <c r="ES92" s="316">
        <f t="shared" si="47"/>
        <v>0</v>
      </c>
      <c r="ET92" s="317">
        <f t="shared" si="48"/>
        <v>10</v>
      </c>
      <c r="EU92" s="317">
        <f t="shared" si="49"/>
        <v>8</v>
      </c>
      <c r="EV92" s="317">
        <f t="shared" si="50"/>
        <v>10</v>
      </c>
      <c r="EW92" s="317">
        <f t="shared" si="51"/>
        <v>9</v>
      </c>
      <c r="EX92" s="317">
        <f t="shared" si="52"/>
        <v>10</v>
      </c>
      <c r="EY92" s="317">
        <f t="shared" si="53"/>
        <v>10</v>
      </c>
      <c r="EZ92" s="317">
        <f t="shared" si="54"/>
        <v>0</v>
      </c>
      <c r="FA92" s="317">
        <f t="shared" si="55"/>
        <v>10</v>
      </c>
      <c r="FB92" s="317">
        <f t="shared" si="56"/>
        <v>4</v>
      </c>
      <c r="FC92" s="317">
        <f t="shared" si="57"/>
        <v>0</v>
      </c>
      <c r="FD92" s="317">
        <f t="shared" si="58"/>
        <v>10</v>
      </c>
      <c r="FE92" s="317">
        <f t="shared" si="59"/>
        <v>10</v>
      </c>
      <c r="FF92" s="317">
        <f t="shared" si="60"/>
        <v>10</v>
      </c>
      <c r="FG92" s="318">
        <f t="shared" si="63"/>
        <v>90</v>
      </c>
      <c r="FH92" s="319">
        <f t="shared" si="61"/>
        <v>101</v>
      </c>
      <c r="FI92" s="319">
        <f>SUM(I7:ER7)-SUM(ES92:FF92)</f>
        <v>27</v>
      </c>
      <c r="FJ92" s="319">
        <f t="shared" si="62"/>
        <v>128</v>
      </c>
      <c r="FK92" s="7"/>
    </row>
    <row r="93" spans="1:167" ht="15.75" customHeight="1">
      <c r="A93" s="2"/>
      <c r="B93" s="3">
        <f t="shared" si="45"/>
        <v>1</v>
      </c>
      <c r="C93" s="182">
        <f t="shared" si="46"/>
        <v>34</v>
      </c>
      <c r="D93" s="185" t="s">
        <v>134</v>
      </c>
      <c r="E93" s="203"/>
      <c r="F93" s="203">
        <v>15</v>
      </c>
      <c r="G93" s="571">
        <v>45915</v>
      </c>
      <c r="H93" s="572"/>
      <c r="I93" s="212">
        <v>1</v>
      </c>
      <c r="J93" s="206">
        <v>1</v>
      </c>
      <c r="K93" s="206">
        <v>1</v>
      </c>
      <c r="L93" s="206">
        <v>1</v>
      </c>
      <c r="M93" s="206">
        <v>1</v>
      </c>
      <c r="N93" s="206">
        <v>1</v>
      </c>
      <c r="O93" s="206">
        <v>1</v>
      </c>
      <c r="P93" s="206">
        <v>1</v>
      </c>
      <c r="Q93" s="206">
        <v>1</v>
      </c>
      <c r="R93" s="213">
        <v>1</v>
      </c>
      <c r="S93" s="223">
        <v>1</v>
      </c>
      <c r="T93" s="224">
        <v>1</v>
      </c>
      <c r="U93" s="224">
        <v>1</v>
      </c>
      <c r="V93" s="224">
        <v>1</v>
      </c>
      <c r="W93" s="224">
        <v>1</v>
      </c>
      <c r="X93" s="224">
        <v>1</v>
      </c>
      <c r="Y93" s="244">
        <v>1</v>
      </c>
      <c r="Z93" s="245">
        <v>1</v>
      </c>
      <c r="AA93" s="246">
        <v>1</v>
      </c>
      <c r="AB93" s="225">
        <v>1</v>
      </c>
      <c r="AC93" s="262">
        <v>1</v>
      </c>
      <c r="AD93" s="177">
        <v>1</v>
      </c>
      <c r="AE93" s="177">
        <v>1</v>
      </c>
      <c r="AF93" s="177">
        <v>1</v>
      </c>
      <c r="AG93" s="582"/>
      <c r="AH93" s="583"/>
      <c r="AI93" s="177">
        <v>1</v>
      </c>
      <c r="AJ93" s="177">
        <v>1</v>
      </c>
      <c r="AK93" s="177">
        <v>1</v>
      </c>
      <c r="AL93" s="263">
        <v>1</v>
      </c>
      <c r="AM93" s="235">
        <v>1</v>
      </c>
      <c r="AN93" s="271">
        <v>1</v>
      </c>
      <c r="AO93" s="236">
        <v>1</v>
      </c>
      <c r="AP93" s="236">
        <v>1</v>
      </c>
      <c r="AQ93" s="236">
        <v>1</v>
      </c>
      <c r="AR93" s="236">
        <v>1</v>
      </c>
      <c r="AS93" s="236">
        <v>1</v>
      </c>
      <c r="AT93" s="236">
        <v>1</v>
      </c>
      <c r="AU93" s="236">
        <v>1</v>
      </c>
      <c r="AV93" s="272">
        <v>1</v>
      </c>
      <c r="AW93" s="277">
        <v>1</v>
      </c>
      <c r="AX93" s="278">
        <v>1</v>
      </c>
      <c r="AY93" s="278">
        <v>1</v>
      </c>
      <c r="AZ93" s="127">
        <v>1</v>
      </c>
      <c r="BA93" s="278">
        <v>1</v>
      </c>
      <c r="BB93" s="278">
        <v>1</v>
      </c>
      <c r="BC93" s="278">
        <v>1</v>
      </c>
      <c r="BD93" s="127">
        <v>1</v>
      </c>
      <c r="BE93" s="278">
        <v>1</v>
      </c>
      <c r="BF93" s="280">
        <v>1</v>
      </c>
      <c r="BG93" s="212">
        <v>1</v>
      </c>
      <c r="BH93" s="206">
        <v>1</v>
      </c>
      <c r="BI93" s="206">
        <v>1</v>
      </c>
      <c r="BJ93" s="206">
        <v>1</v>
      </c>
      <c r="BK93" s="206">
        <v>1</v>
      </c>
      <c r="BL93" s="206">
        <v>1</v>
      </c>
      <c r="BM93" s="207">
        <v>1</v>
      </c>
      <c r="BN93" s="207">
        <v>1</v>
      </c>
      <c r="BO93" s="207">
        <v>1</v>
      </c>
      <c r="BP93" s="215">
        <v>1</v>
      </c>
      <c r="BQ93" s="226">
        <v>1</v>
      </c>
      <c r="BR93" s="227">
        <v>1</v>
      </c>
      <c r="BS93" s="227">
        <v>1</v>
      </c>
      <c r="BT93" s="227">
        <v>1</v>
      </c>
      <c r="BU93" s="227">
        <v>1</v>
      </c>
      <c r="BV93" s="227">
        <v>1</v>
      </c>
      <c r="BW93" s="227">
        <v>1</v>
      </c>
      <c r="BX93" s="227">
        <v>1</v>
      </c>
      <c r="BY93" s="227">
        <v>1</v>
      </c>
      <c r="BZ93" s="228">
        <v>1</v>
      </c>
      <c r="CA93" s="537"/>
      <c r="CB93" s="538"/>
      <c r="CC93" s="538"/>
      <c r="CD93" s="538"/>
      <c r="CE93" s="538"/>
      <c r="CF93" s="538"/>
      <c r="CG93" s="538"/>
      <c r="CH93" s="538"/>
      <c r="CI93" s="538"/>
      <c r="CJ93" s="538"/>
      <c r="CK93" s="237">
        <v>1</v>
      </c>
      <c r="CL93" s="238">
        <v>1</v>
      </c>
      <c r="CM93" s="238">
        <v>1</v>
      </c>
      <c r="CN93" s="238">
        <v>1</v>
      </c>
      <c r="CO93" s="238">
        <v>1</v>
      </c>
      <c r="CP93" s="238">
        <v>1</v>
      </c>
      <c r="CQ93" s="238">
        <v>1</v>
      </c>
      <c r="CR93" s="238">
        <v>1</v>
      </c>
      <c r="CS93" s="238">
        <v>1</v>
      </c>
      <c r="CT93" s="273">
        <v>1</v>
      </c>
      <c r="CU93" s="295">
        <v>1</v>
      </c>
      <c r="CV93" s="296">
        <v>1</v>
      </c>
      <c r="CW93" s="296">
        <v>0</v>
      </c>
      <c r="CX93" s="296">
        <v>0</v>
      </c>
      <c r="CY93" s="296">
        <v>0</v>
      </c>
      <c r="CZ93" s="296">
        <v>0</v>
      </c>
      <c r="DA93" s="296">
        <v>0</v>
      </c>
      <c r="DB93" s="296">
        <v>0</v>
      </c>
      <c r="DC93" s="297">
        <v>1</v>
      </c>
      <c r="DD93" s="298">
        <v>1</v>
      </c>
      <c r="DE93" s="214">
        <v>1</v>
      </c>
      <c r="DF93" s="207">
        <v>1</v>
      </c>
      <c r="DG93" s="207">
        <v>1</v>
      </c>
      <c r="DH93" s="207">
        <v>1</v>
      </c>
      <c r="DI93" s="207">
        <v>1</v>
      </c>
      <c r="DJ93" s="207">
        <v>1</v>
      </c>
      <c r="DK93" s="207">
        <v>1</v>
      </c>
      <c r="DL93" s="207">
        <v>1</v>
      </c>
      <c r="DM93" s="207">
        <v>1</v>
      </c>
      <c r="DN93" s="215">
        <v>1</v>
      </c>
      <c r="DO93" s="226">
        <v>1</v>
      </c>
      <c r="DP93" s="227">
        <v>1</v>
      </c>
      <c r="DQ93" s="227">
        <v>1</v>
      </c>
      <c r="DR93" s="227">
        <v>1</v>
      </c>
      <c r="DS93" s="227">
        <v>1</v>
      </c>
      <c r="DT93" s="227">
        <v>1</v>
      </c>
      <c r="DU93" s="227">
        <v>1</v>
      </c>
      <c r="DV93" s="227">
        <v>1</v>
      </c>
      <c r="DW93" s="227">
        <v>1</v>
      </c>
      <c r="DX93" s="228">
        <v>1</v>
      </c>
      <c r="DY93" s="90">
        <v>1</v>
      </c>
      <c r="DZ93" s="91">
        <v>1</v>
      </c>
      <c r="EA93" s="91">
        <v>1</v>
      </c>
      <c r="EB93" s="91">
        <v>1</v>
      </c>
      <c r="EC93" s="91">
        <v>1</v>
      </c>
      <c r="ED93" s="91">
        <v>1</v>
      </c>
      <c r="EE93" s="91">
        <v>1</v>
      </c>
      <c r="EF93" s="91">
        <v>1</v>
      </c>
      <c r="EG93" s="91">
        <v>1</v>
      </c>
      <c r="EH93" s="92">
        <v>1</v>
      </c>
      <c r="EI93" s="237">
        <v>1</v>
      </c>
      <c r="EJ93" s="238">
        <v>1</v>
      </c>
      <c r="EK93" s="238">
        <v>1</v>
      </c>
      <c r="EL93" s="238">
        <v>1</v>
      </c>
      <c r="EM93" s="238">
        <v>1</v>
      </c>
      <c r="EN93" s="238">
        <v>1</v>
      </c>
      <c r="EO93" s="238">
        <v>1</v>
      </c>
      <c r="EP93" s="238">
        <v>1</v>
      </c>
      <c r="EQ93" s="238">
        <v>1</v>
      </c>
      <c r="ER93" s="273">
        <v>1</v>
      </c>
      <c r="ES93" s="316">
        <f t="shared" si="47"/>
        <v>10</v>
      </c>
      <c r="ET93" s="317">
        <f t="shared" si="48"/>
        <v>10</v>
      </c>
      <c r="EU93" s="317">
        <f t="shared" si="49"/>
        <v>8</v>
      </c>
      <c r="EV93" s="317">
        <f t="shared" si="50"/>
        <v>10</v>
      </c>
      <c r="EW93" s="317">
        <f t="shared" si="51"/>
        <v>9</v>
      </c>
      <c r="EX93" s="317">
        <f t="shared" si="52"/>
        <v>10</v>
      </c>
      <c r="EY93" s="317">
        <f t="shared" si="53"/>
        <v>10</v>
      </c>
      <c r="EZ93" s="317">
        <f t="shared" si="54"/>
        <v>0</v>
      </c>
      <c r="FA93" s="317">
        <f t="shared" si="55"/>
        <v>10</v>
      </c>
      <c r="FB93" s="317">
        <f t="shared" si="56"/>
        <v>4</v>
      </c>
      <c r="FC93" s="317">
        <f t="shared" si="57"/>
        <v>10</v>
      </c>
      <c r="FD93" s="317">
        <f t="shared" si="58"/>
        <v>10</v>
      </c>
      <c r="FE93" s="317">
        <f t="shared" si="59"/>
        <v>10</v>
      </c>
      <c r="FF93" s="317">
        <f t="shared" si="60"/>
        <v>10</v>
      </c>
      <c r="FG93" s="318">
        <f t="shared" si="63"/>
        <v>91</v>
      </c>
      <c r="FH93" s="319">
        <f t="shared" si="61"/>
        <v>121</v>
      </c>
      <c r="FI93" s="319">
        <f>SUM(I7:ER7)-SUM(ES93:FF93)</f>
        <v>7</v>
      </c>
      <c r="FJ93" s="319">
        <f t="shared" si="62"/>
        <v>128</v>
      </c>
      <c r="FK93" s="7"/>
    </row>
    <row r="94" spans="1:167" ht="15.75" customHeight="1">
      <c r="A94" s="2"/>
      <c r="B94" s="3">
        <f t="shared" si="45"/>
        <v>1</v>
      </c>
      <c r="C94" s="182">
        <f t="shared" si="46"/>
        <v>35</v>
      </c>
      <c r="D94" s="185" t="s">
        <v>135</v>
      </c>
      <c r="E94" s="203"/>
      <c r="F94" s="203">
        <v>16</v>
      </c>
      <c r="G94" s="571">
        <v>45915</v>
      </c>
      <c r="H94" s="572"/>
      <c r="I94" s="212">
        <v>0</v>
      </c>
      <c r="J94" s="206">
        <v>0</v>
      </c>
      <c r="K94" s="206">
        <v>0</v>
      </c>
      <c r="L94" s="206">
        <v>0</v>
      </c>
      <c r="M94" s="206">
        <v>0</v>
      </c>
      <c r="N94" s="206">
        <v>0</v>
      </c>
      <c r="O94" s="206">
        <v>0</v>
      </c>
      <c r="P94" s="206">
        <v>0</v>
      </c>
      <c r="Q94" s="206">
        <v>0</v>
      </c>
      <c r="R94" s="213">
        <v>0</v>
      </c>
      <c r="S94" s="223">
        <v>0</v>
      </c>
      <c r="T94" s="224">
        <v>0</v>
      </c>
      <c r="U94" s="224">
        <v>0</v>
      </c>
      <c r="V94" s="224">
        <v>0</v>
      </c>
      <c r="W94" s="224">
        <v>0</v>
      </c>
      <c r="X94" s="224">
        <v>0</v>
      </c>
      <c r="Y94" s="244">
        <v>0</v>
      </c>
      <c r="Z94" s="245">
        <v>0</v>
      </c>
      <c r="AA94" s="246">
        <v>0</v>
      </c>
      <c r="AB94" s="225">
        <v>0</v>
      </c>
      <c r="AC94" s="262">
        <v>0</v>
      </c>
      <c r="AD94" s="177">
        <v>0</v>
      </c>
      <c r="AE94" s="177">
        <v>1</v>
      </c>
      <c r="AF94" s="177">
        <v>1</v>
      </c>
      <c r="AG94" s="582"/>
      <c r="AH94" s="583"/>
      <c r="AI94" s="177">
        <v>1</v>
      </c>
      <c r="AJ94" s="177">
        <v>1</v>
      </c>
      <c r="AK94" s="177">
        <v>1</v>
      </c>
      <c r="AL94" s="263">
        <v>1</v>
      </c>
      <c r="AM94" s="235">
        <v>1</v>
      </c>
      <c r="AN94" s="271">
        <v>1</v>
      </c>
      <c r="AO94" s="236">
        <v>1</v>
      </c>
      <c r="AP94" s="236">
        <v>1</v>
      </c>
      <c r="AQ94" s="236">
        <v>1</v>
      </c>
      <c r="AR94" s="236">
        <v>1</v>
      </c>
      <c r="AS94" s="236">
        <v>1</v>
      </c>
      <c r="AT94" s="236">
        <v>1</v>
      </c>
      <c r="AU94" s="236">
        <v>1</v>
      </c>
      <c r="AV94" s="272">
        <v>1</v>
      </c>
      <c r="AW94" s="277">
        <v>1</v>
      </c>
      <c r="AX94" s="278">
        <v>1</v>
      </c>
      <c r="AY94" s="278">
        <v>1</v>
      </c>
      <c r="AZ94" s="127">
        <v>1</v>
      </c>
      <c r="BA94" s="278">
        <v>1</v>
      </c>
      <c r="BB94" s="278">
        <v>1</v>
      </c>
      <c r="BC94" s="278">
        <v>1</v>
      </c>
      <c r="BD94" s="127">
        <v>1</v>
      </c>
      <c r="BE94" s="278">
        <v>1</v>
      </c>
      <c r="BF94" s="280">
        <v>1</v>
      </c>
      <c r="BG94" s="212">
        <v>1</v>
      </c>
      <c r="BH94" s="206">
        <v>1</v>
      </c>
      <c r="BI94" s="206">
        <v>1</v>
      </c>
      <c r="BJ94" s="206">
        <v>1</v>
      </c>
      <c r="BK94" s="206">
        <v>1</v>
      </c>
      <c r="BL94" s="206">
        <v>1</v>
      </c>
      <c r="BM94" s="207">
        <v>1</v>
      </c>
      <c r="BN94" s="207">
        <v>1</v>
      </c>
      <c r="BO94" s="207">
        <v>1</v>
      </c>
      <c r="BP94" s="215">
        <v>1</v>
      </c>
      <c r="BQ94" s="226">
        <v>1</v>
      </c>
      <c r="BR94" s="227">
        <v>1</v>
      </c>
      <c r="BS94" s="227">
        <v>1</v>
      </c>
      <c r="BT94" s="227">
        <v>1</v>
      </c>
      <c r="BU94" s="227">
        <v>1</v>
      </c>
      <c r="BV94" s="227">
        <v>1</v>
      </c>
      <c r="BW94" s="227">
        <v>1</v>
      </c>
      <c r="BX94" s="227">
        <v>1</v>
      </c>
      <c r="BY94" s="227">
        <v>1</v>
      </c>
      <c r="BZ94" s="228">
        <v>1</v>
      </c>
      <c r="CA94" s="537"/>
      <c r="CB94" s="538"/>
      <c r="CC94" s="538"/>
      <c r="CD94" s="538"/>
      <c r="CE94" s="538"/>
      <c r="CF94" s="538"/>
      <c r="CG94" s="538"/>
      <c r="CH94" s="538"/>
      <c r="CI94" s="538"/>
      <c r="CJ94" s="538"/>
      <c r="CK94" s="237">
        <v>1</v>
      </c>
      <c r="CL94" s="238">
        <v>1</v>
      </c>
      <c r="CM94" s="238">
        <v>1</v>
      </c>
      <c r="CN94" s="238">
        <v>1</v>
      </c>
      <c r="CO94" s="238">
        <v>1</v>
      </c>
      <c r="CP94" s="238">
        <v>1</v>
      </c>
      <c r="CQ94" s="238">
        <v>1</v>
      </c>
      <c r="CR94" s="238">
        <v>1</v>
      </c>
      <c r="CS94" s="238">
        <v>1</v>
      </c>
      <c r="CT94" s="273">
        <v>1</v>
      </c>
      <c r="CU94" s="295">
        <v>1</v>
      </c>
      <c r="CV94" s="296">
        <v>1</v>
      </c>
      <c r="CW94" s="296">
        <v>0</v>
      </c>
      <c r="CX94" s="296">
        <v>0</v>
      </c>
      <c r="CY94" s="296">
        <v>1</v>
      </c>
      <c r="CZ94" s="296">
        <v>1</v>
      </c>
      <c r="DA94" s="296">
        <v>1</v>
      </c>
      <c r="DB94" s="296">
        <v>1</v>
      </c>
      <c r="DC94" s="297">
        <v>1</v>
      </c>
      <c r="DD94" s="298">
        <v>1</v>
      </c>
      <c r="DE94" s="214">
        <v>1</v>
      </c>
      <c r="DF94" s="207">
        <v>1</v>
      </c>
      <c r="DG94" s="207">
        <v>1</v>
      </c>
      <c r="DH94" s="207">
        <v>1</v>
      </c>
      <c r="DI94" s="207">
        <v>1</v>
      </c>
      <c r="DJ94" s="207">
        <v>1</v>
      </c>
      <c r="DK94" s="207">
        <v>1</v>
      </c>
      <c r="DL94" s="207">
        <v>1</v>
      </c>
      <c r="DM94" s="207">
        <v>1</v>
      </c>
      <c r="DN94" s="215">
        <v>1</v>
      </c>
      <c r="DO94" s="226">
        <v>1</v>
      </c>
      <c r="DP94" s="227">
        <v>1</v>
      </c>
      <c r="DQ94" s="227">
        <v>1</v>
      </c>
      <c r="DR94" s="227">
        <v>1</v>
      </c>
      <c r="DS94" s="227">
        <v>1</v>
      </c>
      <c r="DT94" s="227">
        <v>1</v>
      </c>
      <c r="DU94" s="227">
        <v>1</v>
      </c>
      <c r="DV94" s="227">
        <v>1</v>
      </c>
      <c r="DW94" s="227">
        <v>1</v>
      </c>
      <c r="DX94" s="228">
        <v>1</v>
      </c>
      <c r="DY94" s="90">
        <v>1</v>
      </c>
      <c r="DZ94" s="91">
        <v>1</v>
      </c>
      <c r="EA94" s="91">
        <v>1</v>
      </c>
      <c r="EB94" s="91">
        <v>1</v>
      </c>
      <c r="EC94" s="91">
        <v>1</v>
      </c>
      <c r="ED94" s="91">
        <v>1</v>
      </c>
      <c r="EE94" s="91">
        <v>1</v>
      </c>
      <c r="EF94" s="91">
        <v>1</v>
      </c>
      <c r="EG94" s="91">
        <v>1</v>
      </c>
      <c r="EH94" s="92">
        <v>1</v>
      </c>
      <c r="EI94" s="237">
        <v>1</v>
      </c>
      <c r="EJ94" s="238">
        <v>1</v>
      </c>
      <c r="EK94" s="238">
        <v>1</v>
      </c>
      <c r="EL94" s="238">
        <v>1</v>
      </c>
      <c r="EM94" s="238">
        <v>1</v>
      </c>
      <c r="EN94" s="238">
        <v>1</v>
      </c>
      <c r="EO94" s="238">
        <v>1</v>
      </c>
      <c r="EP94" s="238">
        <v>1</v>
      </c>
      <c r="EQ94" s="238">
        <v>1</v>
      </c>
      <c r="ER94" s="273">
        <v>1</v>
      </c>
      <c r="ES94" s="316">
        <f t="shared" si="47"/>
        <v>0</v>
      </c>
      <c r="ET94" s="317">
        <f t="shared" si="48"/>
        <v>0</v>
      </c>
      <c r="EU94" s="317">
        <f t="shared" si="49"/>
        <v>6</v>
      </c>
      <c r="EV94" s="317">
        <f t="shared" si="50"/>
        <v>10</v>
      </c>
      <c r="EW94" s="317">
        <f t="shared" si="51"/>
        <v>9</v>
      </c>
      <c r="EX94" s="317">
        <f t="shared" si="52"/>
        <v>10</v>
      </c>
      <c r="EY94" s="317">
        <f t="shared" si="53"/>
        <v>10</v>
      </c>
      <c r="EZ94" s="317">
        <f t="shared" si="54"/>
        <v>0</v>
      </c>
      <c r="FA94" s="317">
        <f t="shared" si="55"/>
        <v>10</v>
      </c>
      <c r="FB94" s="317">
        <f t="shared" si="56"/>
        <v>8</v>
      </c>
      <c r="FC94" s="317">
        <f t="shared" si="57"/>
        <v>10</v>
      </c>
      <c r="FD94" s="317">
        <f t="shared" si="58"/>
        <v>10</v>
      </c>
      <c r="FE94" s="317">
        <f t="shared" si="59"/>
        <v>10</v>
      </c>
      <c r="FF94" s="317">
        <f t="shared" si="60"/>
        <v>10</v>
      </c>
      <c r="FG94" s="318">
        <f t="shared" si="63"/>
        <v>92</v>
      </c>
      <c r="FH94" s="319">
        <f t="shared" si="61"/>
        <v>103</v>
      </c>
      <c r="FI94" s="319">
        <f>SUM(I7:ER7)-SUM(ES94:FF94)</f>
        <v>25</v>
      </c>
      <c r="FJ94" s="319">
        <f t="shared" si="62"/>
        <v>128</v>
      </c>
      <c r="FK94" s="7"/>
    </row>
    <row r="95" spans="1:167" ht="15.75" customHeight="1">
      <c r="A95" s="2"/>
      <c r="B95" s="3">
        <f t="shared" si="45"/>
        <v>1</v>
      </c>
      <c r="C95" s="182">
        <f t="shared" si="46"/>
        <v>36</v>
      </c>
      <c r="D95" s="185" t="s">
        <v>136</v>
      </c>
      <c r="E95" s="203"/>
      <c r="F95" s="203"/>
      <c r="G95" s="571">
        <v>45915</v>
      </c>
      <c r="H95" s="572"/>
      <c r="I95" s="212">
        <v>0</v>
      </c>
      <c r="J95" s="206">
        <v>0</v>
      </c>
      <c r="K95" s="206">
        <v>0</v>
      </c>
      <c r="L95" s="206">
        <v>0</v>
      </c>
      <c r="M95" s="206">
        <v>0</v>
      </c>
      <c r="N95" s="206">
        <v>0</v>
      </c>
      <c r="O95" s="206">
        <v>0</v>
      </c>
      <c r="P95" s="206">
        <v>0</v>
      </c>
      <c r="Q95" s="206">
        <v>0</v>
      </c>
      <c r="R95" s="213">
        <v>0</v>
      </c>
      <c r="S95" s="223">
        <v>0</v>
      </c>
      <c r="T95" s="224">
        <v>0</v>
      </c>
      <c r="U95" s="224">
        <v>0</v>
      </c>
      <c r="V95" s="224">
        <v>0</v>
      </c>
      <c r="W95" s="224">
        <v>0</v>
      </c>
      <c r="X95" s="224">
        <v>0</v>
      </c>
      <c r="Y95" s="244">
        <v>0</v>
      </c>
      <c r="Z95" s="245">
        <v>0</v>
      </c>
      <c r="AA95" s="246">
        <v>0</v>
      </c>
      <c r="AB95" s="225">
        <v>0</v>
      </c>
      <c r="AC95" s="262">
        <v>0</v>
      </c>
      <c r="AD95" s="177">
        <v>0</v>
      </c>
      <c r="AE95" s="177">
        <v>1</v>
      </c>
      <c r="AF95" s="177">
        <v>1</v>
      </c>
      <c r="AG95" s="582"/>
      <c r="AH95" s="583"/>
      <c r="AI95" s="177">
        <v>1</v>
      </c>
      <c r="AJ95" s="177">
        <v>1</v>
      </c>
      <c r="AK95" s="177">
        <v>1</v>
      </c>
      <c r="AL95" s="263">
        <v>1</v>
      </c>
      <c r="AM95" s="235">
        <v>0</v>
      </c>
      <c r="AN95" s="271">
        <v>0</v>
      </c>
      <c r="AO95" s="236">
        <v>0</v>
      </c>
      <c r="AP95" s="236">
        <v>0</v>
      </c>
      <c r="AQ95" s="236">
        <v>1</v>
      </c>
      <c r="AR95" s="236">
        <v>1</v>
      </c>
      <c r="AS95" s="236">
        <v>0</v>
      </c>
      <c r="AT95" s="236">
        <v>0</v>
      </c>
      <c r="AU95" s="236">
        <v>1</v>
      </c>
      <c r="AV95" s="272">
        <v>1</v>
      </c>
      <c r="AW95" s="277">
        <v>1</v>
      </c>
      <c r="AX95" s="278">
        <v>1</v>
      </c>
      <c r="AY95" s="278">
        <v>1</v>
      </c>
      <c r="AZ95" s="127">
        <v>1</v>
      </c>
      <c r="BA95" s="278">
        <v>1</v>
      </c>
      <c r="BB95" s="278">
        <v>1</v>
      </c>
      <c r="BC95" s="278">
        <v>1</v>
      </c>
      <c r="BD95" s="127">
        <v>1</v>
      </c>
      <c r="BE95" s="278">
        <v>1</v>
      </c>
      <c r="BF95" s="280">
        <v>1</v>
      </c>
      <c r="BG95" s="212">
        <v>1</v>
      </c>
      <c r="BH95" s="206">
        <v>1</v>
      </c>
      <c r="BI95" s="206">
        <v>1</v>
      </c>
      <c r="BJ95" s="206">
        <v>1</v>
      </c>
      <c r="BK95" s="206">
        <v>1</v>
      </c>
      <c r="BL95" s="206">
        <v>1</v>
      </c>
      <c r="BM95" s="207">
        <v>1</v>
      </c>
      <c r="BN95" s="207">
        <v>1</v>
      </c>
      <c r="BO95" s="207">
        <v>1</v>
      </c>
      <c r="BP95" s="215">
        <v>1</v>
      </c>
      <c r="BQ95" s="226">
        <v>0</v>
      </c>
      <c r="BR95" s="227">
        <v>0</v>
      </c>
      <c r="BS95" s="227">
        <v>1</v>
      </c>
      <c r="BT95" s="227">
        <v>1</v>
      </c>
      <c r="BU95" s="227">
        <v>1</v>
      </c>
      <c r="BV95" s="227">
        <v>1</v>
      </c>
      <c r="BW95" s="227">
        <v>0</v>
      </c>
      <c r="BX95" s="227">
        <v>0</v>
      </c>
      <c r="BY95" s="227">
        <v>1</v>
      </c>
      <c r="BZ95" s="228">
        <v>1</v>
      </c>
      <c r="CA95" s="537"/>
      <c r="CB95" s="538"/>
      <c r="CC95" s="538"/>
      <c r="CD95" s="538"/>
      <c r="CE95" s="538"/>
      <c r="CF95" s="538"/>
      <c r="CG95" s="538"/>
      <c r="CH95" s="538"/>
      <c r="CI95" s="538"/>
      <c r="CJ95" s="538"/>
      <c r="CK95" s="237">
        <v>0</v>
      </c>
      <c r="CL95" s="238">
        <v>0</v>
      </c>
      <c r="CM95" s="238">
        <v>1</v>
      </c>
      <c r="CN95" s="238">
        <v>1</v>
      </c>
      <c r="CO95" s="238">
        <v>1</v>
      </c>
      <c r="CP95" s="238">
        <v>1</v>
      </c>
      <c r="CQ95" s="238">
        <v>0</v>
      </c>
      <c r="CR95" s="238">
        <v>0</v>
      </c>
      <c r="CS95" s="238">
        <v>0</v>
      </c>
      <c r="CT95" s="273">
        <v>0</v>
      </c>
      <c r="CU95" s="295">
        <v>1</v>
      </c>
      <c r="CV95" s="296">
        <v>1</v>
      </c>
      <c r="CW95" s="296">
        <v>1</v>
      </c>
      <c r="CX95" s="296">
        <v>1</v>
      </c>
      <c r="CY95" s="296">
        <v>1</v>
      </c>
      <c r="CZ95" s="296">
        <v>1</v>
      </c>
      <c r="DA95" s="296">
        <v>1</v>
      </c>
      <c r="DB95" s="296">
        <v>1</v>
      </c>
      <c r="DC95" s="297">
        <v>1</v>
      </c>
      <c r="DD95" s="298">
        <v>1</v>
      </c>
      <c r="DE95" s="214">
        <v>1</v>
      </c>
      <c r="DF95" s="207">
        <v>1</v>
      </c>
      <c r="DG95" s="207">
        <v>1</v>
      </c>
      <c r="DH95" s="207">
        <v>1</v>
      </c>
      <c r="DI95" s="207">
        <v>1</v>
      </c>
      <c r="DJ95" s="207">
        <v>1</v>
      </c>
      <c r="DK95" s="207">
        <v>1</v>
      </c>
      <c r="DL95" s="207">
        <v>1</v>
      </c>
      <c r="DM95" s="207">
        <v>1</v>
      </c>
      <c r="DN95" s="215">
        <v>1</v>
      </c>
      <c r="DO95" s="226">
        <v>1</v>
      </c>
      <c r="DP95" s="227">
        <v>1</v>
      </c>
      <c r="DQ95" s="227">
        <v>1</v>
      </c>
      <c r="DR95" s="227">
        <v>1</v>
      </c>
      <c r="DS95" s="227">
        <v>1</v>
      </c>
      <c r="DT95" s="227">
        <v>1</v>
      </c>
      <c r="DU95" s="227">
        <v>1</v>
      </c>
      <c r="DV95" s="227">
        <v>1</v>
      </c>
      <c r="DW95" s="227">
        <v>1</v>
      </c>
      <c r="DX95" s="228">
        <v>1</v>
      </c>
      <c r="DY95" s="90">
        <v>1</v>
      </c>
      <c r="DZ95" s="91">
        <v>1</v>
      </c>
      <c r="EA95" s="91">
        <v>1</v>
      </c>
      <c r="EB95" s="91">
        <v>1</v>
      </c>
      <c r="EC95" s="91">
        <v>1</v>
      </c>
      <c r="ED95" s="91">
        <v>1</v>
      </c>
      <c r="EE95" s="91">
        <v>1</v>
      </c>
      <c r="EF95" s="91">
        <v>1</v>
      </c>
      <c r="EG95" s="91">
        <v>1</v>
      </c>
      <c r="EH95" s="92">
        <v>1</v>
      </c>
      <c r="EI95" s="237">
        <v>1</v>
      </c>
      <c r="EJ95" s="238">
        <v>1</v>
      </c>
      <c r="EK95" s="238">
        <v>1</v>
      </c>
      <c r="EL95" s="238">
        <v>1</v>
      </c>
      <c r="EM95" s="238">
        <v>1</v>
      </c>
      <c r="EN95" s="238">
        <v>1</v>
      </c>
      <c r="EO95" s="238">
        <v>1</v>
      </c>
      <c r="EP95" s="238">
        <v>1</v>
      </c>
      <c r="EQ95" s="238">
        <v>1</v>
      </c>
      <c r="ER95" s="273">
        <v>1</v>
      </c>
      <c r="ES95" s="316">
        <f t="shared" si="47"/>
        <v>0</v>
      </c>
      <c r="ET95" s="317">
        <f t="shared" si="48"/>
        <v>0</v>
      </c>
      <c r="EU95" s="317">
        <f t="shared" si="49"/>
        <v>6</v>
      </c>
      <c r="EV95" s="317">
        <f t="shared" si="50"/>
        <v>4</v>
      </c>
      <c r="EW95" s="317">
        <f t="shared" si="51"/>
        <v>9</v>
      </c>
      <c r="EX95" s="317">
        <f t="shared" si="52"/>
        <v>10</v>
      </c>
      <c r="EY95" s="317">
        <f t="shared" si="53"/>
        <v>6</v>
      </c>
      <c r="EZ95" s="317">
        <f t="shared" si="54"/>
        <v>0</v>
      </c>
      <c r="FA95" s="317">
        <f t="shared" si="55"/>
        <v>4</v>
      </c>
      <c r="FB95" s="317">
        <f t="shared" si="56"/>
        <v>10</v>
      </c>
      <c r="FC95" s="317">
        <f t="shared" si="57"/>
        <v>10</v>
      </c>
      <c r="FD95" s="317">
        <f t="shared" si="58"/>
        <v>10</v>
      </c>
      <c r="FE95" s="317">
        <f t="shared" si="59"/>
        <v>10</v>
      </c>
      <c r="FF95" s="317">
        <f t="shared" si="60"/>
        <v>10</v>
      </c>
      <c r="FG95" s="318">
        <f t="shared" si="63"/>
        <v>93</v>
      </c>
      <c r="FH95" s="319">
        <f t="shared" si="61"/>
        <v>89</v>
      </c>
      <c r="FI95" s="319">
        <f>SUM(I7:ER7)-SUM(ES95:FF95)</f>
        <v>39</v>
      </c>
      <c r="FJ95" s="319">
        <f t="shared" si="62"/>
        <v>128</v>
      </c>
      <c r="FK95" s="7"/>
    </row>
    <row r="96" spans="1:167" ht="15.75" customHeight="1">
      <c r="A96" s="2"/>
      <c r="B96" s="3">
        <f t="shared" si="45"/>
        <v>1</v>
      </c>
      <c r="C96" s="182">
        <f t="shared" si="46"/>
        <v>37</v>
      </c>
      <c r="D96" s="185" t="s">
        <v>137</v>
      </c>
      <c r="E96" s="203"/>
      <c r="F96" s="203">
        <v>14</v>
      </c>
      <c r="G96" s="571">
        <v>45915</v>
      </c>
      <c r="H96" s="572"/>
      <c r="I96" s="212">
        <v>1</v>
      </c>
      <c r="J96" s="206">
        <v>1</v>
      </c>
      <c r="K96" s="206">
        <v>1</v>
      </c>
      <c r="L96" s="206">
        <v>1</v>
      </c>
      <c r="M96" s="206">
        <v>1</v>
      </c>
      <c r="N96" s="206">
        <v>1</v>
      </c>
      <c r="O96" s="206">
        <v>1</v>
      </c>
      <c r="P96" s="206">
        <v>1</v>
      </c>
      <c r="Q96" s="206">
        <v>1</v>
      </c>
      <c r="R96" s="213">
        <v>1</v>
      </c>
      <c r="S96" s="223">
        <v>1</v>
      </c>
      <c r="T96" s="224">
        <v>1</v>
      </c>
      <c r="U96" s="224">
        <v>1</v>
      </c>
      <c r="V96" s="224">
        <v>1</v>
      </c>
      <c r="W96" s="224">
        <v>1</v>
      </c>
      <c r="X96" s="224">
        <v>1</v>
      </c>
      <c r="Y96" s="244">
        <v>0</v>
      </c>
      <c r="Z96" s="245">
        <v>0</v>
      </c>
      <c r="AA96" s="246">
        <v>0</v>
      </c>
      <c r="AB96" s="225">
        <v>0</v>
      </c>
      <c r="AC96" s="262">
        <v>0</v>
      </c>
      <c r="AD96" s="177">
        <v>0</v>
      </c>
      <c r="AE96" s="177">
        <v>1</v>
      </c>
      <c r="AF96" s="177">
        <v>1</v>
      </c>
      <c r="AG96" s="582"/>
      <c r="AH96" s="583"/>
      <c r="AI96" s="177">
        <v>1</v>
      </c>
      <c r="AJ96" s="178">
        <v>1</v>
      </c>
      <c r="AK96" s="177">
        <v>1</v>
      </c>
      <c r="AL96" s="263">
        <v>1</v>
      </c>
      <c r="AM96" s="235">
        <v>1</v>
      </c>
      <c r="AN96" s="271">
        <v>1</v>
      </c>
      <c r="AO96" s="236">
        <v>1</v>
      </c>
      <c r="AP96" s="236">
        <v>1</v>
      </c>
      <c r="AQ96" s="236">
        <v>1</v>
      </c>
      <c r="AR96" s="236">
        <v>1</v>
      </c>
      <c r="AS96" s="236">
        <v>1</v>
      </c>
      <c r="AT96" s="236">
        <v>1</v>
      </c>
      <c r="AU96" s="236">
        <v>1</v>
      </c>
      <c r="AV96" s="272">
        <v>1</v>
      </c>
      <c r="AW96" s="277">
        <v>1</v>
      </c>
      <c r="AX96" s="278">
        <v>1</v>
      </c>
      <c r="AY96" s="278">
        <v>1</v>
      </c>
      <c r="AZ96" s="127">
        <v>1</v>
      </c>
      <c r="BA96" s="278">
        <v>1</v>
      </c>
      <c r="BB96" s="278">
        <v>1</v>
      </c>
      <c r="BC96" s="278">
        <v>1</v>
      </c>
      <c r="BD96" s="127">
        <v>1</v>
      </c>
      <c r="BE96" s="278">
        <v>1</v>
      </c>
      <c r="BF96" s="280">
        <v>1</v>
      </c>
      <c r="BG96" s="212">
        <v>1</v>
      </c>
      <c r="BH96" s="206">
        <v>1</v>
      </c>
      <c r="BI96" s="206">
        <v>1</v>
      </c>
      <c r="BJ96" s="206">
        <v>1</v>
      </c>
      <c r="BK96" s="206">
        <v>1</v>
      </c>
      <c r="BL96" s="206">
        <v>1</v>
      </c>
      <c r="BM96" s="207">
        <v>1</v>
      </c>
      <c r="BN96" s="207">
        <v>1</v>
      </c>
      <c r="BO96" s="207">
        <v>1</v>
      </c>
      <c r="BP96" s="215">
        <v>1</v>
      </c>
      <c r="BQ96" s="226">
        <v>1</v>
      </c>
      <c r="BR96" s="227">
        <v>1</v>
      </c>
      <c r="BS96" s="227">
        <v>1</v>
      </c>
      <c r="BT96" s="227">
        <v>1</v>
      </c>
      <c r="BU96" s="227">
        <v>1</v>
      </c>
      <c r="BV96" s="227">
        <v>1</v>
      </c>
      <c r="BW96" s="227">
        <v>1</v>
      </c>
      <c r="BX96" s="227">
        <v>1</v>
      </c>
      <c r="BY96" s="227">
        <v>1</v>
      </c>
      <c r="BZ96" s="228">
        <v>1</v>
      </c>
      <c r="CA96" s="537"/>
      <c r="CB96" s="538"/>
      <c r="CC96" s="538"/>
      <c r="CD96" s="538"/>
      <c r="CE96" s="538"/>
      <c r="CF96" s="538"/>
      <c r="CG96" s="538"/>
      <c r="CH96" s="538"/>
      <c r="CI96" s="538"/>
      <c r="CJ96" s="538"/>
      <c r="CK96" s="237">
        <v>1</v>
      </c>
      <c r="CL96" s="238">
        <v>1</v>
      </c>
      <c r="CM96" s="238">
        <v>1</v>
      </c>
      <c r="CN96" s="238">
        <v>1</v>
      </c>
      <c r="CO96" s="238">
        <v>1</v>
      </c>
      <c r="CP96" s="238">
        <v>1</v>
      </c>
      <c r="CQ96" s="238">
        <v>1</v>
      </c>
      <c r="CR96" s="238">
        <v>1</v>
      </c>
      <c r="CS96" s="238">
        <v>1</v>
      </c>
      <c r="CT96" s="273">
        <v>1</v>
      </c>
      <c r="CU96" s="295">
        <v>1</v>
      </c>
      <c r="CV96" s="296">
        <v>1</v>
      </c>
      <c r="CW96" s="296">
        <v>1</v>
      </c>
      <c r="CX96" s="296">
        <v>1</v>
      </c>
      <c r="CY96" s="296">
        <v>1</v>
      </c>
      <c r="CZ96" s="296">
        <v>1</v>
      </c>
      <c r="DA96" s="296">
        <v>1</v>
      </c>
      <c r="DB96" s="296">
        <v>1</v>
      </c>
      <c r="DC96" s="297">
        <v>1</v>
      </c>
      <c r="DD96" s="298">
        <v>1</v>
      </c>
      <c r="DE96" s="214">
        <v>1</v>
      </c>
      <c r="DF96" s="207">
        <v>1</v>
      </c>
      <c r="DG96" s="207">
        <v>1</v>
      </c>
      <c r="DH96" s="207">
        <v>1</v>
      </c>
      <c r="DI96" s="207">
        <v>1</v>
      </c>
      <c r="DJ96" s="207">
        <v>1</v>
      </c>
      <c r="DK96" s="207">
        <v>1</v>
      </c>
      <c r="DL96" s="207">
        <v>1</v>
      </c>
      <c r="DM96" s="207">
        <v>1</v>
      </c>
      <c r="DN96" s="215">
        <v>1</v>
      </c>
      <c r="DO96" s="226">
        <v>1</v>
      </c>
      <c r="DP96" s="227">
        <v>1</v>
      </c>
      <c r="DQ96" s="227">
        <v>1</v>
      </c>
      <c r="DR96" s="227">
        <v>1</v>
      </c>
      <c r="DS96" s="227">
        <v>1</v>
      </c>
      <c r="DT96" s="227">
        <v>1</v>
      </c>
      <c r="DU96" s="227">
        <v>1</v>
      </c>
      <c r="DV96" s="227">
        <v>1</v>
      </c>
      <c r="DW96" s="227">
        <v>1</v>
      </c>
      <c r="DX96" s="228">
        <v>1</v>
      </c>
      <c r="DY96" s="90">
        <v>1</v>
      </c>
      <c r="DZ96" s="91">
        <v>1</v>
      </c>
      <c r="EA96" s="91">
        <v>1</v>
      </c>
      <c r="EB96" s="91">
        <v>1</v>
      </c>
      <c r="EC96" s="91">
        <v>1</v>
      </c>
      <c r="ED96" s="91">
        <v>1</v>
      </c>
      <c r="EE96" s="91">
        <v>1</v>
      </c>
      <c r="EF96" s="91">
        <v>1</v>
      </c>
      <c r="EG96" s="91">
        <v>1</v>
      </c>
      <c r="EH96" s="92">
        <v>1</v>
      </c>
      <c r="EI96" s="237">
        <v>1</v>
      </c>
      <c r="EJ96" s="238">
        <v>1</v>
      </c>
      <c r="EK96" s="238">
        <v>1</v>
      </c>
      <c r="EL96" s="238">
        <v>1</v>
      </c>
      <c r="EM96" s="238">
        <v>1</v>
      </c>
      <c r="EN96" s="238">
        <v>1</v>
      </c>
      <c r="EO96" s="238">
        <v>1</v>
      </c>
      <c r="EP96" s="238">
        <v>1</v>
      </c>
      <c r="EQ96" s="238">
        <v>1</v>
      </c>
      <c r="ER96" s="273">
        <v>1</v>
      </c>
      <c r="ES96" s="316">
        <f t="shared" si="47"/>
        <v>10</v>
      </c>
      <c r="ET96" s="317">
        <f t="shared" si="48"/>
        <v>6</v>
      </c>
      <c r="EU96" s="317">
        <f t="shared" si="49"/>
        <v>6</v>
      </c>
      <c r="EV96" s="317">
        <f t="shared" si="50"/>
        <v>10</v>
      </c>
      <c r="EW96" s="317">
        <f t="shared" si="51"/>
        <v>9</v>
      </c>
      <c r="EX96" s="317">
        <f t="shared" si="52"/>
        <v>10</v>
      </c>
      <c r="EY96" s="317">
        <f t="shared" si="53"/>
        <v>10</v>
      </c>
      <c r="EZ96" s="317">
        <f t="shared" si="54"/>
        <v>0</v>
      </c>
      <c r="FA96" s="317">
        <f t="shared" si="55"/>
        <v>10</v>
      </c>
      <c r="FB96" s="317">
        <f t="shared" si="56"/>
        <v>10</v>
      </c>
      <c r="FC96" s="317">
        <f t="shared" si="57"/>
        <v>10</v>
      </c>
      <c r="FD96" s="317">
        <f t="shared" si="58"/>
        <v>10</v>
      </c>
      <c r="FE96" s="317">
        <f t="shared" si="59"/>
        <v>10</v>
      </c>
      <c r="FF96" s="317">
        <f t="shared" si="60"/>
        <v>10</v>
      </c>
      <c r="FG96" s="318">
        <f t="shared" si="63"/>
        <v>94</v>
      </c>
      <c r="FH96" s="319">
        <f t="shared" si="61"/>
        <v>121</v>
      </c>
      <c r="FI96" s="319">
        <f>SUM(I7:ER7)-SUM(ES96:FF96)</f>
        <v>7</v>
      </c>
      <c r="FJ96" s="319">
        <f t="shared" si="62"/>
        <v>128</v>
      </c>
      <c r="FK96" s="7"/>
    </row>
    <row r="97" spans="1:167" ht="15.75" customHeight="1">
      <c r="A97" s="2"/>
      <c r="B97" s="3">
        <f t="shared" si="45"/>
        <v>1</v>
      </c>
      <c r="C97" s="182">
        <f t="shared" si="46"/>
        <v>38</v>
      </c>
      <c r="D97" s="185" t="s">
        <v>138</v>
      </c>
      <c r="E97" s="203"/>
      <c r="F97" s="203">
        <v>16</v>
      </c>
      <c r="G97" s="571">
        <v>45915</v>
      </c>
      <c r="H97" s="572"/>
      <c r="I97" s="212">
        <v>0</v>
      </c>
      <c r="J97" s="206">
        <v>0</v>
      </c>
      <c r="K97" s="206">
        <v>0</v>
      </c>
      <c r="L97" s="206">
        <v>0</v>
      </c>
      <c r="M97" s="206">
        <v>0</v>
      </c>
      <c r="N97" s="206">
        <v>0</v>
      </c>
      <c r="O97" s="206">
        <v>0</v>
      </c>
      <c r="P97" s="206">
        <v>0</v>
      </c>
      <c r="Q97" s="206">
        <v>0</v>
      </c>
      <c r="R97" s="213">
        <v>0</v>
      </c>
      <c r="S97" s="223">
        <v>0</v>
      </c>
      <c r="T97" s="224">
        <v>0</v>
      </c>
      <c r="U97" s="224">
        <v>0</v>
      </c>
      <c r="V97" s="224">
        <v>0</v>
      </c>
      <c r="W97" s="224">
        <v>0</v>
      </c>
      <c r="X97" s="224">
        <v>0</v>
      </c>
      <c r="Y97" s="244">
        <v>0</v>
      </c>
      <c r="Z97" s="245">
        <v>0</v>
      </c>
      <c r="AA97" s="246">
        <v>0</v>
      </c>
      <c r="AB97" s="225">
        <v>0</v>
      </c>
      <c r="AC97" s="262">
        <v>0</v>
      </c>
      <c r="AD97" s="177">
        <v>0</v>
      </c>
      <c r="AE97" s="177">
        <v>0</v>
      </c>
      <c r="AF97" s="177">
        <v>0</v>
      </c>
      <c r="AG97" s="582"/>
      <c r="AH97" s="583"/>
      <c r="AI97" s="177">
        <v>1</v>
      </c>
      <c r="AJ97" s="177">
        <v>1</v>
      </c>
      <c r="AK97" s="177">
        <v>1</v>
      </c>
      <c r="AL97" s="263">
        <v>1</v>
      </c>
      <c r="AM97" s="235">
        <v>1</v>
      </c>
      <c r="AN97" s="271">
        <v>1</v>
      </c>
      <c r="AO97" s="236">
        <v>1</v>
      </c>
      <c r="AP97" s="236">
        <v>1</v>
      </c>
      <c r="AQ97" s="236">
        <v>1</v>
      </c>
      <c r="AR97" s="236">
        <v>1</v>
      </c>
      <c r="AS97" s="236">
        <v>1</v>
      </c>
      <c r="AT97" s="236">
        <v>1</v>
      </c>
      <c r="AU97" s="236">
        <v>1</v>
      </c>
      <c r="AV97" s="272">
        <v>1</v>
      </c>
      <c r="AW97" s="277">
        <v>1</v>
      </c>
      <c r="AX97" s="278">
        <v>1</v>
      </c>
      <c r="AY97" s="278">
        <v>1</v>
      </c>
      <c r="AZ97" s="127">
        <v>1</v>
      </c>
      <c r="BA97" s="278">
        <v>1</v>
      </c>
      <c r="BB97" s="278">
        <v>1</v>
      </c>
      <c r="BC97" s="278">
        <v>1</v>
      </c>
      <c r="BD97" s="127">
        <v>1</v>
      </c>
      <c r="BE97" s="278">
        <v>1</v>
      </c>
      <c r="BF97" s="280">
        <v>1</v>
      </c>
      <c r="BG97" s="212">
        <v>1</v>
      </c>
      <c r="BH97" s="206">
        <v>1</v>
      </c>
      <c r="BI97" s="206">
        <v>1</v>
      </c>
      <c r="BJ97" s="206">
        <v>1</v>
      </c>
      <c r="BK97" s="206">
        <v>1</v>
      </c>
      <c r="BL97" s="206">
        <v>1</v>
      </c>
      <c r="BM97" s="207">
        <v>1</v>
      </c>
      <c r="BN97" s="207">
        <v>1</v>
      </c>
      <c r="BO97" s="207">
        <v>1</v>
      </c>
      <c r="BP97" s="215">
        <v>1</v>
      </c>
      <c r="BQ97" s="226">
        <v>1</v>
      </c>
      <c r="BR97" s="227">
        <v>1</v>
      </c>
      <c r="BS97" s="227">
        <v>1</v>
      </c>
      <c r="BT97" s="227">
        <v>1</v>
      </c>
      <c r="BU97" s="227">
        <v>1</v>
      </c>
      <c r="BV97" s="227">
        <v>1</v>
      </c>
      <c r="BW97" s="227">
        <v>1</v>
      </c>
      <c r="BX97" s="227">
        <v>1</v>
      </c>
      <c r="BY97" s="227">
        <v>1</v>
      </c>
      <c r="BZ97" s="228">
        <v>1</v>
      </c>
      <c r="CA97" s="537"/>
      <c r="CB97" s="538"/>
      <c r="CC97" s="538"/>
      <c r="CD97" s="538"/>
      <c r="CE97" s="538"/>
      <c r="CF97" s="538"/>
      <c r="CG97" s="538"/>
      <c r="CH97" s="538"/>
      <c r="CI97" s="538"/>
      <c r="CJ97" s="538"/>
      <c r="CK97" s="237">
        <v>1</v>
      </c>
      <c r="CL97" s="238">
        <v>1</v>
      </c>
      <c r="CM97" s="238">
        <v>1</v>
      </c>
      <c r="CN97" s="238">
        <v>1</v>
      </c>
      <c r="CO97" s="238">
        <v>1</v>
      </c>
      <c r="CP97" s="238">
        <v>1</v>
      </c>
      <c r="CQ97" s="238">
        <v>1</v>
      </c>
      <c r="CR97" s="238">
        <v>1</v>
      </c>
      <c r="CS97" s="238">
        <v>1</v>
      </c>
      <c r="CT97" s="273">
        <v>1</v>
      </c>
      <c r="CU97" s="295">
        <v>1</v>
      </c>
      <c r="CV97" s="296">
        <v>1</v>
      </c>
      <c r="CW97" s="296">
        <v>1</v>
      </c>
      <c r="CX97" s="296">
        <v>1</v>
      </c>
      <c r="CY97" s="296">
        <v>1</v>
      </c>
      <c r="CZ97" s="296">
        <v>1</v>
      </c>
      <c r="DA97" s="296">
        <v>1</v>
      </c>
      <c r="DB97" s="296">
        <v>1</v>
      </c>
      <c r="DC97" s="297">
        <v>1</v>
      </c>
      <c r="DD97" s="298">
        <v>1</v>
      </c>
      <c r="DE97" s="214">
        <v>1</v>
      </c>
      <c r="DF97" s="207">
        <v>1</v>
      </c>
      <c r="DG97" s="207">
        <v>1</v>
      </c>
      <c r="DH97" s="207">
        <v>1</v>
      </c>
      <c r="DI97" s="207">
        <v>1</v>
      </c>
      <c r="DJ97" s="207">
        <v>1</v>
      </c>
      <c r="DK97" s="207">
        <v>1</v>
      </c>
      <c r="DL97" s="207">
        <v>1</v>
      </c>
      <c r="DM97" s="207">
        <v>1</v>
      </c>
      <c r="DN97" s="215">
        <v>1</v>
      </c>
      <c r="DO97" s="226">
        <v>1</v>
      </c>
      <c r="DP97" s="227">
        <v>1</v>
      </c>
      <c r="DQ97" s="227">
        <v>1</v>
      </c>
      <c r="DR97" s="227">
        <v>1</v>
      </c>
      <c r="DS97" s="227">
        <v>1</v>
      </c>
      <c r="DT97" s="227">
        <v>1</v>
      </c>
      <c r="DU97" s="227">
        <v>1</v>
      </c>
      <c r="DV97" s="227">
        <v>1</v>
      </c>
      <c r="DW97" s="227">
        <v>1</v>
      </c>
      <c r="DX97" s="228">
        <v>1</v>
      </c>
      <c r="DY97" s="90">
        <v>1</v>
      </c>
      <c r="DZ97" s="91">
        <v>1</v>
      </c>
      <c r="EA97" s="91">
        <v>1</v>
      </c>
      <c r="EB97" s="91">
        <v>1</v>
      </c>
      <c r="EC97" s="91">
        <v>1</v>
      </c>
      <c r="ED97" s="91">
        <v>1</v>
      </c>
      <c r="EE97" s="91">
        <v>1</v>
      </c>
      <c r="EF97" s="91">
        <v>1</v>
      </c>
      <c r="EG97" s="91">
        <v>1</v>
      </c>
      <c r="EH97" s="92">
        <v>1</v>
      </c>
      <c r="EI97" s="237">
        <v>1</v>
      </c>
      <c r="EJ97" s="238">
        <v>1</v>
      </c>
      <c r="EK97" s="238">
        <v>1</v>
      </c>
      <c r="EL97" s="238">
        <v>1</v>
      </c>
      <c r="EM97" s="238">
        <v>1</v>
      </c>
      <c r="EN97" s="238">
        <v>1</v>
      </c>
      <c r="EO97" s="238">
        <v>1</v>
      </c>
      <c r="EP97" s="238">
        <v>1</v>
      </c>
      <c r="EQ97" s="238">
        <v>1</v>
      </c>
      <c r="ER97" s="273">
        <v>1</v>
      </c>
      <c r="ES97" s="316">
        <f t="shared" si="47"/>
        <v>0</v>
      </c>
      <c r="ET97" s="317">
        <f t="shared" si="48"/>
        <v>0</v>
      </c>
      <c r="EU97" s="317">
        <f t="shared" si="49"/>
        <v>4</v>
      </c>
      <c r="EV97" s="317">
        <f t="shared" si="50"/>
        <v>10</v>
      </c>
      <c r="EW97" s="317">
        <f t="shared" si="51"/>
        <v>9</v>
      </c>
      <c r="EX97" s="317">
        <f t="shared" si="52"/>
        <v>10</v>
      </c>
      <c r="EY97" s="317">
        <f t="shared" si="53"/>
        <v>10</v>
      </c>
      <c r="EZ97" s="317">
        <f t="shared" si="54"/>
        <v>0</v>
      </c>
      <c r="FA97" s="317">
        <f t="shared" si="55"/>
        <v>10</v>
      </c>
      <c r="FB97" s="317">
        <f t="shared" si="56"/>
        <v>10</v>
      </c>
      <c r="FC97" s="317">
        <f t="shared" si="57"/>
        <v>10</v>
      </c>
      <c r="FD97" s="317">
        <f t="shared" si="58"/>
        <v>10</v>
      </c>
      <c r="FE97" s="317">
        <f t="shared" si="59"/>
        <v>10</v>
      </c>
      <c r="FF97" s="317">
        <f t="shared" si="60"/>
        <v>10</v>
      </c>
      <c r="FG97" s="318">
        <f t="shared" si="63"/>
        <v>95</v>
      </c>
      <c r="FH97" s="319">
        <f t="shared" si="61"/>
        <v>103</v>
      </c>
      <c r="FI97" s="319">
        <f>SUM(I7:ER7)-SUM(ES97:FF97)</f>
        <v>25</v>
      </c>
      <c r="FJ97" s="319">
        <f t="shared" si="62"/>
        <v>128</v>
      </c>
      <c r="FK97" s="7"/>
    </row>
    <row r="98" spans="1:167" ht="15.75" customHeight="1">
      <c r="A98" s="2"/>
      <c r="B98" s="3">
        <f t="shared" si="45"/>
        <v>1</v>
      </c>
      <c r="C98" s="182">
        <f t="shared" si="46"/>
        <v>39</v>
      </c>
      <c r="D98" s="185" t="s">
        <v>139</v>
      </c>
      <c r="E98" s="203"/>
      <c r="F98" s="203">
        <v>17</v>
      </c>
      <c r="G98" s="571">
        <v>45915</v>
      </c>
      <c r="H98" s="572"/>
      <c r="I98" s="212">
        <v>0</v>
      </c>
      <c r="J98" s="206">
        <v>0</v>
      </c>
      <c r="K98" s="206">
        <v>0</v>
      </c>
      <c r="L98" s="206">
        <v>0</v>
      </c>
      <c r="M98" s="206">
        <v>0</v>
      </c>
      <c r="N98" s="206">
        <v>0</v>
      </c>
      <c r="O98" s="206">
        <v>0</v>
      </c>
      <c r="P98" s="206">
        <v>0</v>
      </c>
      <c r="Q98" s="206">
        <v>0</v>
      </c>
      <c r="R98" s="213">
        <v>0</v>
      </c>
      <c r="S98" s="223"/>
      <c r="T98" s="224">
        <v>0</v>
      </c>
      <c r="U98" s="224">
        <v>0</v>
      </c>
      <c r="V98" s="224">
        <v>0</v>
      </c>
      <c r="W98" s="224">
        <v>0</v>
      </c>
      <c r="X98" s="224">
        <v>0</v>
      </c>
      <c r="Y98" s="244">
        <v>0</v>
      </c>
      <c r="Z98" s="245">
        <v>0</v>
      </c>
      <c r="AA98" s="246">
        <v>0</v>
      </c>
      <c r="AB98" s="225">
        <v>0</v>
      </c>
      <c r="AC98" s="262">
        <v>0</v>
      </c>
      <c r="AD98" s="177">
        <v>0</v>
      </c>
      <c r="AE98" s="177">
        <v>0</v>
      </c>
      <c r="AF98" s="177">
        <v>0</v>
      </c>
      <c r="AG98" s="582"/>
      <c r="AH98" s="583"/>
      <c r="AI98" s="177">
        <v>0</v>
      </c>
      <c r="AJ98" s="177">
        <v>0</v>
      </c>
      <c r="AK98" s="177">
        <v>0</v>
      </c>
      <c r="AL98" s="263">
        <v>0</v>
      </c>
      <c r="AM98" s="235">
        <v>1</v>
      </c>
      <c r="AN98" s="271">
        <v>1</v>
      </c>
      <c r="AO98" s="236">
        <v>1</v>
      </c>
      <c r="AP98" s="236">
        <v>1</v>
      </c>
      <c r="AQ98" s="236">
        <v>1</v>
      </c>
      <c r="AR98" s="236">
        <v>1</v>
      </c>
      <c r="AS98" s="236">
        <v>1</v>
      </c>
      <c r="AT98" s="236">
        <v>1</v>
      </c>
      <c r="AU98" s="236">
        <v>1</v>
      </c>
      <c r="AV98" s="272">
        <v>1</v>
      </c>
      <c r="AW98" s="277">
        <v>1</v>
      </c>
      <c r="AX98" s="278">
        <v>1</v>
      </c>
      <c r="AY98" s="278">
        <v>1</v>
      </c>
      <c r="AZ98" s="127">
        <v>1</v>
      </c>
      <c r="BA98" s="278">
        <v>1</v>
      </c>
      <c r="BB98" s="278">
        <v>1</v>
      </c>
      <c r="BC98" s="278">
        <v>1</v>
      </c>
      <c r="BD98" s="127">
        <v>1</v>
      </c>
      <c r="BE98" s="278">
        <v>1</v>
      </c>
      <c r="BF98" s="280">
        <v>1</v>
      </c>
      <c r="BG98" s="212">
        <v>1</v>
      </c>
      <c r="BH98" s="206">
        <v>1</v>
      </c>
      <c r="BI98" s="206">
        <v>1</v>
      </c>
      <c r="BJ98" s="206">
        <v>1</v>
      </c>
      <c r="BK98" s="206">
        <v>1</v>
      </c>
      <c r="BL98" s="206">
        <v>1</v>
      </c>
      <c r="BM98" s="207">
        <v>1</v>
      </c>
      <c r="BN98" s="207">
        <v>1</v>
      </c>
      <c r="BO98" s="207">
        <v>1</v>
      </c>
      <c r="BP98" s="215">
        <v>1</v>
      </c>
      <c r="BQ98" s="226">
        <v>1</v>
      </c>
      <c r="BR98" s="227">
        <v>1</v>
      </c>
      <c r="BS98" s="227">
        <v>1</v>
      </c>
      <c r="BT98" s="227">
        <v>1</v>
      </c>
      <c r="BU98" s="227">
        <v>1</v>
      </c>
      <c r="BV98" s="227">
        <v>1</v>
      </c>
      <c r="BW98" s="227">
        <v>1</v>
      </c>
      <c r="BX98" s="227">
        <v>1</v>
      </c>
      <c r="BY98" s="227">
        <v>1</v>
      </c>
      <c r="BZ98" s="228">
        <v>1</v>
      </c>
      <c r="CA98" s="537"/>
      <c r="CB98" s="538"/>
      <c r="CC98" s="538"/>
      <c r="CD98" s="538"/>
      <c r="CE98" s="538"/>
      <c r="CF98" s="538"/>
      <c r="CG98" s="538"/>
      <c r="CH98" s="538"/>
      <c r="CI98" s="538"/>
      <c r="CJ98" s="538"/>
      <c r="CK98" s="237">
        <v>1</v>
      </c>
      <c r="CL98" s="238">
        <v>1</v>
      </c>
      <c r="CM98" s="238">
        <v>1</v>
      </c>
      <c r="CN98" s="238">
        <v>1</v>
      </c>
      <c r="CO98" s="238">
        <v>1</v>
      </c>
      <c r="CP98" s="238">
        <v>1</v>
      </c>
      <c r="CQ98" s="238">
        <v>1</v>
      </c>
      <c r="CR98" s="238">
        <v>1</v>
      </c>
      <c r="CS98" s="238">
        <v>1</v>
      </c>
      <c r="CT98" s="273">
        <v>1</v>
      </c>
      <c r="CU98" s="295">
        <v>1</v>
      </c>
      <c r="CV98" s="296">
        <v>1</v>
      </c>
      <c r="CW98" s="296">
        <v>1</v>
      </c>
      <c r="CX98" s="296">
        <v>1</v>
      </c>
      <c r="CY98" s="296">
        <v>1</v>
      </c>
      <c r="CZ98" s="296">
        <v>1</v>
      </c>
      <c r="DA98" s="296">
        <v>1</v>
      </c>
      <c r="DB98" s="296">
        <v>1</v>
      </c>
      <c r="DC98" s="297">
        <v>1</v>
      </c>
      <c r="DD98" s="298">
        <v>1</v>
      </c>
      <c r="DE98" s="214">
        <v>1</v>
      </c>
      <c r="DF98" s="207">
        <v>1</v>
      </c>
      <c r="DG98" s="207">
        <v>1</v>
      </c>
      <c r="DH98" s="207">
        <v>1</v>
      </c>
      <c r="DI98" s="207">
        <v>1</v>
      </c>
      <c r="DJ98" s="207">
        <v>1</v>
      </c>
      <c r="DK98" s="207">
        <v>1</v>
      </c>
      <c r="DL98" s="207">
        <v>1</v>
      </c>
      <c r="DM98" s="207">
        <v>1</v>
      </c>
      <c r="DN98" s="215">
        <v>1</v>
      </c>
      <c r="DO98" s="226">
        <v>1</v>
      </c>
      <c r="DP98" s="227">
        <v>1</v>
      </c>
      <c r="DQ98" s="227">
        <v>1</v>
      </c>
      <c r="DR98" s="227">
        <v>1</v>
      </c>
      <c r="DS98" s="227">
        <v>1</v>
      </c>
      <c r="DT98" s="227">
        <v>1</v>
      </c>
      <c r="DU98" s="227">
        <v>1</v>
      </c>
      <c r="DV98" s="227">
        <v>1</v>
      </c>
      <c r="DW98" s="227">
        <v>1</v>
      </c>
      <c r="DX98" s="228">
        <v>1</v>
      </c>
      <c r="DY98" s="90">
        <v>1</v>
      </c>
      <c r="DZ98" s="91">
        <v>1</v>
      </c>
      <c r="EA98" s="91">
        <v>1</v>
      </c>
      <c r="EB98" s="91">
        <v>1</v>
      </c>
      <c r="EC98" s="91">
        <v>1</v>
      </c>
      <c r="ED98" s="91">
        <v>1</v>
      </c>
      <c r="EE98" s="91">
        <v>1</v>
      </c>
      <c r="EF98" s="91">
        <v>1</v>
      </c>
      <c r="EG98" s="91">
        <v>1</v>
      </c>
      <c r="EH98" s="92">
        <v>1</v>
      </c>
      <c r="EI98" s="237">
        <v>1</v>
      </c>
      <c r="EJ98" s="238">
        <v>1</v>
      </c>
      <c r="EK98" s="238">
        <v>1</v>
      </c>
      <c r="EL98" s="238">
        <v>1</v>
      </c>
      <c r="EM98" s="238">
        <v>1</v>
      </c>
      <c r="EN98" s="238">
        <v>1</v>
      </c>
      <c r="EO98" s="238">
        <v>1</v>
      </c>
      <c r="EP98" s="238">
        <v>1</v>
      </c>
      <c r="EQ98" s="238">
        <v>1</v>
      </c>
      <c r="ER98" s="273">
        <v>1</v>
      </c>
      <c r="ES98" s="316">
        <f t="shared" si="47"/>
        <v>0</v>
      </c>
      <c r="ET98" s="317">
        <f t="shared" si="48"/>
        <v>0</v>
      </c>
      <c r="EU98" s="317">
        <f t="shared" si="49"/>
        <v>0</v>
      </c>
      <c r="EV98" s="317">
        <f t="shared" si="50"/>
        <v>10</v>
      </c>
      <c r="EW98" s="317">
        <f t="shared" si="51"/>
        <v>9</v>
      </c>
      <c r="EX98" s="317">
        <f t="shared" si="52"/>
        <v>10</v>
      </c>
      <c r="EY98" s="317">
        <f t="shared" si="53"/>
        <v>10</v>
      </c>
      <c r="EZ98" s="317">
        <f t="shared" si="54"/>
        <v>0</v>
      </c>
      <c r="FA98" s="317">
        <f t="shared" si="55"/>
        <v>10</v>
      </c>
      <c r="FB98" s="317">
        <f t="shared" si="56"/>
        <v>10</v>
      </c>
      <c r="FC98" s="317">
        <f t="shared" si="57"/>
        <v>10</v>
      </c>
      <c r="FD98" s="317">
        <f t="shared" si="58"/>
        <v>10</v>
      </c>
      <c r="FE98" s="317">
        <f t="shared" si="59"/>
        <v>10</v>
      </c>
      <c r="FF98" s="317">
        <f t="shared" si="60"/>
        <v>10</v>
      </c>
      <c r="FG98" s="318">
        <f t="shared" si="63"/>
        <v>96</v>
      </c>
      <c r="FH98" s="319">
        <f t="shared" si="61"/>
        <v>99</v>
      </c>
      <c r="FI98" s="319">
        <f>SUM(I7:ER7)-SUM(ES98:FF98)</f>
        <v>29</v>
      </c>
      <c r="FJ98" s="319">
        <f t="shared" si="62"/>
        <v>128</v>
      </c>
      <c r="FK98" s="7"/>
    </row>
    <row r="99" spans="1:167" ht="15.75" customHeight="1">
      <c r="A99" s="2"/>
      <c r="B99" s="3">
        <f t="shared" si="45"/>
        <v>1</v>
      </c>
      <c r="C99" s="182">
        <f t="shared" si="46"/>
        <v>40</v>
      </c>
      <c r="D99" s="185" t="s">
        <v>140</v>
      </c>
      <c r="E99" s="203"/>
      <c r="F99" s="203">
        <v>15</v>
      </c>
      <c r="G99" s="571">
        <v>45915</v>
      </c>
      <c r="H99" s="572"/>
      <c r="I99" s="212">
        <v>0</v>
      </c>
      <c r="J99" s="206">
        <v>0</v>
      </c>
      <c r="K99" s="206">
        <v>0</v>
      </c>
      <c r="L99" s="206">
        <v>0</v>
      </c>
      <c r="M99" s="206">
        <v>0</v>
      </c>
      <c r="N99" s="206">
        <v>0</v>
      </c>
      <c r="O99" s="206">
        <v>0</v>
      </c>
      <c r="P99" s="206">
        <v>0</v>
      </c>
      <c r="Q99" s="206">
        <v>0</v>
      </c>
      <c r="R99" s="213">
        <v>0</v>
      </c>
      <c r="S99" s="223">
        <v>0</v>
      </c>
      <c r="T99" s="224">
        <v>0</v>
      </c>
      <c r="U99" s="224">
        <v>0</v>
      </c>
      <c r="V99" s="224">
        <v>0</v>
      </c>
      <c r="W99" s="224">
        <v>0</v>
      </c>
      <c r="X99" s="224">
        <v>0</v>
      </c>
      <c r="Y99" s="244">
        <v>0</v>
      </c>
      <c r="Z99" s="245">
        <v>0</v>
      </c>
      <c r="AA99" s="246">
        <v>0</v>
      </c>
      <c r="AB99" s="225">
        <v>0</v>
      </c>
      <c r="AC99" s="262">
        <v>0</v>
      </c>
      <c r="AD99" s="177">
        <v>0</v>
      </c>
      <c r="AE99" s="177">
        <v>0</v>
      </c>
      <c r="AF99" s="177">
        <v>0</v>
      </c>
      <c r="AG99" s="582"/>
      <c r="AH99" s="583"/>
      <c r="AI99" s="177">
        <v>0</v>
      </c>
      <c r="AJ99" s="177">
        <v>0</v>
      </c>
      <c r="AK99" s="177">
        <v>0</v>
      </c>
      <c r="AL99" s="263">
        <v>0</v>
      </c>
      <c r="AM99" s="235">
        <v>0</v>
      </c>
      <c r="AN99" s="271">
        <v>0</v>
      </c>
      <c r="AO99" s="236">
        <v>0</v>
      </c>
      <c r="AP99" s="236">
        <v>0</v>
      </c>
      <c r="AQ99" s="236">
        <v>0</v>
      </c>
      <c r="AR99" s="236">
        <v>0</v>
      </c>
      <c r="AS99" s="236">
        <v>0</v>
      </c>
      <c r="AT99" s="236">
        <v>0</v>
      </c>
      <c r="AU99" s="236">
        <v>0</v>
      </c>
      <c r="AV99" s="272">
        <v>0</v>
      </c>
      <c r="AW99" s="277">
        <v>1</v>
      </c>
      <c r="AX99" s="278">
        <v>1</v>
      </c>
      <c r="AY99" s="278">
        <v>1</v>
      </c>
      <c r="AZ99" s="127">
        <v>1</v>
      </c>
      <c r="BA99" s="278">
        <v>1</v>
      </c>
      <c r="BB99" s="278">
        <v>1</v>
      </c>
      <c r="BC99" s="278">
        <v>1</v>
      </c>
      <c r="BD99" s="127">
        <v>1</v>
      </c>
      <c r="BE99" s="278">
        <v>1</v>
      </c>
      <c r="BF99" s="280">
        <v>1</v>
      </c>
      <c r="BG99" s="212">
        <v>1</v>
      </c>
      <c r="BH99" s="206">
        <v>1</v>
      </c>
      <c r="BI99" s="206">
        <v>1</v>
      </c>
      <c r="BJ99" s="206">
        <v>1</v>
      </c>
      <c r="BK99" s="206">
        <v>1</v>
      </c>
      <c r="BL99" s="206">
        <v>1</v>
      </c>
      <c r="BM99" s="207">
        <v>1</v>
      </c>
      <c r="BN99" s="207">
        <v>1</v>
      </c>
      <c r="BO99" s="207">
        <v>1</v>
      </c>
      <c r="BP99" s="215">
        <v>1</v>
      </c>
      <c r="BQ99" s="226">
        <v>1</v>
      </c>
      <c r="BR99" s="227">
        <v>1</v>
      </c>
      <c r="BS99" s="227">
        <v>1</v>
      </c>
      <c r="BT99" s="227">
        <v>1</v>
      </c>
      <c r="BU99" s="227">
        <v>1</v>
      </c>
      <c r="BV99" s="227">
        <v>1</v>
      </c>
      <c r="BW99" s="227">
        <v>1</v>
      </c>
      <c r="BX99" s="227">
        <v>1</v>
      </c>
      <c r="BY99" s="227">
        <v>1</v>
      </c>
      <c r="BZ99" s="228">
        <v>1</v>
      </c>
      <c r="CA99" s="537"/>
      <c r="CB99" s="538"/>
      <c r="CC99" s="538"/>
      <c r="CD99" s="538"/>
      <c r="CE99" s="538"/>
      <c r="CF99" s="538"/>
      <c r="CG99" s="538"/>
      <c r="CH99" s="538"/>
      <c r="CI99" s="538"/>
      <c r="CJ99" s="538"/>
      <c r="CK99" s="237">
        <v>1</v>
      </c>
      <c r="CL99" s="238">
        <v>1</v>
      </c>
      <c r="CM99" s="238">
        <v>1</v>
      </c>
      <c r="CN99" s="238">
        <v>1</v>
      </c>
      <c r="CO99" s="238">
        <v>1</v>
      </c>
      <c r="CP99" s="238">
        <v>1</v>
      </c>
      <c r="CQ99" s="238">
        <v>1</v>
      </c>
      <c r="CR99" s="238">
        <v>1</v>
      </c>
      <c r="CS99" s="238">
        <v>1</v>
      </c>
      <c r="CT99" s="273">
        <v>1</v>
      </c>
      <c r="CU99" s="295">
        <v>1</v>
      </c>
      <c r="CV99" s="296">
        <v>1</v>
      </c>
      <c r="CW99" s="296">
        <v>1</v>
      </c>
      <c r="CX99" s="296">
        <v>1</v>
      </c>
      <c r="CY99" s="296">
        <v>0</v>
      </c>
      <c r="CZ99" s="296">
        <v>0</v>
      </c>
      <c r="DA99" s="296">
        <v>1</v>
      </c>
      <c r="DB99" s="296">
        <v>1</v>
      </c>
      <c r="DC99" s="297">
        <v>1</v>
      </c>
      <c r="DD99" s="298">
        <v>1</v>
      </c>
      <c r="DE99" s="214">
        <v>1</v>
      </c>
      <c r="DF99" s="207">
        <v>1</v>
      </c>
      <c r="DG99" s="207">
        <v>1</v>
      </c>
      <c r="DH99" s="207">
        <v>1</v>
      </c>
      <c r="DI99" s="207">
        <v>1</v>
      </c>
      <c r="DJ99" s="207">
        <v>1</v>
      </c>
      <c r="DK99" s="207">
        <v>1</v>
      </c>
      <c r="DL99" s="207">
        <v>1</v>
      </c>
      <c r="DM99" s="207">
        <v>1</v>
      </c>
      <c r="DN99" s="215">
        <v>1</v>
      </c>
      <c r="DO99" s="226">
        <v>1</v>
      </c>
      <c r="DP99" s="227">
        <v>1</v>
      </c>
      <c r="DQ99" s="227">
        <v>1</v>
      </c>
      <c r="DR99" s="227">
        <v>1</v>
      </c>
      <c r="DS99" s="227">
        <v>1</v>
      </c>
      <c r="DT99" s="227">
        <v>1</v>
      </c>
      <c r="DU99" s="227">
        <v>1</v>
      </c>
      <c r="DV99" s="227">
        <v>1</v>
      </c>
      <c r="DW99" s="227">
        <v>1</v>
      </c>
      <c r="DX99" s="228">
        <v>1</v>
      </c>
      <c r="DY99" s="90">
        <v>1</v>
      </c>
      <c r="DZ99" s="91">
        <v>1</v>
      </c>
      <c r="EA99" s="91">
        <v>1</v>
      </c>
      <c r="EB99" s="91">
        <v>1</v>
      </c>
      <c r="EC99" s="91">
        <v>1</v>
      </c>
      <c r="ED99" s="91">
        <v>1</v>
      </c>
      <c r="EE99" s="91">
        <v>1</v>
      </c>
      <c r="EF99" s="91">
        <v>1</v>
      </c>
      <c r="EG99" s="91">
        <v>1</v>
      </c>
      <c r="EH99" s="92">
        <v>1</v>
      </c>
      <c r="EI99" s="237">
        <v>1</v>
      </c>
      <c r="EJ99" s="238">
        <v>1</v>
      </c>
      <c r="EK99" s="238">
        <v>1</v>
      </c>
      <c r="EL99" s="238">
        <v>1</v>
      </c>
      <c r="EM99" s="238">
        <v>1</v>
      </c>
      <c r="EN99" s="238">
        <v>1</v>
      </c>
      <c r="EO99" s="238">
        <v>1</v>
      </c>
      <c r="EP99" s="238">
        <v>1</v>
      </c>
      <c r="EQ99" s="238">
        <v>1</v>
      </c>
      <c r="ER99" s="273">
        <v>1</v>
      </c>
      <c r="ES99" s="316">
        <f t="shared" si="47"/>
        <v>0</v>
      </c>
      <c r="ET99" s="317">
        <f t="shared" si="48"/>
        <v>0</v>
      </c>
      <c r="EU99" s="317">
        <f t="shared" si="49"/>
        <v>0</v>
      </c>
      <c r="EV99" s="317">
        <f t="shared" si="50"/>
        <v>0</v>
      </c>
      <c r="EW99" s="317">
        <f t="shared" si="51"/>
        <v>9</v>
      </c>
      <c r="EX99" s="317">
        <f t="shared" si="52"/>
        <v>10</v>
      </c>
      <c r="EY99" s="317">
        <f t="shared" si="53"/>
        <v>10</v>
      </c>
      <c r="EZ99" s="317">
        <f t="shared" si="54"/>
        <v>0</v>
      </c>
      <c r="FA99" s="317">
        <f t="shared" si="55"/>
        <v>10</v>
      </c>
      <c r="FB99" s="317">
        <f t="shared" si="56"/>
        <v>8</v>
      </c>
      <c r="FC99" s="317">
        <f t="shared" si="57"/>
        <v>10</v>
      </c>
      <c r="FD99" s="317">
        <f t="shared" si="58"/>
        <v>10</v>
      </c>
      <c r="FE99" s="317">
        <f t="shared" si="59"/>
        <v>10</v>
      </c>
      <c r="FF99" s="317">
        <f t="shared" si="60"/>
        <v>10</v>
      </c>
      <c r="FG99" s="318">
        <f t="shared" si="63"/>
        <v>97</v>
      </c>
      <c r="FH99" s="319">
        <f t="shared" si="61"/>
        <v>87</v>
      </c>
      <c r="FI99" s="319">
        <f>SUM(I7:ER7)-SUM(ES99:FF99)</f>
        <v>41</v>
      </c>
      <c r="FJ99" s="319">
        <f t="shared" si="62"/>
        <v>128</v>
      </c>
      <c r="FK99" s="7"/>
    </row>
    <row r="100" spans="1:167" ht="15.75" customHeight="1">
      <c r="A100" s="2"/>
      <c r="B100" s="3">
        <f t="shared" si="45"/>
        <v>1</v>
      </c>
      <c r="C100" s="182">
        <f t="shared" si="46"/>
        <v>41</v>
      </c>
      <c r="D100" s="201" t="s">
        <v>141</v>
      </c>
      <c r="E100" s="203"/>
      <c r="F100" s="203">
        <v>14</v>
      </c>
      <c r="G100" s="571">
        <v>45915</v>
      </c>
      <c r="H100" s="572"/>
      <c r="I100" s="214">
        <v>1</v>
      </c>
      <c r="J100" s="207">
        <v>1</v>
      </c>
      <c r="K100" s="207">
        <v>1</v>
      </c>
      <c r="L100" s="207">
        <v>1</v>
      </c>
      <c r="M100" s="207">
        <v>1</v>
      </c>
      <c r="N100" s="207">
        <v>1</v>
      </c>
      <c r="O100" s="207">
        <v>1</v>
      </c>
      <c r="P100" s="207">
        <v>1</v>
      </c>
      <c r="Q100" s="207">
        <v>1</v>
      </c>
      <c r="R100" s="215">
        <v>1</v>
      </c>
      <c r="S100" s="226">
        <v>1</v>
      </c>
      <c r="T100" s="227">
        <v>1</v>
      </c>
      <c r="U100" s="227">
        <v>1</v>
      </c>
      <c r="V100" s="227">
        <v>1</v>
      </c>
      <c r="W100" s="227">
        <v>1</v>
      </c>
      <c r="X100" s="227">
        <v>1</v>
      </c>
      <c r="Y100" s="247">
        <v>1</v>
      </c>
      <c r="Z100" s="248">
        <v>1</v>
      </c>
      <c r="AA100" s="249">
        <v>1</v>
      </c>
      <c r="AB100" s="228">
        <v>1</v>
      </c>
      <c r="AC100" s="264">
        <v>1</v>
      </c>
      <c r="AD100" s="178">
        <v>1</v>
      </c>
      <c r="AE100" s="178">
        <v>1</v>
      </c>
      <c r="AF100" s="178">
        <v>1</v>
      </c>
      <c r="AG100" s="582"/>
      <c r="AH100" s="583"/>
      <c r="AI100" s="178">
        <v>1</v>
      </c>
      <c r="AJ100" s="178">
        <v>1</v>
      </c>
      <c r="AK100" s="178">
        <v>1</v>
      </c>
      <c r="AL100" s="265">
        <v>1</v>
      </c>
      <c r="AM100" s="237">
        <v>1</v>
      </c>
      <c r="AN100" s="271">
        <v>1</v>
      </c>
      <c r="AO100" s="238">
        <v>1</v>
      </c>
      <c r="AP100" s="238">
        <v>1</v>
      </c>
      <c r="AQ100" s="238">
        <v>1</v>
      </c>
      <c r="AR100" s="238">
        <v>1</v>
      </c>
      <c r="AS100" s="238">
        <v>1</v>
      </c>
      <c r="AT100" s="238">
        <v>1</v>
      </c>
      <c r="AU100" s="238">
        <v>1</v>
      </c>
      <c r="AV100" s="273">
        <v>1</v>
      </c>
      <c r="AW100" s="277">
        <v>1</v>
      </c>
      <c r="AX100" s="278">
        <v>1</v>
      </c>
      <c r="AY100" s="278">
        <v>1</v>
      </c>
      <c r="AZ100" s="129">
        <v>1</v>
      </c>
      <c r="BA100" s="278">
        <v>1</v>
      </c>
      <c r="BB100" s="278">
        <v>1</v>
      </c>
      <c r="BC100" s="278">
        <v>1</v>
      </c>
      <c r="BD100" s="129">
        <v>1</v>
      </c>
      <c r="BE100" s="129">
        <v>1</v>
      </c>
      <c r="BF100" s="281">
        <v>1</v>
      </c>
      <c r="BG100" s="214">
        <v>0</v>
      </c>
      <c r="BH100" s="207">
        <v>0</v>
      </c>
      <c r="BI100" s="207">
        <v>0</v>
      </c>
      <c r="BJ100" s="207">
        <v>0</v>
      </c>
      <c r="BK100" s="207">
        <v>1</v>
      </c>
      <c r="BL100" s="207">
        <v>1</v>
      </c>
      <c r="BM100" s="207">
        <v>1</v>
      </c>
      <c r="BN100" s="207">
        <v>1</v>
      </c>
      <c r="BO100" s="207">
        <v>1</v>
      </c>
      <c r="BP100" s="215">
        <v>1</v>
      </c>
      <c r="BQ100" s="226">
        <v>1</v>
      </c>
      <c r="BR100" s="227">
        <v>1</v>
      </c>
      <c r="BS100" s="227">
        <v>1</v>
      </c>
      <c r="BT100" s="227">
        <v>1</v>
      </c>
      <c r="BU100" s="227">
        <v>1</v>
      </c>
      <c r="BV100" s="227">
        <v>1</v>
      </c>
      <c r="BW100" s="227">
        <v>1</v>
      </c>
      <c r="BX100" s="227">
        <v>1</v>
      </c>
      <c r="BY100" s="227">
        <v>1</v>
      </c>
      <c r="BZ100" s="228">
        <v>1</v>
      </c>
      <c r="CA100" s="537"/>
      <c r="CB100" s="538"/>
      <c r="CC100" s="538"/>
      <c r="CD100" s="538"/>
      <c r="CE100" s="538"/>
      <c r="CF100" s="538"/>
      <c r="CG100" s="538"/>
      <c r="CH100" s="538"/>
      <c r="CI100" s="538"/>
      <c r="CJ100" s="538"/>
      <c r="CK100" s="237">
        <v>1</v>
      </c>
      <c r="CL100" s="238">
        <v>1</v>
      </c>
      <c r="CM100" s="238">
        <v>1</v>
      </c>
      <c r="CN100" s="238">
        <v>1</v>
      </c>
      <c r="CO100" s="238">
        <v>1</v>
      </c>
      <c r="CP100" s="238">
        <v>1</v>
      </c>
      <c r="CQ100" s="238">
        <v>1</v>
      </c>
      <c r="CR100" s="238">
        <v>1</v>
      </c>
      <c r="CS100" s="238">
        <v>1</v>
      </c>
      <c r="CT100" s="273">
        <v>1</v>
      </c>
      <c r="CU100" s="295">
        <v>1</v>
      </c>
      <c r="CV100" s="296">
        <v>1</v>
      </c>
      <c r="CW100" s="296">
        <v>1</v>
      </c>
      <c r="CX100" s="296">
        <v>1</v>
      </c>
      <c r="CY100" s="296">
        <v>1</v>
      </c>
      <c r="CZ100" s="296">
        <v>1</v>
      </c>
      <c r="DA100" s="296">
        <v>1</v>
      </c>
      <c r="DB100" s="296">
        <v>1</v>
      </c>
      <c r="DC100" s="297">
        <v>1</v>
      </c>
      <c r="DD100" s="298">
        <v>1</v>
      </c>
      <c r="DE100" s="214">
        <v>1</v>
      </c>
      <c r="DF100" s="207">
        <v>1</v>
      </c>
      <c r="DG100" s="207">
        <v>1</v>
      </c>
      <c r="DH100" s="207">
        <v>1</v>
      </c>
      <c r="DI100" s="207">
        <v>1</v>
      </c>
      <c r="DJ100" s="207">
        <v>1</v>
      </c>
      <c r="DK100" s="207">
        <v>1</v>
      </c>
      <c r="DL100" s="207">
        <v>1</v>
      </c>
      <c r="DM100" s="207">
        <v>1</v>
      </c>
      <c r="DN100" s="215">
        <v>1</v>
      </c>
      <c r="DO100" s="226">
        <v>1</v>
      </c>
      <c r="DP100" s="227">
        <v>1</v>
      </c>
      <c r="DQ100" s="227">
        <v>1</v>
      </c>
      <c r="DR100" s="227">
        <v>1</v>
      </c>
      <c r="DS100" s="227">
        <v>1</v>
      </c>
      <c r="DT100" s="227">
        <v>1</v>
      </c>
      <c r="DU100" s="227">
        <v>1</v>
      </c>
      <c r="DV100" s="227">
        <v>1</v>
      </c>
      <c r="DW100" s="227">
        <v>1</v>
      </c>
      <c r="DX100" s="228">
        <v>1</v>
      </c>
      <c r="DY100" s="90">
        <v>1</v>
      </c>
      <c r="DZ100" s="91">
        <v>1</v>
      </c>
      <c r="EA100" s="91">
        <v>1</v>
      </c>
      <c r="EB100" s="91">
        <v>1</v>
      </c>
      <c r="EC100" s="91">
        <v>1</v>
      </c>
      <c r="ED100" s="91">
        <v>1</v>
      </c>
      <c r="EE100" s="91">
        <v>1</v>
      </c>
      <c r="EF100" s="91">
        <v>1</v>
      </c>
      <c r="EG100" s="91">
        <v>1</v>
      </c>
      <c r="EH100" s="92">
        <v>1</v>
      </c>
      <c r="EI100" s="237">
        <v>1</v>
      </c>
      <c r="EJ100" s="238">
        <v>1</v>
      </c>
      <c r="EK100" s="238">
        <v>1</v>
      </c>
      <c r="EL100" s="238">
        <v>1</v>
      </c>
      <c r="EM100" s="238">
        <v>1</v>
      </c>
      <c r="EN100" s="238">
        <v>1</v>
      </c>
      <c r="EO100" s="238">
        <v>1</v>
      </c>
      <c r="EP100" s="238">
        <v>1</v>
      </c>
      <c r="EQ100" s="238">
        <v>1</v>
      </c>
      <c r="ER100" s="273">
        <v>1</v>
      </c>
      <c r="ES100" s="316">
        <f t="shared" si="47"/>
        <v>10</v>
      </c>
      <c r="ET100" s="317">
        <f t="shared" si="48"/>
        <v>10</v>
      </c>
      <c r="EU100" s="317">
        <f t="shared" si="49"/>
        <v>8</v>
      </c>
      <c r="EV100" s="317">
        <f t="shared" si="50"/>
        <v>10</v>
      </c>
      <c r="EW100" s="317">
        <f t="shared" si="51"/>
        <v>9</v>
      </c>
      <c r="EX100" s="317">
        <f t="shared" si="52"/>
        <v>6</v>
      </c>
      <c r="EY100" s="317">
        <f t="shared" si="53"/>
        <v>10</v>
      </c>
      <c r="EZ100" s="317">
        <f t="shared" si="54"/>
        <v>0</v>
      </c>
      <c r="FA100" s="317">
        <f t="shared" si="55"/>
        <v>10</v>
      </c>
      <c r="FB100" s="317">
        <f t="shared" si="56"/>
        <v>10</v>
      </c>
      <c r="FC100" s="317">
        <f t="shared" si="57"/>
        <v>10</v>
      </c>
      <c r="FD100" s="317">
        <f t="shared" si="58"/>
        <v>10</v>
      </c>
      <c r="FE100" s="317">
        <f t="shared" si="59"/>
        <v>10</v>
      </c>
      <c r="FF100" s="317">
        <f t="shared" si="60"/>
        <v>10</v>
      </c>
      <c r="FG100" s="318">
        <f t="shared" si="63"/>
        <v>98</v>
      </c>
      <c r="FH100" s="319">
        <f t="shared" si="61"/>
        <v>123</v>
      </c>
      <c r="FI100" s="319">
        <f>SUM(I7:ER7)-SUM(ES100:FF100)</f>
        <v>5</v>
      </c>
      <c r="FJ100" s="319">
        <f t="shared" si="62"/>
        <v>128</v>
      </c>
      <c r="FK100" s="7"/>
    </row>
    <row r="101" spans="1:167" ht="15.75" customHeight="1">
      <c r="A101" s="2"/>
      <c r="B101" s="3">
        <f t="shared" si="45"/>
        <v>1</v>
      </c>
      <c r="C101" s="182">
        <f t="shared" si="46"/>
        <v>42</v>
      </c>
      <c r="D101" s="201" t="s">
        <v>177</v>
      </c>
      <c r="E101" s="203"/>
      <c r="F101" s="203"/>
      <c r="G101" s="571">
        <v>45915</v>
      </c>
      <c r="H101" s="572"/>
      <c r="I101" s="214">
        <v>0</v>
      </c>
      <c r="J101" s="207">
        <v>0</v>
      </c>
      <c r="K101" s="207">
        <v>0</v>
      </c>
      <c r="L101" s="207">
        <v>0</v>
      </c>
      <c r="M101" s="207">
        <v>0</v>
      </c>
      <c r="N101" s="207">
        <v>0</v>
      </c>
      <c r="O101" s="207">
        <v>0</v>
      </c>
      <c r="P101" s="207">
        <v>0</v>
      </c>
      <c r="Q101" s="207">
        <v>0</v>
      </c>
      <c r="R101" s="215">
        <v>0</v>
      </c>
      <c r="S101" s="226">
        <v>0</v>
      </c>
      <c r="T101" s="227">
        <v>0</v>
      </c>
      <c r="U101" s="227">
        <v>0</v>
      </c>
      <c r="V101" s="227">
        <v>0</v>
      </c>
      <c r="W101" s="227">
        <v>0</v>
      </c>
      <c r="X101" s="227">
        <v>0</v>
      </c>
      <c r="Y101" s="247">
        <v>0</v>
      </c>
      <c r="Z101" s="248">
        <v>0</v>
      </c>
      <c r="AA101" s="249">
        <v>0</v>
      </c>
      <c r="AB101" s="228">
        <v>0</v>
      </c>
      <c r="AC101" s="264">
        <v>0</v>
      </c>
      <c r="AD101" s="178">
        <v>0</v>
      </c>
      <c r="AE101" s="178">
        <v>0</v>
      </c>
      <c r="AF101" s="178">
        <v>0</v>
      </c>
      <c r="AG101" s="582"/>
      <c r="AH101" s="583"/>
      <c r="AI101" s="178">
        <v>0</v>
      </c>
      <c r="AJ101" s="178">
        <v>0</v>
      </c>
      <c r="AK101" s="178">
        <v>0</v>
      </c>
      <c r="AL101" s="265">
        <v>0</v>
      </c>
      <c r="AM101" s="237">
        <v>0</v>
      </c>
      <c r="AN101" s="238">
        <v>0</v>
      </c>
      <c r="AO101" s="238">
        <v>0</v>
      </c>
      <c r="AP101" s="238">
        <v>0</v>
      </c>
      <c r="AQ101" s="238">
        <v>0</v>
      </c>
      <c r="AR101" s="238">
        <v>0</v>
      </c>
      <c r="AS101" s="238">
        <v>0</v>
      </c>
      <c r="AT101" s="238">
        <v>0</v>
      </c>
      <c r="AU101" s="238">
        <v>0</v>
      </c>
      <c r="AV101" s="273">
        <v>0</v>
      </c>
      <c r="AW101" s="277">
        <v>0</v>
      </c>
      <c r="AX101" s="278">
        <v>0</v>
      </c>
      <c r="AY101" s="278">
        <v>0</v>
      </c>
      <c r="AZ101" s="129">
        <v>0</v>
      </c>
      <c r="BA101" s="278">
        <v>0</v>
      </c>
      <c r="BB101" s="278">
        <v>0</v>
      </c>
      <c r="BC101" s="129">
        <v>0</v>
      </c>
      <c r="BD101" s="129">
        <v>0</v>
      </c>
      <c r="BE101" s="129">
        <v>0</v>
      </c>
      <c r="BF101" s="281">
        <v>0</v>
      </c>
      <c r="BG101" s="214">
        <v>0</v>
      </c>
      <c r="BH101" s="207">
        <v>0</v>
      </c>
      <c r="BI101" s="207">
        <v>0</v>
      </c>
      <c r="BJ101" s="207">
        <v>0</v>
      </c>
      <c r="BK101" s="207">
        <v>0</v>
      </c>
      <c r="BL101" s="207">
        <v>0</v>
      </c>
      <c r="BM101" s="207">
        <v>0</v>
      </c>
      <c r="BN101" s="207">
        <v>0</v>
      </c>
      <c r="BO101" s="207">
        <v>0</v>
      </c>
      <c r="BP101" s="215">
        <v>0</v>
      </c>
      <c r="BQ101" s="226">
        <v>0</v>
      </c>
      <c r="BR101" s="227">
        <v>0</v>
      </c>
      <c r="BS101" s="227">
        <v>0</v>
      </c>
      <c r="BT101" s="227">
        <v>0</v>
      </c>
      <c r="BU101" s="227">
        <v>0</v>
      </c>
      <c r="BV101" s="227">
        <v>0</v>
      </c>
      <c r="BW101" s="227">
        <v>0</v>
      </c>
      <c r="BX101" s="227">
        <v>0</v>
      </c>
      <c r="BY101" s="227">
        <v>0</v>
      </c>
      <c r="BZ101" s="228">
        <v>0</v>
      </c>
      <c r="CA101" s="537"/>
      <c r="CB101" s="538"/>
      <c r="CC101" s="538"/>
      <c r="CD101" s="538"/>
      <c r="CE101" s="538"/>
      <c r="CF101" s="538"/>
      <c r="CG101" s="538"/>
      <c r="CH101" s="538"/>
      <c r="CI101" s="538"/>
      <c r="CJ101" s="538"/>
      <c r="CK101" s="237">
        <v>0</v>
      </c>
      <c r="CL101" s="238">
        <v>0</v>
      </c>
      <c r="CM101" s="238">
        <v>0</v>
      </c>
      <c r="CN101" s="238">
        <v>0</v>
      </c>
      <c r="CO101" s="238">
        <v>0</v>
      </c>
      <c r="CP101" s="238">
        <v>0</v>
      </c>
      <c r="CQ101" s="238">
        <v>0</v>
      </c>
      <c r="CR101" s="238">
        <v>0</v>
      </c>
      <c r="CS101" s="238">
        <v>0</v>
      </c>
      <c r="CT101" s="273">
        <v>0</v>
      </c>
      <c r="CU101" s="295">
        <v>1</v>
      </c>
      <c r="CV101" s="296">
        <v>1</v>
      </c>
      <c r="CW101" s="296">
        <v>1</v>
      </c>
      <c r="CX101" s="296">
        <v>1</v>
      </c>
      <c r="CY101" s="296">
        <v>1</v>
      </c>
      <c r="CZ101" s="296">
        <v>1</v>
      </c>
      <c r="DA101" s="296">
        <v>1</v>
      </c>
      <c r="DB101" s="296">
        <v>1</v>
      </c>
      <c r="DC101" s="297">
        <v>1</v>
      </c>
      <c r="DD101" s="298">
        <v>1</v>
      </c>
      <c r="DE101" s="214">
        <v>1</v>
      </c>
      <c r="DF101" s="207">
        <v>1</v>
      </c>
      <c r="DG101" s="207">
        <v>1</v>
      </c>
      <c r="DH101" s="207">
        <v>1</v>
      </c>
      <c r="DI101" s="207">
        <v>1</v>
      </c>
      <c r="DJ101" s="207">
        <v>1</v>
      </c>
      <c r="DK101" s="207">
        <v>1</v>
      </c>
      <c r="DL101" s="207">
        <v>1</v>
      </c>
      <c r="DM101" s="207">
        <v>1</v>
      </c>
      <c r="DN101" s="215">
        <v>1</v>
      </c>
      <c r="DO101" s="226">
        <v>1</v>
      </c>
      <c r="DP101" s="227">
        <v>1</v>
      </c>
      <c r="DQ101" s="227">
        <v>1</v>
      </c>
      <c r="DR101" s="227">
        <v>1</v>
      </c>
      <c r="DS101" s="227">
        <v>1</v>
      </c>
      <c r="DT101" s="227">
        <v>1</v>
      </c>
      <c r="DU101" s="227">
        <v>1</v>
      </c>
      <c r="DV101" s="227">
        <v>1</v>
      </c>
      <c r="DW101" s="227">
        <v>1</v>
      </c>
      <c r="DX101" s="228">
        <v>1</v>
      </c>
      <c r="DY101" s="90">
        <v>1</v>
      </c>
      <c r="DZ101" s="91">
        <v>1</v>
      </c>
      <c r="EA101" s="91">
        <v>1</v>
      </c>
      <c r="EB101" s="91">
        <v>1</v>
      </c>
      <c r="EC101" s="91">
        <v>1</v>
      </c>
      <c r="ED101" s="91">
        <v>1</v>
      </c>
      <c r="EE101" s="91">
        <v>1</v>
      </c>
      <c r="EF101" s="91">
        <v>1</v>
      </c>
      <c r="EG101" s="91">
        <v>1</v>
      </c>
      <c r="EH101" s="92">
        <v>1</v>
      </c>
      <c r="EI101" s="237">
        <v>1</v>
      </c>
      <c r="EJ101" s="238">
        <v>1</v>
      </c>
      <c r="EK101" s="238">
        <v>1</v>
      </c>
      <c r="EL101" s="238">
        <v>1</v>
      </c>
      <c r="EM101" s="238">
        <v>1</v>
      </c>
      <c r="EN101" s="238">
        <v>1</v>
      </c>
      <c r="EO101" s="238">
        <v>1</v>
      </c>
      <c r="EP101" s="238">
        <v>1</v>
      </c>
      <c r="EQ101" s="238">
        <v>1</v>
      </c>
      <c r="ER101" s="273">
        <v>1</v>
      </c>
      <c r="ES101" s="316">
        <f t="shared" si="47"/>
        <v>0</v>
      </c>
      <c r="ET101" s="317">
        <f t="shared" si="48"/>
        <v>0</v>
      </c>
      <c r="EU101" s="317">
        <f t="shared" si="49"/>
        <v>0</v>
      </c>
      <c r="EV101" s="317">
        <f t="shared" si="50"/>
        <v>0</v>
      </c>
      <c r="EW101" s="317">
        <f t="shared" si="51"/>
        <v>0</v>
      </c>
      <c r="EX101" s="317">
        <f t="shared" si="52"/>
        <v>0</v>
      </c>
      <c r="EY101" s="317">
        <f t="shared" si="53"/>
        <v>0</v>
      </c>
      <c r="EZ101" s="317">
        <f t="shared" si="54"/>
        <v>0</v>
      </c>
      <c r="FA101" s="317">
        <f t="shared" si="55"/>
        <v>0</v>
      </c>
      <c r="FB101" s="317">
        <f t="shared" si="56"/>
        <v>10</v>
      </c>
      <c r="FC101" s="317">
        <f t="shared" si="57"/>
        <v>10</v>
      </c>
      <c r="FD101" s="317">
        <f t="shared" si="58"/>
        <v>10</v>
      </c>
      <c r="FE101" s="317">
        <f t="shared" si="59"/>
        <v>10</v>
      </c>
      <c r="FF101" s="317">
        <f t="shared" si="60"/>
        <v>10</v>
      </c>
      <c r="FG101" s="318">
        <f t="shared" si="63"/>
        <v>99</v>
      </c>
      <c r="FH101" s="319">
        <f t="shared" si="61"/>
        <v>50</v>
      </c>
      <c r="FI101" s="319">
        <f>SUM(I7:ER7)-SUM(ES101:FF101)</f>
        <v>78</v>
      </c>
      <c r="FJ101" s="319">
        <f t="shared" si="62"/>
        <v>128</v>
      </c>
      <c r="FK101" s="7"/>
    </row>
    <row r="102" spans="1:167" ht="15.75" customHeight="1">
      <c r="A102" s="2"/>
      <c r="B102" s="3">
        <f t="shared" si="45"/>
        <v>0</v>
      </c>
      <c r="C102" s="182">
        <f t="shared" si="46"/>
        <v>43</v>
      </c>
      <c r="D102" s="201"/>
      <c r="E102" s="203"/>
      <c r="F102" s="203"/>
      <c r="G102" s="571">
        <v>45915</v>
      </c>
      <c r="H102" s="572"/>
      <c r="I102" s="214"/>
      <c r="J102" s="207"/>
      <c r="K102" s="207"/>
      <c r="L102" s="207"/>
      <c r="M102" s="207"/>
      <c r="N102" s="207"/>
      <c r="O102" s="207"/>
      <c r="P102" s="207"/>
      <c r="Q102" s="207"/>
      <c r="R102" s="215"/>
      <c r="S102" s="226"/>
      <c r="T102" s="227"/>
      <c r="U102" s="227"/>
      <c r="V102" s="227"/>
      <c r="W102" s="227"/>
      <c r="X102" s="227"/>
      <c r="Y102" s="247"/>
      <c r="Z102" s="248"/>
      <c r="AA102" s="249"/>
      <c r="AB102" s="228"/>
      <c r="AC102" s="264"/>
      <c r="AD102" s="178"/>
      <c r="AE102" s="178"/>
      <c r="AF102" s="178"/>
      <c r="AG102" s="582"/>
      <c r="AH102" s="583"/>
      <c r="AI102" s="178"/>
      <c r="AJ102" s="178"/>
      <c r="AK102" s="178"/>
      <c r="AL102" s="265"/>
      <c r="AM102" s="237"/>
      <c r="AN102" s="238"/>
      <c r="AO102" s="238"/>
      <c r="AP102" s="238"/>
      <c r="AQ102" s="238"/>
      <c r="AR102" s="238"/>
      <c r="AS102" s="238"/>
      <c r="AT102" s="238"/>
      <c r="AU102" s="238"/>
      <c r="AV102" s="273"/>
      <c r="AW102" s="277"/>
      <c r="AX102" s="129"/>
      <c r="AY102" s="278"/>
      <c r="AZ102" s="129"/>
      <c r="BA102" s="278"/>
      <c r="BB102" s="278"/>
      <c r="BC102" s="129"/>
      <c r="BD102" s="129"/>
      <c r="BE102" s="129"/>
      <c r="BF102" s="281"/>
      <c r="BG102" s="214"/>
      <c r="BH102" s="207"/>
      <c r="BI102" s="207"/>
      <c r="BJ102" s="207"/>
      <c r="BK102" s="207"/>
      <c r="BL102" s="207"/>
      <c r="BM102" s="207"/>
      <c r="BN102" s="207"/>
      <c r="BO102" s="207"/>
      <c r="BP102" s="215"/>
      <c r="BQ102" s="226"/>
      <c r="BR102" s="227"/>
      <c r="BS102" s="227"/>
      <c r="BT102" s="227"/>
      <c r="BU102" s="227"/>
      <c r="BV102" s="227"/>
      <c r="BW102" s="227"/>
      <c r="BX102" s="227"/>
      <c r="BY102" s="227"/>
      <c r="BZ102" s="228"/>
      <c r="CA102" s="537"/>
      <c r="CB102" s="538"/>
      <c r="CC102" s="538"/>
      <c r="CD102" s="538"/>
      <c r="CE102" s="538"/>
      <c r="CF102" s="538"/>
      <c r="CG102" s="538"/>
      <c r="CH102" s="538"/>
      <c r="CI102" s="538"/>
      <c r="CJ102" s="538"/>
      <c r="CK102" s="237"/>
      <c r="CL102" s="238"/>
      <c r="CM102" s="238"/>
      <c r="CN102" s="238"/>
      <c r="CO102" s="238"/>
      <c r="CP102" s="238"/>
      <c r="CQ102" s="238"/>
      <c r="CR102" s="238"/>
      <c r="CS102" s="238"/>
      <c r="CT102" s="273"/>
      <c r="CU102" s="295"/>
      <c r="CV102" s="296"/>
      <c r="CW102" s="296"/>
      <c r="CX102" s="296"/>
      <c r="CY102" s="296"/>
      <c r="CZ102" s="296"/>
      <c r="DA102" s="296"/>
      <c r="DB102" s="296"/>
      <c r="DC102" s="297"/>
      <c r="DD102" s="298"/>
      <c r="DE102" s="214"/>
      <c r="DF102" s="207"/>
      <c r="DG102" s="207"/>
      <c r="DH102" s="207"/>
      <c r="DI102" s="207"/>
      <c r="DJ102" s="207"/>
      <c r="DK102" s="207"/>
      <c r="DL102" s="207"/>
      <c r="DM102" s="207"/>
      <c r="DN102" s="215"/>
      <c r="DO102" s="226"/>
      <c r="DP102" s="227"/>
      <c r="DQ102" s="227"/>
      <c r="DR102" s="227"/>
      <c r="DS102" s="227"/>
      <c r="DT102" s="227"/>
      <c r="DU102" s="227"/>
      <c r="DV102" s="227"/>
      <c r="DW102" s="227"/>
      <c r="DX102" s="228"/>
      <c r="DY102" s="90"/>
      <c r="DZ102" s="91"/>
      <c r="EA102" s="91"/>
      <c r="EB102" s="91"/>
      <c r="EC102" s="91"/>
      <c r="ED102" s="91"/>
      <c r="EE102" s="91"/>
      <c r="EF102" s="91"/>
      <c r="EG102" s="91"/>
      <c r="EH102" s="92"/>
      <c r="EI102" s="237"/>
      <c r="EJ102" s="238"/>
      <c r="EK102" s="238"/>
      <c r="EL102" s="238"/>
      <c r="EM102" s="238"/>
      <c r="EN102" s="238"/>
      <c r="EO102" s="238"/>
      <c r="EP102" s="238"/>
      <c r="EQ102" s="238"/>
      <c r="ER102" s="273"/>
      <c r="ES102" s="316">
        <f t="shared" si="47"/>
        <v>0</v>
      </c>
      <c r="ET102" s="317">
        <f t="shared" si="48"/>
        <v>0</v>
      </c>
      <c r="EU102" s="317">
        <f t="shared" si="49"/>
        <v>0</v>
      </c>
      <c r="EV102" s="317">
        <f t="shared" si="50"/>
        <v>0</v>
      </c>
      <c r="EW102" s="317">
        <f t="shared" si="51"/>
        <v>0</v>
      </c>
      <c r="EX102" s="317">
        <f t="shared" si="52"/>
        <v>0</v>
      </c>
      <c r="EY102" s="317">
        <f t="shared" si="53"/>
        <v>0</v>
      </c>
      <c r="EZ102" s="317">
        <f t="shared" si="54"/>
        <v>0</v>
      </c>
      <c r="FA102" s="317">
        <f t="shared" si="55"/>
        <v>0</v>
      </c>
      <c r="FB102" s="317">
        <f t="shared" si="56"/>
        <v>0</v>
      </c>
      <c r="FC102" s="317">
        <f t="shared" si="57"/>
        <v>0</v>
      </c>
      <c r="FD102" s="317">
        <f t="shared" si="58"/>
        <v>0</v>
      </c>
      <c r="FE102" s="317">
        <f t="shared" si="59"/>
        <v>0</v>
      </c>
      <c r="FF102" s="317">
        <f t="shared" si="60"/>
        <v>0</v>
      </c>
      <c r="FG102" s="318">
        <f t="shared" si="63"/>
        <v>100</v>
      </c>
      <c r="FH102" s="319">
        <f t="shared" si="61"/>
        <v>0</v>
      </c>
      <c r="FI102" s="319">
        <f>SUM(I7:ER7)-SUM(ES102:FF102)</f>
        <v>128</v>
      </c>
      <c r="FJ102" s="319">
        <f t="shared" si="62"/>
        <v>128</v>
      </c>
      <c r="FK102" s="7"/>
    </row>
    <row r="103" spans="1:167" ht="15.75" customHeight="1">
      <c r="A103" s="2"/>
      <c r="B103" s="3">
        <f t="shared" si="45"/>
        <v>0</v>
      </c>
      <c r="C103" s="182">
        <f t="shared" si="46"/>
        <v>44</v>
      </c>
      <c r="D103" s="201"/>
      <c r="E103" s="203"/>
      <c r="F103" s="203"/>
      <c r="G103" s="571">
        <v>45915</v>
      </c>
      <c r="H103" s="572"/>
      <c r="I103" s="214"/>
      <c r="J103" s="207"/>
      <c r="K103" s="207"/>
      <c r="L103" s="207"/>
      <c r="M103" s="207"/>
      <c r="N103" s="207"/>
      <c r="O103" s="207"/>
      <c r="P103" s="207"/>
      <c r="Q103" s="207"/>
      <c r="R103" s="215"/>
      <c r="S103" s="226"/>
      <c r="T103" s="227"/>
      <c r="U103" s="227"/>
      <c r="V103" s="227"/>
      <c r="W103" s="227"/>
      <c r="X103" s="227"/>
      <c r="Y103" s="247"/>
      <c r="Z103" s="248"/>
      <c r="AA103" s="249"/>
      <c r="AB103" s="228"/>
      <c r="AC103" s="264"/>
      <c r="AD103" s="178"/>
      <c r="AE103" s="178"/>
      <c r="AF103" s="178"/>
      <c r="AG103" s="582"/>
      <c r="AH103" s="583"/>
      <c r="AI103" s="178"/>
      <c r="AJ103" s="178"/>
      <c r="AK103" s="178"/>
      <c r="AL103" s="265"/>
      <c r="AM103" s="237"/>
      <c r="AN103" s="238"/>
      <c r="AO103" s="238"/>
      <c r="AP103" s="238"/>
      <c r="AQ103" s="238"/>
      <c r="AR103" s="238"/>
      <c r="AS103" s="238"/>
      <c r="AT103" s="238"/>
      <c r="AU103" s="238"/>
      <c r="AV103" s="273"/>
      <c r="AW103" s="277"/>
      <c r="AX103" s="129"/>
      <c r="AY103" s="278"/>
      <c r="AZ103" s="129"/>
      <c r="BA103" s="278"/>
      <c r="BB103" s="278"/>
      <c r="BC103" s="129"/>
      <c r="BD103" s="129"/>
      <c r="BE103" s="129"/>
      <c r="BF103" s="281"/>
      <c r="BG103" s="214"/>
      <c r="BH103" s="207"/>
      <c r="BI103" s="207"/>
      <c r="BJ103" s="207"/>
      <c r="BK103" s="207"/>
      <c r="BL103" s="207"/>
      <c r="BM103" s="207"/>
      <c r="BN103" s="207"/>
      <c r="BO103" s="207"/>
      <c r="BP103" s="215"/>
      <c r="BQ103" s="226"/>
      <c r="BR103" s="227"/>
      <c r="BS103" s="227"/>
      <c r="BT103" s="227"/>
      <c r="BU103" s="227"/>
      <c r="BV103" s="227"/>
      <c r="BW103" s="227"/>
      <c r="BX103" s="227"/>
      <c r="BY103" s="227"/>
      <c r="BZ103" s="228"/>
      <c r="CA103" s="537"/>
      <c r="CB103" s="538"/>
      <c r="CC103" s="538"/>
      <c r="CD103" s="538"/>
      <c r="CE103" s="538"/>
      <c r="CF103" s="538"/>
      <c r="CG103" s="538"/>
      <c r="CH103" s="538"/>
      <c r="CI103" s="538"/>
      <c r="CJ103" s="538"/>
      <c r="CK103" s="237"/>
      <c r="CL103" s="238"/>
      <c r="CM103" s="238"/>
      <c r="CN103" s="238"/>
      <c r="CO103" s="238"/>
      <c r="CP103" s="238"/>
      <c r="CQ103" s="238"/>
      <c r="CR103" s="238"/>
      <c r="CS103" s="238"/>
      <c r="CT103" s="273"/>
      <c r="CU103" s="295"/>
      <c r="CV103" s="296"/>
      <c r="CW103" s="296"/>
      <c r="CX103" s="296"/>
      <c r="CY103" s="296"/>
      <c r="CZ103" s="296"/>
      <c r="DA103" s="296"/>
      <c r="DB103" s="296"/>
      <c r="DC103" s="297"/>
      <c r="DD103" s="298"/>
      <c r="DE103" s="214"/>
      <c r="DF103" s="207"/>
      <c r="DG103" s="207"/>
      <c r="DH103" s="207"/>
      <c r="DI103" s="207"/>
      <c r="DJ103" s="207"/>
      <c r="DK103" s="207"/>
      <c r="DL103" s="207"/>
      <c r="DM103" s="207"/>
      <c r="DN103" s="215"/>
      <c r="DO103" s="226"/>
      <c r="DP103" s="227"/>
      <c r="DQ103" s="227"/>
      <c r="DR103" s="227"/>
      <c r="DS103" s="227"/>
      <c r="DT103" s="227"/>
      <c r="DU103" s="227"/>
      <c r="DV103" s="227"/>
      <c r="DW103" s="227"/>
      <c r="DX103" s="228"/>
      <c r="DY103" s="90"/>
      <c r="DZ103" s="91"/>
      <c r="EA103" s="91"/>
      <c r="EB103" s="91"/>
      <c r="EC103" s="91"/>
      <c r="ED103" s="91"/>
      <c r="EE103" s="91"/>
      <c r="EF103" s="91"/>
      <c r="EG103" s="91"/>
      <c r="EH103" s="92"/>
      <c r="EI103" s="237"/>
      <c r="EJ103" s="238"/>
      <c r="EK103" s="238"/>
      <c r="EL103" s="238"/>
      <c r="EM103" s="238"/>
      <c r="EN103" s="238"/>
      <c r="EO103" s="238"/>
      <c r="EP103" s="238"/>
      <c r="EQ103" s="238"/>
      <c r="ER103" s="273"/>
      <c r="ES103" s="316">
        <f t="shared" si="47"/>
        <v>0</v>
      </c>
      <c r="ET103" s="317">
        <f t="shared" si="48"/>
        <v>0</v>
      </c>
      <c r="EU103" s="317">
        <f t="shared" si="49"/>
        <v>0</v>
      </c>
      <c r="EV103" s="317">
        <f t="shared" si="50"/>
        <v>0</v>
      </c>
      <c r="EW103" s="317">
        <f t="shared" si="51"/>
        <v>0</v>
      </c>
      <c r="EX103" s="317">
        <f t="shared" si="52"/>
        <v>0</v>
      </c>
      <c r="EY103" s="317">
        <f t="shared" si="53"/>
        <v>0</v>
      </c>
      <c r="EZ103" s="317">
        <f t="shared" si="54"/>
        <v>0</v>
      </c>
      <c r="FA103" s="317">
        <f t="shared" si="55"/>
        <v>0</v>
      </c>
      <c r="FB103" s="317">
        <f t="shared" si="56"/>
        <v>0</v>
      </c>
      <c r="FC103" s="317">
        <f t="shared" si="57"/>
        <v>0</v>
      </c>
      <c r="FD103" s="317">
        <f t="shared" si="58"/>
        <v>0</v>
      </c>
      <c r="FE103" s="317">
        <f t="shared" si="59"/>
        <v>0</v>
      </c>
      <c r="FF103" s="317">
        <f t="shared" si="60"/>
        <v>0</v>
      </c>
      <c r="FG103" s="318">
        <f t="shared" si="63"/>
        <v>101</v>
      </c>
      <c r="FH103" s="319">
        <f t="shared" si="61"/>
        <v>0</v>
      </c>
      <c r="FI103" s="319">
        <f>SUM(I7:ER7)-SUM(ES103:FF103)</f>
        <v>128</v>
      </c>
      <c r="FJ103" s="319">
        <f t="shared" si="62"/>
        <v>128</v>
      </c>
      <c r="FK103" s="7"/>
    </row>
    <row r="104" spans="1:167" ht="15.75" customHeight="1">
      <c r="A104" s="2"/>
      <c r="B104" s="3">
        <f t="shared" si="45"/>
        <v>0</v>
      </c>
      <c r="C104" s="182">
        <f t="shared" si="46"/>
        <v>45</v>
      </c>
      <c r="D104" s="201"/>
      <c r="E104" s="203"/>
      <c r="F104" s="203"/>
      <c r="G104" s="571">
        <v>45915</v>
      </c>
      <c r="H104" s="572"/>
      <c r="I104" s="214"/>
      <c r="J104" s="207"/>
      <c r="K104" s="207"/>
      <c r="L104" s="207"/>
      <c r="M104" s="207"/>
      <c r="N104" s="207"/>
      <c r="O104" s="207"/>
      <c r="P104" s="207"/>
      <c r="Q104" s="207"/>
      <c r="R104" s="215"/>
      <c r="S104" s="226"/>
      <c r="T104" s="227"/>
      <c r="U104" s="227"/>
      <c r="V104" s="227"/>
      <c r="W104" s="227"/>
      <c r="X104" s="227"/>
      <c r="Y104" s="247"/>
      <c r="Z104" s="248"/>
      <c r="AA104" s="249"/>
      <c r="AB104" s="228"/>
      <c r="AC104" s="264"/>
      <c r="AD104" s="178"/>
      <c r="AE104" s="178"/>
      <c r="AF104" s="178"/>
      <c r="AG104" s="582"/>
      <c r="AH104" s="583"/>
      <c r="AI104" s="178"/>
      <c r="AJ104" s="178"/>
      <c r="AK104" s="178"/>
      <c r="AL104" s="265"/>
      <c r="AM104" s="237"/>
      <c r="AN104" s="238"/>
      <c r="AO104" s="238"/>
      <c r="AP104" s="238"/>
      <c r="AQ104" s="238"/>
      <c r="AR104" s="238"/>
      <c r="AS104" s="238"/>
      <c r="AT104" s="238"/>
      <c r="AU104" s="238"/>
      <c r="AV104" s="273"/>
      <c r="AW104" s="277"/>
      <c r="AX104" s="129"/>
      <c r="AY104" s="278"/>
      <c r="AZ104" s="129"/>
      <c r="BA104" s="278"/>
      <c r="BB104" s="278"/>
      <c r="BC104" s="129"/>
      <c r="BD104" s="129"/>
      <c r="BE104" s="129"/>
      <c r="BF104" s="281"/>
      <c r="BG104" s="214"/>
      <c r="BH104" s="207"/>
      <c r="BI104" s="207"/>
      <c r="BJ104" s="207"/>
      <c r="BK104" s="207"/>
      <c r="BL104" s="207"/>
      <c r="BM104" s="207"/>
      <c r="BN104" s="207"/>
      <c r="BO104" s="207"/>
      <c r="BP104" s="215"/>
      <c r="BQ104" s="226"/>
      <c r="BR104" s="227"/>
      <c r="BS104" s="227"/>
      <c r="BT104" s="227"/>
      <c r="BU104" s="227"/>
      <c r="BV104" s="227"/>
      <c r="BW104" s="227"/>
      <c r="BX104" s="227"/>
      <c r="BY104" s="227"/>
      <c r="BZ104" s="228"/>
      <c r="CA104" s="537"/>
      <c r="CB104" s="538"/>
      <c r="CC104" s="538"/>
      <c r="CD104" s="538"/>
      <c r="CE104" s="538"/>
      <c r="CF104" s="538"/>
      <c r="CG104" s="538"/>
      <c r="CH104" s="538"/>
      <c r="CI104" s="538"/>
      <c r="CJ104" s="538"/>
      <c r="CK104" s="237"/>
      <c r="CL104" s="238"/>
      <c r="CM104" s="238"/>
      <c r="CN104" s="238"/>
      <c r="CO104" s="238"/>
      <c r="CP104" s="238"/>
      <c r="CQ104" s="238"/>
      <c r="CR104" s="238"/>
      <c r="CS104" s="238"/>
      <c r="CT104" s="273"/>
      <c r="CU104" s="295"/>
      <c r="CV104" s="296"/>
      <c r="CW104" s="296"/>
      <c r="CX104" s="296"/>
      <c r="CY104" s="296"/>
      <c r="CZ104" s="296"/>
      <c r="DA104" s="296"/>
      <c r="DB104" s="296"/>
      <c r="DC104" s="297"/>
      <c r="DD104" s="298"/>
      <c r="DE104" s="214"/>
      <c r="DF104" s="207"/>
      <c r="DG104" s="207"/>
      <c r="DH104" s="207"/>
      <c r="DI104" s="207"/>
      <c r="DJ104" s="207"/>
      <c r="DK104" s="207"/>
      <c r="DL104" s="207"/>
      <c r="DM104" s="207"/>
      <c r="DN104" s="215"/>
      <c r="DO104" s="226"/>
      <c r="DP104" s="227"/>
      <c r="DQ104" s="227"/>
      <c r="DR104" s="227"/>
      <c r="DS104" s="227"/>
      <c r="DT104" s="227"/>
      <c r="DU104" s="227"/>
      <c r="DV104" s="227"/>
      <c r="DW104" s="227"/>
      <c r="DX104" s="228"/>
      <c r="DY104" s="90"/>
      <c r="DZ104" s="91"/>
      <c r="EA104" s="91"/>
      <c r="EB104" s="91"/>
      <c r="EC104" s="91"/>
      <c r="ED104" s="91"/>
      <c r="EE104" s="91"/>
      <c r="EF104" s="91"/>
      <c r="EG104" s="91"/>
      <c r="EH104" s="92"/>
      <c r="EI104" s="237"/>
      <c r="EJ104" s="238"/>
      <c r="EK104" s="238"/>
      <c r="EL104" s="238"/>
      <c r="EM104" s="238"/>
      <c r="EN104" s="238"/>
      <c r="EO104" s="238"/>
      <c r="EP104" s="238"/>
      <c r="EQ104" s="238"/>
      <c r="ER104" s="273"/>
      <c r="ES104" s="316">
        <f t="shared" si="47"/>
        <v>0</v>
      </c>
      <c r="ET104" s="317">
        <f t="shared" si="48"/>
        <v>0</v>
      </c>
      <c r="EU104" s="317">
        <f t="shared" si="49"/>
        <v>0</v>
      </c>
      <c r="EV104" s="317">
        <f t="shared" si="50"/>
        <v>0</v>
      </c>
      <c r="EW104" s="317">
        <f t="shared" si="51"/>
        <v>0</v>
      </c>
      <c r="EX104" s="317">
        <f t="shared" si="52"/>
        <v>0</v>
      </c>
      <c r="EY104" s="317">
        <f t="shared" si="53"/>
        <v>0</v>
      </c>
      <c r="EZ104" s="317">
        <f t="shared" si="54"/>
        <v>0</v>
      </c>
      <c r="FA104" s="317">
        <f t="shared" si="55"/>
        <v>0</v>
      </c>
      <c r="FB104" s="317">
        <f t="shared" si="56"/>
        <v>0</v>
      </c>
      <c r="FC104" s="317">
        <f t="shared" si="57"/>
        <v>0</v>
      </c>
      <c r="FD104" s="317">
        <f t="shared" si="58"/>
        <v>0</v>
      </c>
      <c r="FE104" s="317">
        <f t="shared" si="59"/>
        <v>0</v>
      </c>
      <c r="FF104" s="317">
        <f t="shared" si="60"/>
        <v>0</v>
      </c>
      <c r="FG104" s="318">
        <f t="shared" si="63"/>
        <v>102</v>
      </c>
      <c r="FH104" s="319">
        <f t="shared" si="61"/>
        <v>0</v>
      </c>
      <c r="FI104" s="319">
        <f>SUM(I7:ER7)-SUM(ES104:FF104)</f>
        <v>128</v>
      </c>
      <c r="FJ104" s="319">
        <f t="shared" si="62"/>
        <v>128</v>
      </c>
      <c r="FK104" s="7"/>
    </row>
    <row r="105" spans="1:167" ht="15.75" customHeight="1">
      <c r="A105" s="2"/>
      <c r="B105" s="3">
        <f t="shared" si="45"/>
        <v>0</v>
      </c>
      <c r="C105" s="182">
        <f t="shared" si="46"/>
        <v>46</v>
      </c>
      <c r="D105" s="201"/>
      <c r="E105" s="203"/>
      <c r="F105" s="203"/>
      <c r="G105" s="571">
        <v>45915</v>
      </c>
      <c r="H105" s="572"/>
      <c r="I105" s="214"/>
      <c r="J105" s="207"/>
      <c r="K105" s="207"/>
      <c r="L105" s="207"/>
      <c r="M105" s="207"/>
      <c r="N105" s="207"/>
      <c r="O105" s="207"/>
      <c r="P105" s="207"/>
      <c r="Q105" s="207"/>
      <c r="R105" s="215"/>
      <c r="S105" s="226"/>
      <c r="T105" s="227"/>
      <c r="U105" s="227"/>
      <c r="V105" s="227"/>
      <c r="W105" s="227"/>
      <c r="X105" s="227"/>
      <c r="Y105" s="247"/>
      <c r="Z105" s="248"/>
      <c r="AA105" s="249"/>
      <c r="AB105" s="228"/>
      <c r="AC105" s="264"/>
      <c r="AD105" s="178"/>
      <c r="AE105" s="178"/>
      <c r="AF105" s="178"/>
      <c r="AG105" s="582"/>
      <c r="AH105" s="583"/>
      <c r="AI105" s="178"/>
      <c r="AJ105" s="178"/>
      <c r="AK105" s="178"/>
      <c r="AL105" s="265"/>
      <c r="AM105" s="237"/>
      <c r="AN105" s="238"/>
      <c r="AO105" s="238"/>
      <c r="AP105" s="238"/>
      <c r="AQ105" s="238"/>
      <c r="AR105" s="238"/>
      <c r="AS105" s="238"/>
      <c r="AT105" s="238"/>
      <c r="AU105" s="238"/>
      <c r="AV105" s="273"/>
      <c r="AW105" s="277"/>
      <c r="AX105" s="129"/>
      <c r="AY105" s="278"/>
      <c r="AZ105" s="129"/>
      <c r="BA105" s="278"/>
      <c r="BB105" s="278"/>
      <c r="BC105" s="129"/>
      <c r="BD105" s="129"/>
      <c r="BE105" s="129"/>
      <c r="BF105" s="281"/>
      <c r="BG105" s="214"/>
      <c r="BH105" s="207"/>
      <c r="BI105" s="207"/>
      <c r="BJ105" s="207"/>
      <c r="BK105" s="207"/>
      <c r="BL105" s="207"/>
      <c r="BM105" s="207"/>
      <c r="BN105" s="207"/>
      <c r="BO105" s="207"/>
      <c r="BP105" s="215"/>
      <c r="BQ105" s="226"/>
      <c r="BR105" s="227"/>
      <c r="BS105" s="227"/>
      <c r="BT105" s="227"/>
      <c r="BU105" s="227"/>
      <c r="BV105" s="227"/>
      <c r="BW105" s="227"/>
      <c r="BX105" s="227"/>
      <c r="BY105" s="227"/>
      <c r="BZ105" s="228"/>
      <c r="CA105" s="537"/>
      <c r="CB105" s="538"/>
      <c r="CC105" s="538"/>
      <c r="CD105" s="538"/>
      <c r="CE105" s="538"/>
      <c r="CF105" s="538"/>
      <c r="CG105" s="538"/>
      <c r="CH105" s="538"/>
      <c r="CI105" s="538"/>
      <c r="CJ105" s="538"/>
      <c r="CK105" s="237"/>
      <c r="CL105" s="238"/>
      <c r="CM105" s="238"/>
      <c r="CN105" s="238"/>
      <c r="CO105" s="238"/>
      <c r="CP105" s="238"/>
      <c r="CQ105" s="238"/>
      <c r="CR105" s="238"/>
      <c r="CS105" s="238"/>
      <c r="CT105" s="273"/>
      <c r="CU105" s="295"/>
      <c r="CV105" s="296"/>
      <c r="CW105" s="296"/>
      <c r="CX105" s="296"/>
      <c r="CY105" s="296"/>
      <c r="CZ105" s="296"/>
      <c r="DA105" s="296"/>
      <c r="DB105" s="296"/>
      <c r="DC105" s="297"/>
      <c r="DD105" s="298"/>
      <c r="DE105" s="214"/>
      <c r="DF105" s="207"/>
      <c r="DG105" s="207"/>
      <c r="DH105" s="207"/>
      <c r="DI105" s="207"/>
      <c r="DJ105" s="207"/>
      <c r="DK105" s="207"/>
      <c r="DL105" s="207"/>
      <c r="DM105" s="207"/>
      <c r="DN105" s="215"/>
      <c r="DO105" s="226"/>
      <c r="DP105" s="227"/>
      <c r="DQ105" s="227"/>
      <c r="DR105" s="227"/>
      <c r="DS105" s="227"/>
      <c r="DT105" s="227"/>
      <c r="DU105" s="227"/>
      <c r="DV105" s="227"/>
      <c r="DW105" s="227"/>
      <c r="DX105" s="228"/>
      <c r="DY105" s="90"/>
      <c r="DZ105" s="91"/>
      <c r="EA105" s="91"/>
      <c r="EB105" s="91"/>
      <c r="EC105" s="91"/>
      <c r="ED105" s="91"/>
      <c r="EE105" s="91"/>
      <c r="EF105" s="91"/>
      <c r="EG105" s="91"/>
      <c r="EH105" s="92"/>
      <c r="EI105" s="237"/>
      <c r="EJ105" s="238"/>
      <c r="EK105" s="238"/>
      <c r="EL105" s="238"/>
      <c r="EM105" s="238"/>
      <c r="EN105" s="238"/>
      <c r="EO105" s="238"/>
      <c r="EP105" s="238"/>
      <c r="EQ105" s="238"/>
      <c r="ER105" s="273"/>
      <c r="ES105" s="316">
        <f t="shared" si="47"/>
        <v>0</v>
      </c>
      <c r="ET105" s="317">
        <f t="shared" si="48"/>
        <v>0</v>
      </c>
      <c r="EU105" s="317">
        <f t="shared" si="49"/>
        <v>0</v>
      </c>
      <c r="EV105" s="317">
        <f t="shared" si="50"/>
        <v>0</v>
      </c>
      <c r="EW105" s="317">
        <f t="shared" si="51"/>
        <v>0</v>
      </c>
      <c r="EX105" s="317">
        <f t="shared" si="52"/>
        <v>0</v>
      </c>
      <c r="EY105" s="317">
        <f t="shared" si="53"/>
        <v>0</v>
      </c>
      <c r="EZ105" s="317">
        <f t="shared" si="54"/>
        <v>0</v>
      </c>
      <c r="FA105" s="317">
        <f t="shared" si="55"/>
        <v>0</v>
      </c>
      <c r="FB105" s="317">
        <f t="shared" si="56"/>
        <v>0</v>
      </c>
      <c r="FC105" s="317">
        <f t="shared" si="57"/>
        <v>0</v>
      </c>
      <c r="FD105" s="317">
        <f t="shared" si="58"/>
        <v>0</v>
      </c>
      <c r="FE105" s="317">
        <f t="shared" si="59"/>
        <v>0</v>
      </c>
      <c r="FF105" s="317">
        <f t="shared" si="60"/>
        <v>0</v>
      </c>
      <c r="FG105" s="318">
        <f t="shared" si="63"/>
        <v>103</v>
      </c>
      <c r="FH105" s="319">
        <f t="shared" si="61"/>
        <v>0</v>
      </c>
      <c r="FI105" s="319">
        <f>SUM(I7:ER7)-SUM(ES105:FF105)</f>
        <v>128</v>
      </c>
      <c r="FJ105" s="319">
        <f t="shared" si="62"/>
        <v>128</v>
      </c>
      <c r="FK105" s="7"/>
    </row>
    <row r="106" spans="1:167" ht="15.75" customHeight="1">
      <c r="A106" s="2"/>
      <c r="B106" s="3">
        <f t="shared" si="45"/>
        <v>0</v>
      </c>
      <c r="C106" s="182">
        <f t="shared" si="46"/>
        <v>47</v>
      </c>
      <c r="D106" s="201"/>
      <c r="E106" s="203"/>
      <c r="F106" s="203"/>
      <c r="G106" s="571">
        <v>45915</v>
      </c>
      <c r="H106" s="572"/>
      <c r="I106" s="214"/>
      <c r="J106" s="207"/>
      <c r="K106" s="207"/>
      <c r="L106" s="207"/>
      <c r="M106" s="207"/>
      <c r="N106" s="207"/>
      <c r="O106" s="207"/>
      <c r="P106" s="207"/>
      <c r="Q106" s="207"/>
      <c r="R106" s="215"/>
      <c r="S106" s="226"/>
      <c r="T106" s="227"/>
      <c r="U106" s="227"/>
      <c r="V106" s="227"/>
      <c r="W106" s="227"/>
      <c r="X106" s="227"/>
      <c r="Y106" s="247"/>
      <c r="Z106" s="248"/>
      <c r="AA106" s="249"/>
      <c r="AB106" s="228"/>
      <c r="AC106" s="264"/>
      <c r="AD106" s="178"/>
      <c r="AE106" s="178"/>
      <c r="AF106" s="178"/>
      <c r="AG106" s="582"/>
      <c r="AH106" s="583"/>
      <c r="AI106" s="178"/>
      <c r="AJ106" s="178"/>
      <c r="AK106" s="178"/>
      <c r="AL106" s="265"/>
      <c r="AM106" s="237"/>
      <c r="AN106" s="238"/>
      <c r="AO106" s="238"/>
      <c r="AP106" s="238"/>
      <c r="AQ106" s="238"/>
      <c r="AR106" s="238"/>
      <c r="AS106" s="238"/>
      <c r="AT106" s="238"/>
      <c r="AU106" s="238"/>
      <c r="AV106" s="273"/>
      <c r="AW106" s="277"/>
      <c r="AX106" s="129"/>
      <c r="AY106" s="278"/>
      <c r="AZ106" s="129"/>
      <c r="BA106" s="278"/>
      <c r="BB106" s="278"/>
      <c r="BC106" s="129"/>
      <c r="BD106" s="129"/>
      <c r="BE106" s="129"/>
      <c r="BF106" s="281"/>
      <c r="BG106" s="214"/>
      <c r="BH106" s="207"/>
      <c r="BI106" s="207"/>
      <c r="BJ106" s="207"/>
      <c r="BK106" s="207"/>
      <c r="BL106" s="207"/>
      <c r="BM106" s="207"/>
      <c r="BN106" s="207"/>
      <c r="BO106" s="207"/>
      <c r="BP106" s="215"/>
      <c r="BQ106" s="226"/>
      <c r="BR106" s="227"/>
      <c r="BS106" s="227"/>
      <c r="BT106" s="227"/>
      <c r="BU106" s="227"/>
      <c r="BV106" s="227"/>
      <c r="BW106" s="227"/>
      <c r="BX106" s="227"/>
      <c r="BY106" s="227"/>
      <c r="BZ106" s="228"/>
      <c r="CA106" s="537"/>
      <c r="CB106" s="538"/>
      <c r="CC106" s="538"/>
      <c r="CD106" s="538"/>
      <c r="CE106" s="538"/>
      <c r="CF106" s="538"/>
      <c r="CG106" s="538"/>
      <c r="CH106" s="538"/>
      <c r="CI106" s="538"/>
      <c r="CJ106" s="538"/>
      <c r="CK106" s="237"/>
      <c r="CL106" s="238"/>
      <c r="CM106" s="238"/>
      <c r="CN106" s="238"/>
      <c r="CO106" s="238"/>
      <c r="CP106" s="238"/>
      <c r="CQ106" s="238"/>
      <c r="CR106" s="238"/>
      <c r="CS106" s="238"/>
      <c r="CT106" s="273"/>
      <c r="CU106" s="295"/>
      <c r="CV106" s="296"/>
      <c r="CW106" s="296"/>
      <c r="CX106" s="296"/>
      <c r="CY106" s="296"/>
      <c r="CZ106" s="296"/>
      <c r="DA106" s="296"/>
      <c r="DB106" s="296"/>
      <c r="DC106" s="297"/>
      <c r="DD106" s="298"/>
      <c r="DE106" s="214"/>
      <c r="DF106" s="207"/>
      <c r="DG106" s="207"/>
      <c r="DH106" s="207"/>
      <c r="DI106" s="207"/>
      <c r="DJ106" s="207"/>
      <c r="DK106" s="207"/>
      <c r="DL106" s="207"/>
      <c r="DM106" s="207"/>
      <c r="DN106" s="215"/>
      <c r="DO106" s="226"/>
      <c r="DP106" s="227"/>
      <c r="DQ106" s="227"/>
      <c r="DR106" s="227"/>
      <c r="DS106" s="227"/>
      <c r="DT106" s="227"/>
      <c r="DU106" s="227"/>
      <c r="DV106" s="227"/>
      <c r="DW106" s="227"/>
      <c r="DX106" s="228"/>
      <c r="DY106" s="90"/>
      <c r="DZ106" s="91"/>
      <c r="EA106" s="91"/>
      <c r="EB106" s="91"/>
      <c r="EC106" s="91"/>
      <c r="ED106" s="91"/>
      <c r="EE106" s="91"/>
      <c r="EF106" s="91"/>
      <c r="EG106" s="91"/>
      <c r="EH106" s="92"/>
      <c r="EI106" s="237"/>
      <c r="EJ106" s="238"/>
      <c r="EK106" s="238"/>
      <c r="EL106" s="238"/>
      <c r="EM106" s="238"/>
      <c r="EN106" s="238"/>
      <c r="EO106" s="238"/>
      <c r="EP106" s="238"/>
      <c r="EQ106" s="238"/>
      <c r="ER106" s="273"/>
      <c r="ES106" s="316">
        <f t="shared" si="47"/>
        <v>0</v>
      </c>
      <c r="ET106" s="317">
        <f t="shared" si="48"/>
        <v>0</v>
      </c>
      <c r="EU106" s="317">
        <f t="shared" si="49"/>
        <v>0</v>
      </c>
      <c r="EV106" s="317">
        <f t="shared" si="50"/>
        <v>0</v>
      </c>
      <c r="EW106" s="317">
        <f t="shared" si="51"/>
        <v>0</v>
      </c>
      <c r="EX106" s="317">
        <f t="shared" si="52"/>
        <v>0</v>
      </c>
      <c r="EY106" s="317">
        <f t="shared" si="53"/>
        <v>0</v>
      </c>
      <c r="EZ106" s="317">
        <f t="shared" si="54"/>
        <v>0</v>
      </c>
      <c r="FA106" s="317">
        <f t="shared" si="55"/>
        <v>0</v>
      </c>
      <c r="FB106" s="317">
        <f t="shared" si="56"/>
        <v>0</v>
      </c>
      <c r="FC106" s="317">
        <f t="shared" si="57"/>
        <v>0</v>
      </c>
      <c r="FD106" s="317">
        <f t="shared" si="58"/>
        <v>0</v>
      </c>
      <c r="FE106" s="317">
        <f t="shared" si="59"/>
        <v>0</v>
      </c>
      <c r="FF106" s="317">
        <f t="shared" si="60"/>
        <v>0</v>
      </c>
      <c r="FG106" s="318">
        <f t="shared" si="63"/>
        <v>104</v>
      </c>
      <c r="FH106" s="319">
        <f t="shared" si="61"/>
        <v>0</v>
      </c>
      <c r="FI106" s="319">
        <f>SUM(I7:ER7)-SUM(ES106:FF106)</f>
        <v>128</v>
      </c>
      <c r="FJ106" s="319">
        <f t="shared" si="62"/>
        <v>128</v>
      </c>
      <c r="FK106" s="7"/>
    </row>
    <row r="107" spans="1:167" ht="15.75" customHeight="1">
      <c r="A107" s="2"/>
      <c r="B107" s="3">
        <f t="shared" si="45"/>
        <v>0</v>
      </c>
      <c r="C107" s="182">
        <f t="shared" si="46"/>
        <v>48</v>
      </c>
      <c r="D107" s="201"/>
      <c r="E107" s="203"/>
      <c r="F107" s="203"/>
      <c r="G107" s="571">
        <v>45915</v>
      </c>
      <c r="H107" s="572"/>
      <c r="I107" s="214"/>
      <c r="J107" s="207"/>
      <c r="K107" s="207"/>
      <c r="L107" s="207"/>
      <c r="M107" s="207"/>
      <c r="N107" s="207"/>
      <c r="O107" s="207"/>
      <c r="P107" s="207"/>
      <c r="Q107" s="207"/>
      <c r="R107" s="215"/>
      <c r="S107" s="226"/>
      <c r="T107" s="227"/>
      <c r="U107" s="227"/>
      <c r="V107" s="227"/>
      <c r="W107" s="227"/>
      <c r="X107" s="227"/>
      <c r="Y107" s="247"/>
      <c r="Z107" s="248"/>
      <c r="AA107" s="249"/>
      <c r="AB107" s="228"/>
      <c r="AC107" s="264"/>
      <c r="AD107" s="178"/>
      <c r="AE107" s="178"/>
      <c r="AF107" s="178"/>
      <c r="AG107" s="582"/>
      <c r="AH107" s="583"/>
      <c r="AI107" s="178"/>
      <c r="AJ107" s="178"/>
      <c r="AK107" s="178"/>
      <c r="AL107" s="265"/>
      <c r="AM107" s="237"/>
      <c r="AN107" s="238"/>
      <c r="AO107" s="238"/>
      <c r="AP107" s="238"/>
      <c r="AQ107" s="238"/>
      <c r="AR107" s="238"/>
      <c r="AS107" s="238"/>
      <c r="AT107" s="238"/>
      <c r="AU107" s="238"/>
      <c r="AV107" s="273"/>
      <c r="AW107" s="277"/>
      <c r="AX107" s="129"/>
      <c r="AY107" s="278"/>
      <c r="AZ107" s="129"/>
      <c r="BA107" s="278"/>
      <c r="BB107" s="278"/>
      <c r="BC107" s="129"/>
      <c r="BD107" s="129"/>
      <c r="BE107" s="129"/>
      <c r="BF107" s="281"/>
      <c r="BG107" s="214"/>
      <c r="BH107" s="207"/>
      <c r="BI107" s="207"/>
      <c r="BJ107" s="207"/>
      <c r="BK107" s="207"/>
      <c r="BL107" s="207"/>
      <c r="BM107" s="207"/>
      <c r="BN107" s="207"/>
      <c r="BO107" s="207"/>
      <c r="BP107" s="215"/>
      <c r="BQ107" s="226"/>
      <c r="BR107" s="227"/>
      <c r="BS107" s="227"/>
      <c r="BT107" s="227"/>
      <c r="BU107" s="227"/>
      <c r="BV107" s="227"/>
      <c r="BW107" s="227"/>
      <c r="BX107" s="227"/>
      <c r="BY107" s="227"/>
      <c r="BZ107" s="228"/>
      <c r="CA107" s="537"/>
      <c r="CB107" s="538"/>
      <c r="CC107" s="538"/>
      <c r="CD107" s="538"/>
      <c r="CE107" s="538"/>
      <c r="CF107" s="538"/>
      <c r="CG107" s="538"/>
      <c r="CH107" s="538"/>
      <c r="CI107" s="538"/>
      <c r="CJ107" s="538"/>
      <c r="CK107" s="237"/>
      <c r="CL107" s="238"/>
      <c r="CM107" s="238"/>
      <c r="CN107" s="238"/>
      <c r="CO107" s="238"/>
      <c r="CP107" s="238"/>
      <c r="CQ107" s="238"/>
      <c r="CR107" s="238"/>
      <c r="CS107" s="238"/>
      <c r="CT107" s="273"/>
      <c r="CU107" s="295"/>
      <c r="CV107" s="296"/>
      <c r="CW107" s="296"/>
      <c r="CX107" s="296"/>
      <c r="CY107" s="296"/>
      <c r="CZ107" s="296"/>
      <c r="DA107" s="296"/>
      <c r="DB107" s="296"/>
      <c r="DC107" s="297"/>
      <c r="DD107" s="298"/>
      <c r="DE107" s="214"/>
      <c r="DF107" s="207"/>
      <c r="DG107" s="207"/>
      <c r="DH107" s="207"/>
      <c r="DI107" s="207"/>
      <c r="DJ107" s="207"/>
      <c r="DK107" s="207"/>
      <c r="DL107" s="207"/>
      <c r="DM107" s="207"/>
      <c r="DN107" s="215"/>
      <c r="DO107" s="226"/>
      <c r="DP107" s="227"/>
      <c r="DQ107" s="227"/>
      <c r="DR107" s="227"/>
      <c r="DS107" s="227"/>
      <c r="DT107" s="227"/>
      <c r="DU107" s="227"/>
      <c r="DV107" s="227"/>
      <c r="DW107" s="227"/>
      <c r="DX107" s="228"/>
      <c r="DY107" s="90"/>
      <c r="DZ107" s="91"/>
      <c r="EA107" s="91"/>
      <c r="EB107" s="91"/>
      <c r="EC107" s="91"/>
      <c r="ED107" s="91"/>
      <c r="EE107" s="91"/>
      <c r="EF107" s="91"/>
      <c r="EG107" s="91"/>
      <c r="EH107" s="92"/>
      <c r="EI107" s="237"/>
      <c r="EJ107" s="238"/>
      <c r="EK107" s="238"/>
      <c r="EL107" s="238"/>
      <c r="EM107" s="238"/>
      <c r="EN107" s="238"/>
      <c r="EO107" s="238"/>
      <c r="EP107" s="238"/>
      <c r="EQ107" s="238"/>
      <c r="ER107" s="273"/>
      <c r="ES107" s="316">
        <f t="shared" si="47"/>
        <v>0</v>
      </c>
      <c r="ET107" s="317">
        <f t="shared" si="48"/>
        <v>0</v>
      </c>
      <c r="EU107" s="317">
        <f t="shared" si="49"/>
        <v>0</v>
      </c>
      <c r="EV107" s="317">
        <f t="shared" si="50"/>
        <v>0</v>
      </c>
      <c r="EW107" s="317">
        <f t="shared" si="51"/>
        <v>0</v>
      </c>
      <c r="EX107" s="317">
        <f t="shared" si="52"/>
        <v>0</v>
      </c>
      <c r="EY107" s="317">
        <f t="shared" si="53"/>
        <v>0</v>
      </c>
      <c r="EZ107" s="317">
        <f t="shared" si="54"/>
        <v>0</v>
      </c>
      <c r="FA107" s="317">
        <f t="shared" si="55"/>
        <v>0</v>
      </c>
      <c r="FB107" s="317">
        <f t="shared" si="56"/>
        <v>0</v>
      </c>
      <c r="FC107" s="317">
        <f t="shared" si="57"/>
        <v>0</v>
      </c>
      <c r="FD107" s="317">
        <f t="shared" si="58"/>
        <v>0</v>
      </c>
      <c r="FE107" s="317">
        <f t="shared" si="59"/>
        <v>0</v>
      </c>
      <c r="FF107" s="317">
        <f t="shared" si="60"/>
        <v>0</v>
      </c>
      <c r="FG107" s="318">
        <f t="shared" si="63"/>
        <v>105</v>
      </c>
      <c r="FH107" s="319">
        <f t="shared" si="61"/>
        <v>0</v>
      </c>
      <c r="FI107" s="319">
        <f>SUM(I7:ER7)-SUM(ES107:FF107)</f>
        <v>128</v>
      </c>
      <c r="FJ107" s="319">
        <f t="shared" si="62"/>
        <v>128</v>
      </c>
      <c r="FK107" s="7"/>
    </row>
    <row r="108" spans="1:167" ht="15.75" customHeight="1">
      <c r="A108" s="2"/>
      <c r="B108" s="3">
        <f t="shared" si="45"/>
        <v>0</v>
      </c>
      <c r="C108" s="182">
        <f t="shared" si="46"/>
        <v>49</v>
      </c>
      <c r="D108" s="201"/>
      <c r="E108" s="203"/>
      <c r="F108" s="203"/>
      <c r="G108" s="571">
        <v>45915</v>
      </c>
      <c r="H108" s="572"/>
      <c r="I108" s="214"/>
      <c r="J108" s="207"/>
      <c r="K108" s="207"/>
      <c r="L108" s="207"/>
      <c r="M108" s="207"/>
      <c r="N108" s="207"/>
      <c r="O108" s="207"/>
      <c r="P108" s="207"/>
      <c r="Q108" s="207"/>
      <c r="R108" s="215"/>
      <c r="S108" s="226"/>
      <c r="T108" s="227"/>
      <c r="U108" s="227"/>
      <c r="V108" s="227"/>
      <c r="W108" s="227"/>
      <c r="X108" s="227"/>
      <c r="Y108" s="247"/>
      <c r="Z108" s="248"/>
      <c r="AA108" s="249"/>
      <c r="AB108" s="228"/>
      <c r="AC108" s="264"/>
      <c r="AD108" s="178"/>
      <c r="AE108" s="178"/>
      <c r="AF108" s="178"/>
      <c r="AG108" s="582"/>
      <c r="AH108" s="583"/>
      <c r="AI108" s="178"/>
      <c r="AJ108" s="178"/>
      <c r="AK108" s="178"/>
      <c r="AL108" s="265"/>
      <c r="AM108" s="237"/>
      <c r="AN108" s="238"/>
      <c r="AO108" s="238"/>
      <c r="AP108" s="238"/>
      <c r="AQ108" s="238"/>
      <c r="AR108" s="238"/>
      <c r="AS108" s="238"/>
      <c r="AT108" s="238"/>
      <c r="AU108" s="238"/>
      <c r="AV108" s="273"/>
      <c r="AW108" s="277"/>
      <c r="AX108" s="129"/>
      <c r="AY108" s="278"/>
      <c r="AZ108" s="129"/>
      <c r="BA108" s="278"/>
      <c r="BB108" s="278"/>
      <c r="BC108" s="129"/>
      <c r="BD108" s="129"/>
      <c r="BE108" s="129"/>
      <c r="BF108" s="281"/>
      <c r="BG108" s="214"/>
      <c r="BH108" s="207"/>
      <c r="BI108" s="207"/>
      <c r="BJ108" s="207"/>
      <c r="BK108" s="207"/>
      <c r="BL108" s="207"/>
      <c r="BM108" s="207"/>
      <c r="BN108" s="207"/>
      <c r="BO108" s="207"/>
      <c r="BP108" s="215"/>
      <c r="BQ108" s="226"/>
      <c r="BR108" s="227"/>
      <c r="BS108" s="227"/>
      <c r="BT108" s="227"/>
      <c r="BU108" s="227"/>
      <c r="BV108" s="227"/>
      <c r="BW108" s="227"/>
      <c r="BX108" s="227"/>
      <c r="BY108" s="227"/>
      <c r="BZ108" s="228"/>
      <c r="CA108" s="537"/>
      <c r="CB108" s="538"/>
      <c r="CC108" s="538"/>
      <c r="CD108" s="538"/>
      <c r="CE108" s="538"/>
      <c r="CF108" s="538"/>
      <c r="CG108" s="538"/>
      <c r="CH108" s="538"/>
      <c r="CI108" s="538"/>
      <c r="CJ108" s="538"/>
      <c r="CK108" s="237"/>
      <c r="CL108" s="238"/>
      <c r="CM108" s="238"/>
      <c r="CN108" s="238"/>
      <c r="CO108" s="238"/>
      <c r="CP108" s="238"/>
      <c r="CQ108" s="238"/>
      <c r="CR108" s="238"/>
      <c r="CS108" s="238"/>
      <c r="CT108" s="273"/>
      <c r="CU108" s="295"/>
      <c r="CV108" s="296"/>
      <c r="CW108" s="296"/>
      <c r="CX108" s="296"/>
      <c r="CY108" s="296"/>
      <c r="CZ108" s="296"/>
      <c r="DA108" s="296"/>
      <c r="DB108" s="296"/>
      <c r="DC108" s="297"/>
      <c r="DD108" s="298"/>
      <c r="DE108" s="214"/>
      <c r="DF108" s="207"/>
      <c r="DG108" s="207"/>
      <c r="DH108" s="207"/>
      <c r="DI108" s="207"/>
      <c r="DJ108" s="207"/>
      <c r="DK108" s="207"/>
      <c r="DL108" s="207"/>
      <c r="DM108" s="207"/>
      <c r="DN108" s="215"/>
      <c r="DO108" s="226"/>
      <c r="DP108" s="227"/>
      <c r="DQ108" s="227"/>
      <c r="DR108" s="227"/>
      <c r="DS108" s="227"/>
      <c r="DT108" s="227"/>
      <c r="DU108" s="227"/>
      <c r="DV108" s="227"/>
      <c r="DW108" s="227"/>
      <c r="DX108" s="228"/>
      <c r="DY108" s="90"/>
      <c r="DZ108" s="91"/>
      <c r="EA108" s="91"/>
      <c r="EB108" s="91"/>
      <c r="EC108" s="91"/>
      <c r="ED108" s="91"/>
      <c r="EE108" s="91"/>
      <c r="EF108" s="91"/>
      <c r="EG108" s="91"/>
      <c r="EH108" s="92"/>
      <c r="EI108" s="237"/>
      <c r="EJ108" s="238"/>
      <c r="EK108" s="238"/>
      <c r="EL108" s="238"/>
      <c r="EM108" s="238"/>
      <c r="EN108" s="238"/>
      <c r="EO108" s="238"/>
      <c r="EP108" s="238"/>
      <c r="EQ108" s="238"/>
      <c r="ER108" s="273"/>
      <c r="ES108" s="316">
        <f t="shared" si="47"/>
        <v>0</v>
      </c>
      <c r="ET108" s="317">
        <f t="shared" si="48"/>
        <v>0</v>
      </c>
      <c r="EU108" s="317">
        <f t="shared" si="49"/>
        <v>0</v>
      </c>
      <c r="EV108" s="317">
        <f t="shared" si="50"/>
        <v>0</v>
      </c>
      <c r="EW108" s="317">
        <f t="shared" si="51"/>
        <v>0</v>
      </c>
      <c r="EX108" s="317">
        <f t="shared" si="52"/>
        <v>0</v>
      </c>
      <c r="EY108" s="317">
        <f t="shared" si="53"/>
        <v>0</v>
      </c>
      <c r="EZ108" s="317">
        <f t="shared" si="54"/>
        <v>0</v>
      </c>
      <c r="FA108" s="317">
        <f t="shared" si="55"/>
        <v>0</v>
      </c>
      <c r="FB108" s="317">
        <f t="shared" si="56"/>
        <v>0</v>
      </c>
      <c r="FC108" s="317">
        <f t="shared" si="57"/>
        <v>0</v>
      </c>
      <c r="FD108" s="317">
        <f t="shared" si="58"/>
        <v>0</v>
      </c>
      <c r="FE108" s="317">
        <f t="shared" si="59"/>
        <v>0</v>
      </c>
      <c r="FF108" s="317">
        <f t="shared" si="60"/>
        <v>0</v>
      </c>
      <c r="FG108" s="318">
        <f t="shared" si="63"/>
        <v>106</v>
      </c>
      <c r="FH108" s="319">
        <f t="shared" si="61"/>
        <v>0</v>
      </c>
      <c r="FI108" s="319">
        <f>SUM(I7:ER7)-SUM(ES108:FF108)</f>
        <v>128</v>
      </c>
      <c r="FJ108" s="319">
        <f t="shared" si="62"/>
        <v>128</v>
      </c>
      <c r="FK108" s="7"/>
    </row>
    <row r="109" spans="1:167" ht="15.75" customHeight="1" thickBot="1">
      <c r="A109" s="2"/>
      <c r="B109" s="3">
        <f t="shared" si="45"/>
        <v>0</v>
      </c>
      <c r="C109" s="182">
        <f t="shared" si="46"/>
        <v>50</v>
      </c>
      <c r="D109" s="201"/>
      <c r="E109" s="203"/>
      <c r="F109" s="203"/>
      <c r="G109" s="571">
        <v>45915</v>
      </c>
      <c r="H109" s="572"/>
      <c r="I109" s="216"/>
      <c r="J109" s="217"/>
      <c r="K109" s="217"/>
      <c r="L109" s="217"/>
      <c r="M109" s="217"/>
      <c r="N109" s="217"/>
      <c r="O109" s="217"/>
      <c r="P109" s="217"/>
      <c r="Q109" s="217"/>
      <c r="R109" s="218"/>
      <c r="S109" s="229"/>
      <c r="T109" s="230"/>
      <c r="U109" s="230"/>
      <c r="V109" s="230"/>
      <c r="W109" s="230"/>
      <c r="X109" s="230"/>
      <c r="Y109" s="250"/>
      <c r="Z109" s="253"/>
      <c r="AA109" s="254"/>
      <c r="AB109" s="231"/>
      <c r="AC109" s="266"/>
      <c r="AD109" s="267"/>
      <c r="AE109" s="267"/>
      <c r="AF109" s="267"/>
      <c r="AG109" s="584"/>
      <c r="AH109" s="585"/>
      <c r="AI109" s="267"/>
      <c r="AJ109" s="267"/>
      <c r="AK109" s="267"/>
      <c r="AL109" s="268"/>
      <c r="AM109" s="241"/>
      <c r="AN109" s="242"/>
      <c r="AO109" s="242"/>
      <c r="AP109" s="242"/>
      <c r="AQ109" s="242"/>
      <c r="AR109" s="242"/>
      <c r="AS109" s="242"/>
      <c r="AT109" s="242"/>
      <c r="AU109" s="242"/>
      <c r="AV109" s="274"/>
      <c r="AW109" s="277"/>
      <c r="AX109" s="129"/>
      <c r="AY109" s="278"/>
      <c r="AZ109" s="129"/>
      <c r="BA109" s="278"/>
      <c r="BB109" s="278"/>
      <c r="BC109" s="129"/>
      <c r="BD109" s="129"/>
      <c r="BE109" s="129"/>
      <c r="BF109" s="281"/>
      <c r="BG109" s="216"/>
      <c r="BH109" s="217"/>
      <c r="BI109" s="217"/>
      <c r="BJ109" s="217"/>
      <c r="BK109" s="217"/>
      <c r="BL109" s="217"/>
      <c r="BM109" s="217"/>
      <c r="BN109" s="217"/>
      <c r="BO109" s="217"/>
      <c r="BP109" s="218"/>
      <c r="BQ109" s="229"/>
      <c r="BR109" s="230"/>
      <c r="BS109" s="230"/>
      <c r="BT109" s="230"/>
      <c r="BU109" s="230"/>
      <c r="BV109" s="230"/>
      <c r="BW109" s="230"/>
      <c r="BX109" s="230"/>
      <c r="BY109" s="230"/>
      <c r="BZ109" s="231"/>
      <c r="CA109" s="588"/>
      <c r="CB109" s="589"/>
      <c r="CC109" s="589"/>
      <c r="CD109" s="589"/>
      <c r="CE109" s="589"/>
      <c r="CF109" s="589"/>
      <c r="CG109" s="589"/>
      <c r="CH109" s="589"/>
      <c r="CI109" s="589"/>
      <c r="CJ109" s="589"/>
      <c r="CK109" s="237"/>
      <c r="CL109" s="238"/>
      <c r="CM109" s="238"/>
      <c r="CN109" s="238"/>
      <c r="CO109" s="238"/>
      <c r="CP109" s="238"/>
      <c r="CQ109" s="238"/>
      <c r="CR109" s="238"/>
      <c r="CS109" s="238"/>
      <c r="CT109" s="273"/>
      <c r="CU109" s="299"/>
      <c r="CV109" s="300"/>
      <c r="CW109" s="300"/>
      <c r="CX109" s="300"/>
      <c r="CY109" s="300"/>
      <c r="CZ109" s="300"/>
      <c r="DA109" s="300"/>
      <c r="DB109" s="300"/>
      <c r="DC109" s="301"/>
      <c r="DD109" s="302"/>
      <c r="DE109" s="216"/>
      <c r="DF109" s="217"/>
      <c r="DG109" s="217"/>
      <c r="DH109" s="217"/>
      <c r="DI109" s="217"/>
      <c r="DJ109" s="217"/>
      <c r="DK109" s="217"/>
      <c r="DL109" s="217"/>
      <c r="DM109" s="217"/>
      <c r="DN109" s="218"/>
      <c r="DO109" s="229"/>
      <c r="DP109" s="230"/>
      <c r="DQ109" s="230"/>
      <c r="DR109" s="230"/>
      <c r="DS109" s="230"/>
      <c r="DT109" s="230"/>
      <c r="DU109" s="230"/>
      <c r="DV109" s="230"/>
      <c r="DW109" s="230"/>
      <c r="DX109" s="231"/>
      <c r="DY109" s="313"/>
      <c r="DZ109" s="314"/>
      <c r="EA109" s="314"/>
      <c r="EB109" s="314"/>
      <c r="EC109" s="314"/>
      <c r="ED109" s="314"/>
      <c r="EE109" s="314"/>
      <c r="EF109" s="314"/>
      <c r="EG109" s="314"/>
      <c r="EH109" s="315"/>
      <c r="EI109" s="241"/>
      <c r="EJ109" s="242"/>
      <c r="EK109" s="242"/>
      <c r="EL109" s="242"/>
      <c r="EM109" s="242"/>
      <c r="EN109" s="242"/>
      <c r="EO109" s="242"/>
      <c r="EP109" s="242"/>
      <c r="EQ109" s="242"/>
      <c r="ER109" s="274"/>
      <c r="ES109" s="316">
        <f t="shared" si="47"/>
        <v>0</v>
      </c>
      <c r="ET109" s="317">
        <f t="shared" si="48"/>
        <v>0</v>
      </c>
      <c r="EU109" s="317">
        <f t="shared" si="49"/>
        <v>0</v>
      </c>
      <c r="EV109" s="317">
        <f t="shared" si="50"/>
        <v>0</v>
      </c>
      <c r="EW109" s="317">
        <f t="shared" si="51"/>
        <v>0</v>
      </c>
      <c r="EX109" s="317">
        <f t="shared" si="52"/>
        <v>0</v>
      </c>
      <c r="EY109" s="317">
        <f t="shared" si="53"/>
        <v>0</v>
      </c>
      <c r="EZ109" s="317">
        <f t="shared" si="54"/>
        <v>0</v>
      </c>
      <c r="FA109" s="317">
        <f t="shared" si="55"/>
        <v>0</v>
      </c>
      <c r="FB109" s="317">
        <f t="shared" si="56"/>
        <v>0</v>
      </c>
      <c r="FC109" s="317">
        <f t="shared" si="57"/>
        <v>0</v>
      </c>
      <c r="FD109" s="317">
        <f t="shared" si="58"/>
        <v>0</v>
      </c>
      <c r="FE109" s="317">
        <f t="shared" si="59"/>
        <v>0</v>
      </c>
      <c r="FF109" s="317">
        <f t="shared" si="60"/>
        <v>0</v>
      </c>
      <c r="FG109" s="318">
        <f t="shared" si="63"/>
        <v>107</v>
      </c>
      <c r="FH109" s="319">
        <f t="shared" si="61"/>
        <v>0</v>
      </c>
      <c r="FI109" s="319">
        <f>SUM(I7:ER7)-SUM(ES109:FF109)</f>
        <v>128</v>
      </c>
      <c r="FJ109" s="319">
        <f t="shared" si="62"/>
        <v>128</v>
      </c>
      <c r="FK109" s="7"/>
    </row>
    <row r="110" spans="1:167" ht="3" customHeight="1" thickBot="1">
      <c r="A110" s="2"/>
      <c r="B110" s="1"/>
      <c r="C110" s="1"/>
      <c r="D110" s="1"/>
      <c r="E110" s="1"/>
      <c r="F110" s="1"/>
      <c r="G110" s="1"/>
      <c r="H110" s="1"/>
      <c r="I110" s="13"/>
      <c r="J110" s="14"/>
      <c r="K110" s="14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9"/>
      <c r="AZ110" s="1"/>
      <c r="BA110" s="9"/>
      <c r="BB110" s="9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288"/>
      <c r="CL110" s="289"/>
      <c r="CM110" s="289"/>
      <c r="CN110" s="289"/>
      <c r="CO110" s="289"/>
      <c r="CP110" s="289"/>
      <c r="CQ110" s="289"/>
      <c r="CR110" s="289"/>
      <c r="CS110" s="289"/>
      <c r="CT110" s="290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>
        <f t="shared" si="61"/>
        <v>0</v>
      </c>
      <c r="FI110" s="1">
        <f>140-SUM(ES110:FF110)</f>
        <v>140</v>
      </c>
      <c r="FJ110" s="1">
        <f t="shared" si="62"/>
        <v>140</v>
      </c>
      <c r="FK110" s="7"/>
    </row>
    <row r="111" spans="1:167" ht="16.5" customHeight="1">
      <c r="A111" s="2"/>
      <c r="B111" s="552" t="s">
        <v>26</v>
      </c>
      <c r="C111" s="449"/>
      <c r="D111" s="449"/>
      <c r="E111" s="449"/>
      <c r="F111" s="449"/>
      <c r="G111" s="449"/>
      <c r="H111" s="322"/>
      <c r="I111" s="575" t="s">
        <v>27</v>
      </c>
      <c r="J111" s="497"/>
      <c r="K111" s="497"/>
      <c r="L111" s="498"/>
      <c r="M111" s="55" t="s">
        <v>28</v>
      </c>
      <c r="N111" s="499" t="s">
        <v>29</v>
      </c>
      <c r="O111" s="497"/>
      <c r="P111" s="497"/>
      <c r="Q111" s="498"/>
      <c r="R111" s="55" t="s">
        <v>28</v>
      </c>
      <c r="S111" s="499" t="s">
        <v>27</v>
      </c>
      <c r="T111" s="497"/>
      <c r="U111" s="497"/>
      <c r="V111" s="498"/>
      <c r="W111" s="57" t="s">
        <v>28</v>
      </c>
      <c r="X111" s="499" t="s">
        <v>29</v>
      </c>
      <c r="Y111" s="497"/>
      <c r="Z111" s="497"/>
      <c r="AA111" s="498"/>
      <c r="AB111" s="57" t="s">
        <v>28</v>
      </c>
      <c r="AC111" s="499" t="s">
        <v>27</v>
      </c>
      <c r="AD111" s="497"/>
      <c r="AE111" s="497"/>
      <c r="AF111" s="498"/>
      <c r="AG111" s="57" t="s">
        <v>28</v>
      </c>
      <c r="AH111" s="499" t="s">
        <v>29</v>
      </c>
      <c r="AI111" s="497"/>
      <c r="AJ111" s="497"/>
      <c r="AK111" s="498"/>
      <c r="AL111" s="57" t="s">
        <v>28</v>
      </c>
      <c r="AM111" s="499" t="s">
        <v>27</v>
      </c>
      <c r="AN111" s="497"/>
      <c r="AO111" s="497"/>
      <c r="AP111" s="498"/>
      <c r="AQ111" s="57" t="s">
        <v>28</v>
      </c>
      <c r="AR111" s="499" t="s">
        <v>29</v>
      </c>
      <c r="AS111" s="497"/>
      <c r="AT111" s="497"/>
      <c r="AU111" s="498"/>
      <c r="AV111" s="57" t="s">
        <v>28</v>
      </c>
      <c r="AW111" s="499" t="s">
        <v>27</v>
      </c>
      <c r="AX111" s="497"/>
      <c r="AY111" s="497"/>
      <c r="AZ111" s="498"/>
      <c r="BA111" s="325" t="s">
        <v>28</v>
      </c>
      <c r="BB111" s="499" t="s">
        <v>29</v>
      </c>
      <c r="BC111" s="497"/>
      <c r="BD111" s="497"/>
      <c r="BE111" s="498"/>
      <c r="BF111" s="57" t="s">
        <v>28</v>
      </c>
      <c r="BG111" s="499" t="s">
        <v>27</v>
      </c>
      <c r="BH111" s="497"/>
      <c r="BI111" s="497"/>
      <c r="BJ111" s="498"/>
      <c r="BK111" s="57" t="s">
        <v>28</v>
      </c>
      <c r="BL111" s="499" t="s">
        <v>29</v>
      </c>
      <c r="BM111" s="497"/>
      <c r="BN111" s="497"/>
      <c r="BO111" s="498"/>
      <c r="BP111" s="57" t="s">
        <v>28</v>
      </c>
      <c r="BQ111" s="499" t="s">
        <v>27</v>
      </c>
      <c r="BR111" s="497"/>
      <c r="BS111" s="497"/>
      <c r="BT111" s="498"/>
      <c r="BU111" s="57" t="s">
        <v>28</v>
      </c>
      <c r="BV111" s="499" t="s">
        <v>29</v>
      </c>
      <c r="BW111" s="497"/>
      <c r="BX111" s="497"/>
      <c r="BY111" s="498"/>
      <c r="BZ111" s="57" t="s">
        <v>28</v>
      </c>
      <c r="CA111" s="499" t="s">
        <v>27</v>
      </c>
      <c r="CB111" s="497"/>
      <c r="CC111" s="497"/>
      <c r="CD111" s="498"/>
      <c r="CE111" s="57" t="s">
        <v>28</v>
      </c>
      <c r="CF111" s="499" t="s">
        <v>29</v>
      </c>
      <c r="CG111" s="497"/>
      <c r="CH111" s="497"/>
      <c r="CI111" s="498"/>
      <c r="CJ111" s="57" t="s">
        <v>28</v>
      </c>
      <c r="CK111" s="576" t="s">
        <v>27</v>
      </c>
      <c r="CL111" s="519"/>
      <c r="CM111" s="519"/>
      <c r="CN111" s="517"/>
      <c r="CO111" s="326" t="s">
        <v>28</v>
      </c>
      <c r="CP111" s="576" t="s">
        <v>29</v>
      </c>
      <c r="CQ111" s="519"/>
      <c r="CR111" s="519"/>
      <c r="CS111" s="517"/>
      <c r="CT111" s="326" t="s">
        <v>28</v>
      </c>
      <c r="CU111" s="499" t="s">
        <v>27</v>
      </c>
      <c r="CV111" s="497"/>
      <c r="CW111" s="497"/>
      <c r="CX111" s="498"/>
      <c r="CY111" s="55" t="s">
        <v>28</v>
      </c>
      <c r="CZ111" s="499" t="s">
        <v>29</v>
      </c>
      <c r="DA111" s="497"/>
      <c r="DB111" s="497"/>
      <c r="DC111" s="498"/>
      <c r="DD111" s="61" t="s">
        <v>28</v>
      </c>
      <c r="DE111" s="499" t="s">
        <v>27</v>
      </c>
      <c r="DF111" s="497"/>
      <c r="DG111" s="497"/>
      <c r="DH111" s="498"/>
      <c r="DI111" s="61" t="s">
        <v>28</v>
      </c>
      <c r="DJ111" s="499" t="s">
        <v>29</v>
      </c>
      <c r="DK111" s="497"/>
      <c r="DL111" s="497"/>
      <c r="DM111" s="498"/>
      <c r="DN111" s="61" t="s">
        <v>28</v>
      </c>
      <c r="DO111" s="499" t="s">
        <v>27</v>
      </c>
      <c r="DP111" s="497"/>
      <c r="DQ111" s="497"/>
      <c r="DR111" s="498"/>
      <c r="DS111" s="61" t="s">
        <v>28</v>
      </c>
      <c r="DT111" s="499" t="s">
        <v>29</v>
      </c>
      <c r="DU111" s="497"/>
      <c r="DV111" s="497"/>
      <c r="DW111" s="498"/>
      <c r="DX111" s="61" t="s">
        <v>28</v>
      </c>
      <c r="DY111" s="499" t="s">
        <v>27</v>
      </c>
      <c r="DZ111" s="497"/>
      <c r="EA111" s="497"/>
      <c r="EB111" s="498"/>
      <c r="EC111" s="61" t="s">
        <v>28</v>
      </c>
      <c r="ED111" s="499" t="s">
        <v>29</v>
      </c>
      <c r="EE111" s="497"/>
      <c r="EF111" s="497"/>
      <c r="EG111" s="498"/>
      <c r="EH111" s="61" t="s">
        <v>28</v>
      </c>
      <c r="EI111" s="499" t="s">
        <v>27</v>
      </c>
      <c r="EJ111" s="497"/>
      <c r="EK111" s="497"/>
      <c r="EL111" s="498"/>
      <c r="EM111" s="61" t="s">
        <v>28</v>
      </c>
      <c r="EN111" s="499" t="s">
        <v>29</v>
      </c>
      <c r="EO111" s="497"/>
      <c r="EP111" s="497"/>
      <c r="EQ111" s="498"/>
      <c r="ER111" s="61" t="s">
        <v>28</v>
      </c>
      <c r="ES111" s="525">
        <f>J117+O117</f>
        <v>298</v>
      </c>
      <c r="ET111" s="525">
        <f>T117+Y117</f>
        <v>474</v>
      </c>
      <c r="EU111" s="525">
        <f>AD117+AI117</f>
        <v>410</v>
      </c>
      <c r="EV111" s="525">
        <f>AO117+AS117</f>
        <v>538</v>
      </c>
      <c r="EW111" s="525">
        <f>AX117+BC117</f>
        <v>554</v>
      </c>
      <c r="EX111" s="525">
        <f>BH117+BM117</f>
        <v>544</v>
      </c>
      <c r="EY111" s="525">
        <f>BR117+BW117</f>
        <v>552</v>
      </c>
      <c r="EZ111" s="525">
        <f>CG117+CL117</f>
        <v>270</v>
      </c>
      <c r="FA111" s="525">
        <f>CL117+CQ117</f>
        <v>540</v>
      </c>
      <c r="FB111" s="525">
        <f>CV117+DA117</f>
        <v>534</v>
      </c>
      <c r="FC111" s="525">
        <f>DF117+DK117</f>
        <v>556</v>
      </c>
      <c r="FD111" s="525">
        <f>DP117+DU117</f>
        <v>580</v>
      </c>
      <c r="FE111" s="525">
        <f>DZ117+EE117</f>
        <v>580</v>
      </c>
      <c r="FF111" s="525">
        <f>EJ117+EO117</f>
        <v>580</v>
      </c>
      <c r="FG111" s="553" t="s">
        <v>30</v>
      </c>
      <c r="FH111" s="332" t="s">
        <v>31</v>
      </c>
      <c r="FI111" s="333"/>
      <c r="FJ111" s="333"/>
      <c r="FK111" s="334"/>
    </row>
    <row r="112" spans="1:167" ht="15.75" customHeight="1">
      <c r="A112" s="2"/>
      <c r="B112" s="551"/>
      <c r="C112" s="548"/>
      <c r="D112" s="548"/>
      <c r="E112" s="548"/>
      <c r="F112" s="548"/>
      <c r="G112" s="452"/>
      <c r="H112" s="323" t="s">
        <v>32</v>
      </c>
      <c r="I112" s="512">
        <f>SUM(I8:I109)</f>
        <v>22</v>
      </c>
      <c r="J112" s="497"/>
      <c r="K112" s="497"/>
      <c r="L112" s="498"/>
      <c r="M112" s="71">
        <v>1</v>
      </c>
      <c r="N112" s="500">
        <f>SUM(J8:J110)</f>
        <v>22</v>
      </c>
      <c r="O112" s="497"/>
      <c r="P112" s="497"/>
      <c r="Q112" s="498"/>
      <c r="R112" s="71">
        <v>1</v>
      </c>
      <c r="S112" s="500">
        <f>SUM(S8:S109)</f>
        <v>48</v>
      </c>
      <c r="T112" s="497"/>
      <c r="U112" s="497"/>
      <c r="V112" s="498"/>
      <c r="W112" s="71">
        <v>2</v>
      </c>
      <c r="X112" s="500">
        <f>SUM(T8:T110)</f>
        <v>48</v>
      </c>
      <c r="Y112" s="497"/>
      <c r="Z112" s="497"/>
      <c r="AA112" s="498"/>
      <c r="AB112" s="71">
        <v>2</v>
      </c>
      <c r="AC112" s="500">
        <f>SUM(AC8:AC109)</f>
        <v>50</v>
      </c>
      <c r="AD112" s="497"/>
      <c r="AE112" s="497"/>
      <c r="AF112" s="498"/>
      <c r="AG112" s="71">
        <v>3</v>
      </c>
      <c r="AH112" s="500">
        <f>SUM(AD8:AD110)</f>
        <v>50</v>
      </c>
      <c r="AI112" s="497"/>
      <c r="AJ112" s="497"/>
      <c r="AK112" s="498"/>
      <c r="AL112" s="71">
        <v>3</v>
      </c>
      <c r="AM112" s="500">
        <f>SUM(AM8:AM109)</f>
        <v>51</v>
      </c>
      <c r="AN112" s="497"/>
      <c r="AO112" s="497"/>
      <c r="AP112" s="498"/>
      <c r="AQ112" s="71">
        <v>4</v>
      </c>
      <c r="AR112" s="500">
        <f>SUM(AN8:AN109)</f>
        <v>51</v>
      </c>
      <c r="AS112" s="497"/>
      <c r="AT112" s="497"/>
      <c r="AU112" s="498"/>
      <c r="AV112" s="71">
        <v>4</v>
      </c>
      <c r="AW112" s="500">
        <f>SUM(AW8:AW109)</f>
        <v>57</v>
      </c>
      <c r="AX112" s="497"/>
      <c r="AY112" s="497"/>
      <c r="AZ112" s="498"/>
      <c r="BA112" s="329">
        <v>5</v>
      </c>
      <c r="BB112" s="500">
        <f>SUM(AX8:AX110)</f>
        <v>57</v>
      </c>
      <c r="BC112" s="497"/>
      <c r="BD112" s="497"/>
      <c r="BE112" s="498"/>
      <c r="BF112" s="71">
        <v>5</v>
      </c>
      <c r="BG112" s="500">
        <f>SUM(BG8:BG109)</f>
        <v>55</v>
      </c>
      <c r="BH112" s="497"/>
      <c r="BI112" s="497"/>
      <c r="BJ112" s="498"/>
      <c r="BK112" s="71">
        <v>6</v>
      </c>
      <c r="BL112" s="500">
        <f>SUM(BH8:BH110)</f>
        <v>55</v>
      </c>
      <c r="BM112" s="497"/>
      <c r="BN112" s="497"/>
      <c r="BO112" s="498"/>
      <c r="BP112" s="71">
        <v>6</v>
      </c>
      <c r="BQ112" s="500">
        <f>SUM(BQ8:BQ109)</f>
        <v>56</v>
      </c>
      <c r="BR112" s="497"/>
      <c r="BS112" s="497"/>
      <c r="BT112" s="498"/>
      <c r="BU112" s="71">
        <v>7</v>
      </c>
      <c r="BV112" s="500">
        <f>SUM(BR8:BR110)</f>
        <v>56</v>
      </c>
      <c r="BW112" s="497"/>
      <c r="BX112" s="497"/>
      <c r="BY112" s="498"/>
      <c r="BZ112" s="71">
        <v>7</v>
      </c>
      <c r="CA112" s="500">
        <f>SUM(CA8:CA109)</f>
        <v>0</v>
      </c>
      <c r="CB112" s="497"/>
      <c r="CC112" s="497"/>
      <c r="CD112" s="498"/>
      <c r="CE112" s="71">
        <v>8</v>
      </c>
      <c r="CF112" s="500">
        <f>SUM(CB8:CB110)</f>
        <v>0</v>
      </c>
      <c r="CG112" s="497"/>
      <c r="CH112" s="497"/>
      <c r="CI112" s="498"/>
      <c r="CJ112" s="71">
        <v>8</v>
      </c>
      <c r="CK112" s="500">
        <f>SUM(CK8:CK109)</f>
        <v>55</v>
      </c>
      <c r="CL112" s="497"/>
      <c r="CM112" s="497"/>
      <c r="CN112" s="498"/>
      <c r="CO112" s="71">
        <v>9</v>
      </c>
      <c r="CP112" s="500">
        <f>SUM(CL8:CL110)</f>
        <v>55</v>
      </c>
      <c r="CQ112" s="497"/>
      <c r="CR112" s="497"/>
      <c r="CS112" s="498"/>
      <c r="CT112" s="71">
        <v>9</v>
      </c>
      <c r="CU112" s="500">
        <f>SUM(CU8:CU109)</f>
        <v>56</v>
      </c>
      <c r="CV112" s="497"/>
      <c r="CW112" s="497"/>
      <c r="CX112" s="498"/>
      <c r="CY112" s="330">
        <v>10</v>
      </c>
      <c r="CZ112" s="500">
        <f>SUM(CV8:CV110)</f>
        <v>56</v>
      </c>
      <c r="DA112" s="497"/>
      <c r="DB112" s="497"/>
      <c r="DC112" s="498"/>
      <c r="DD112" s="75">
        <v>10</v>
      </c>
      <c r="DE112" s="500">
        <f>SUM(DE8:DE109)</f>
        <v>55</v>
      </c>
      <c r="DF112" s="497"/>
      <c r="DG112" s="497"/>
      <c r="DH112" s="498"/>
      <c r="DI112" s="75">
        <v>11</v>
      </c>
      <c r="DJ112" s="500">
        <f>SUM(DF8:DF110)</f>
        <v>55</v>
      </c>
      <c r="DK112" s="497"/>
      <c r="DL112" s="497"/>
      <c r="DM112" s="498"/>
      <c r="DN112" s="75">
        <v>11</v>
      </c>
      <c r="DO112" s="500">
        <f>SUM(DO8:DO109)</f>
        <v>58</v>
      </c>
      <c r="DP112" s="497"/>
      <c r="DQ112" s="497"/>
      <c r="DR112" s="498"/>
      <c r="DS112" s="75">
        <v>12</v>
      </c>
      <c r="DT112" s="500">
        <f>SUM(DP8:DP110)</f>
        <v>58</v>
      </c>
      <c r="DU112" s="497"/>
      <c r="DV112" s="497"/>
      <c r="DW112" s="498"/>
      <c r="DX112" s="75">
        <v>12</v>
      </c>
      <c r="DY112" s="500">
        <f>SUM(DY8:DY109)</f>
        <v>58</v>
      </c>
      <c r="DZ112" s="497"/>
      <c r="EA112" s="497"/>
      <c r="EB112" s="498"/>
      <c r="EC112" s="75">
        <v>13</v>
      </c>
      <c r="ED112" s="500">
        <f>SUM(DZ8:DZ110)</f>
        <v>58</v>
      </c>
      <c r="EE112" s="497"/>
      <c r="EF112" s="497"/>
      <c r="EG112" s="498"/>
      <c r="EH112" s="75">
        <v>13</v>
      </c>
      <c r="EI112" s="500">
        <f>SUM(EI8:EI109)</f>
        <v>58</v>
      </c>
      <c r="EJ112" s="497"/>
      <c r="EK112" s="497"/>
      <c r="EL112" s="498"/>
      <c r="EM112" s="75">
        <v>14</v>
      </c>
      <c r="EN112" s="500">
        <f>SUM(EJ8:EJ110)</f>
        <v>58</v>
      </c>
      <c r="EO112" s="497"/>
      <c r="EP112" s="497"/>
      <c r="EQ112" s="498"/>
      <c r="ER112" s="75">
        <v>14</v>
      </c>
      <c r="ES112" s="526"/>
      <c r="ET112" s="526"/>
      <c r="EU112" s="526"/>
      <c r="EV112" s="526"/>
      <c r="EW112" s="526"/>
      <c r="EX112" s="526"/>
      <c r="EY112" s="526"/>
      <c r="EZ112" s="526"/>
      <c r="FA112" s="526"/>
      <c r="FB112" s="526"/>
      <c r="FC112" s="526"/>
      <c r="FD112" s="526"/>
      <c r="FE112" s="526"/>
      <c r="FF112" s="526"/>
      <c r="FG112" s="554"/>
      <c r="FH112" s="501">
        <f>SUM(FH8:FH109)</f>
        <v>6690</v>
      </c>
      <c r="FI112" s="502"/>
      <c r="FJ112" s="502"/>
      <c r="FK112" s="335"/>
    </row>
    <row r="113" spans="1:167" ht="15.75" customHeight="1">
      <c r="A113" s="2"/>
      <c r="B113" s="546"/>
      <c r="C113" s="456"/>
      <c r="D113" s="456"/>
      <c r="E113" s="456"/>
      <c r="F113" s="456"/>
      <c r="G113" s="456"/>
      <c r="H113" s="323" t="s">
        <v>33</v>
      </c>
      <c r="I113" s="512">
        <f>SUM(K8:K109)</f>
        <v>30</v>
      </c>
      <c r="J113" s="497"/>
      <c r="K113" s="497"/>
      <c r="L113" s="498"/>
      <c r="M113" s="71">
        <v>1</v>
      </c>
      <c r="N113" s="500">
        <f>SUM(L8:L109)</f>
        <v>30</v>
      </c>
      <c r="O113" s="497"/>
      <c r="P113" s="497"/>
      <c r="Q113" s="498"/>
      <c r="R113" s="71">
        <v>1</v>
      </c>
      <c r="S113" s="500">
        <f>SUM(U8:U109)</f>
        <v>48</v>
      </c>
      <c r="T113" s="497"/>
      <c r="U113" s="497"/>
      <c r="V113" s="498"/>
      <c r="W113" s="71">
        <v>2</v>
      </c>
      <c r="X113" s="500">
        <f>SUM(V8:V109)</f>
        <v>48</v>
      </c>
      <c r="Y113" s="497"/>
      <c r="Z113" s="497"/>
      <c r="AA113" s="498"/>
      <c r="AB113" s="71">
        <v>2</v>
      </c>
      <c r="AC113" s="500">
        <f>SUM(AE8:AE109)</f>
        <v>54</v>
      </c>
      <c r="AD113" s="497"/>
      <c r="AE113" s="497"/>
      <c r="AF113" s="498"/>
      <c r="AG113" s="71">
        <v>3</v>
      </c>
      <c r="AH113" s="500">
        <f>SUM(AF8:AF109)</f>
        <v>54</v>
      </c>
      <c r="AI113" s="497"/>
      <c r="AJ113" s="497"/>
      <c r="AK113" s="498"/>
      <c r="AL113" s="71">
        <v>3</v>
      </c>
      <c r="AM113" s="500">
        <f>SUM(AO8:AO109)</f>
        <v>55</v>
      </c>
      <c r="AN113" s="497"/>
      <c r="AO113" s="497"/>
      <c r="AP113" s="498"/>
      <c r="AQ113" s="71">
        <v>4</v>
      </c>
      <c r="AR113" s="500">
        <f>SUM(AP8:AP109)</f>
        <v>55</v>
      </c>
      <c r="AS113" s="497"/>
      <c r="AT113" s="497"/>
      <c r="AU113" s="498"/>
      <c r="AV113" s="71">
        <v>4</v>
      </c>
      <c r="AW113" s="500">
        <f>SUM(AY8:AY109)</f>
        <v>58</v>
      </c>
      <c r="AX113" s="497"/>
      <c r="AY113" s="497"/>
      <c r="AZ113" s="498"/>
      <c r="BA113" s="329">
        <v>5</v>
      </c>
      <c r="BB113" s="500">
        <f>SUM(AZ8:AZ109)</f>
        <v>58</v>
      </c>
      <c r="BC113" s="497"/>
      <c r="BD113" s="497"/>
      <c r="BE113" s="498"/>
      <c r="BF113" s="71">
        <v>5</v>
      </c>
      <c r="BG113" s="500">
        <f>SUM(BI8:BI109)</f>
        <v>56</v>
      </c>
      <c r="BH113" s="497"/>
      <c r="BI113" s="497"/>
      <c r="BJ113" s="498"/>
      <c r="BK113" s="71">
        <v>6</v>
      </c>
      <c r="BL113" s="500">
        <f>SUM(BJ8:BJ109)</f>
        <v>56</v>
      </c>
      <c r="BM113" s="497"/>
      <c r="BN113" s="497"/>
      <c r="BO113" s="498"/>
      <c r="BP113" s="71">
        <v>6</v>
      </c>
      <c r="BQ113" s="500">
        <f>SUM(BS8:BS109)</f>
        <v>59</v>
      </c>
      <c r="BR113" s="497"/>
      <c r="BS113" s="497"/>
      <c r="BT113" s="498"/>
      <c r="BU113" s="71">
        <v>7</v>
      </c>
      <c r="BV113" s="500">
        <f>SUM(BT8:BT109)</f>
        <v>59</v>
      </c>
      <c r="BW113" s="497"/>
      <c r="BX113" s="497"/>
      <c r="BY113" s="498"/>
      <c r="BZ113" s="71">
        <v>7</v>
      </c>
      <c r="CA113" s="500">
        <f>SUM(CC8:CC109)</f>
        <v>0</v>
      </c>
      <c r="CB113" s="497"/>
      <c r="CC113" s="497"/>
      <c r="CD113" s="498"/>
      <c r="CE113" s="71">
        <v>8</v>
      </c>
      <c r="CF113" s="500">
        <f>SUM(CD8:CD109)</f>
        <v>0</v>
      </c>
      <c r="CG113" s="497"/>
      <c r="CH113" s="497"/>
      <c r="CI113" s="498"/>
      <c r="CJ113" s="71">
        <v>8</v>
      </c>
      <c r="CK113" s="500">
        <f>SUM(CM8:CM109)</f>
        <v>56</v>
      </c>
      <c r="CL113" s="497"/>
      <c r="CM113" s="497"/>
      <c r="CN113" s="498"/>
      <c r="CO113" s="71">
        <v>9</v>
      </c>
      <c r="CP113" s="500">
        <f>SUM(CN8:CN109)</f>
        <v>56</v>
      </c>
      <c r="CQ113" s="497"/>
      <c r="CR113" s="497"/>
      <c r="CS113" s="498"/>
      <c r="CT113" s="71">
        <v>9</v>
      </c>
      <c r="CU113" s="500">
        <f>SUM(CW8:CW109)</f>
        <v>51</v>
      </c>
      <c r="CV113" s="497"/>
      <c r="CW113" s="497"/>
      <c r="CX113" s="498"/>
      <c r="CY113" s="330">
        <v>10</v>
      </c>
      <c r="CZ113" s="500">
        <f>SUM(CX8:CX109)</f>
        <v>51</v>
      </c>
      <c r="DA113" s="497"/>
      <c r="DB113" s="497"/>
      <c r="DC113" s="498"/>
      <c r="DD113" s="75">
        <v>10</v>
      </c>
      <c r="DE113" s="500">
        <f>SUM(DG8:DG109)</f>
        <v>56</v>
      </c>
      <c r="DF113" s="497"/>
      <c r="DG113" s="497"/>
      <c r="DH113" s="498"/>
      <c r="DI113" s="75">
        <v>11</v>
      </c>
      <c r="DJ113" s="500">
        <f>SUM(DH8:DH109)</f>
        <v>56</v>
      </c>
      <c r="DK113" s="497"/>
      <c r="DL113" s="497"/>
      <c r="DM113" s="498"/>
      <c r="DN113" s="75">
        <v>11</v>
      </c>
      <c r="DO113" s="500">
        <f>SUM(DQ8:DQ109)</f>
        <v>58</v>
      </c>
      <c r="DP113" s="497"/>
      <c r="DQ113" s="497"/>
      <c r="DR113" s="498"/>
      <c r="DS113" s="75">
        <v>12</v>
      </c>
      <c r="DT113" s="500">
        <f>SUM(DR8:DR109)</f>
        <v>58</v>
      </c>
      <c r="DU113" s="497"/>
      <c r="DV113" s="497"/>
      <c r="DW113" s="498"/>
      <c r="DX113" s="75">
        <v>12</v>
      </c>
      <c r="DY113" s="500">
        <f>SUM(EA8:EA109)</f>
        <v>58</v>
      </c>
      <c r="DZ113" s="497"/>
      <c r="EA113" s="497"/>
      <c r="EB113" s="498"/>
      <c r="EC113" s="75">
        <v>13</v>
      </c>
      <c r="ED113" s="500">
        <f>SUM(EB8:EB109)</f>
        <v>58</v>
      </c>
      <c r="EE113" s="497"/>
      <c r="EF113" s="497"/>
      <c r="EG113" s="498"/>
      <c r="EH113" s="75">
        <v>13</v>
      </c>
      <c r="EI113" s="500">
        <f>SUM(EK8:EK109)</f>
        <v>58</v>
      </c>
      <c r="EJ113" s="497"/>
      <c r="EK113" s="497"/>
      <c r="EL113" s="498"/>
      <c r="EM113" s="75">
        <v>14</v>
      </c>
      <c r="EN113" s="500">
        <f>SUM(EL8:EL109)</f>
        <v>58</v>
      </c>
      <c r="EO113" s="497"/>
      <c r="EP113" s="497"/>
      <c r="EQ113" s="498"/>
      <c r="ER113" s="75">
        <v>14</v>
      </c>
      <c r="ES113" s="526"/>
      <c r="ET113" s="526"/>
      <c r="EU113" s="526"/>
      <c r="EV113" s="526"/>
      <c r="EW113" s="526"/>
      <c r="EX113" s="526"/>
      <c r="EY113" s="526"/>
      <c r="EZ113" s="526"/>
      <c r="FA113" s="526"/>
      <c r="FB113" s="526"/>
      <c r="FC113" s="526"/>
      <c r="FD113" s="526"/>
      <c r="FE113" s="526"/>
      <c r="FF113" s="526"/>
      <c r="FG113" s="554"/>
      <c r="FH113" s="503" t="s">
        <v>34</v>
      </c>
      <c r="FI113" s="504"/>
      <c r="FJ113" s="504"/>
      <c r="FK113" s="505"/>
    </row>
    <row r="114" spans="1:167" ht="15.75" customHeight="1">
      <c r="A114" s="2"/>
      <c r="B114" s="545" t="s">
        <v>35</v>
      </c>
      <c r="C114" s="450"/>
      <c r="D114" s="545" t="s">
        <v>36</v>
      </c>
      <c r="E114" s="449"/>
      <c r="F114" s="449"/>
      <c r="G114" s="449"/>
      <c r="H114" s="323" t="s">
        <v>28</v>
      </c>
      <c r="I114" s="512">
        <f>SUM(M8:M109)</f>
        <v>33</v>
      </c>
      <c r="J114" s="497"/>
      <c r="K114" s="497"/>
      <c r="L114" s="498"/>
      <c r="M114" s="71">
        <v>1</v>
      </c>
      <c r="N114" s="500">
        <f>SUM(N8:N109)</f>
        <v>33</v>
      </c>
      <c r="O114" s="497"/>
      <c r="P114" s="497"/>
      <c r="Q114" s="498"/>
      <c r="R114" s="71">
        <v>1</v>
      </c>
      <c r="S114" s="500">
        <f>SUM(W8:W109)</f>
        <v>48</v>
      </c>
      <c r="T114" s="497"/>
      <c r="U114" s="497"/>
      <c r="V114" s="498"/>
      <c r="W114" s="71">
        <v>2</v>
      </c>
      <c r="X114" s="500">
        <f>SUM(X8:X109)</f>
        <v>48</v>
      </c>
      <c r="Y114" s="497"/>
      <c r="Z114" s="497"/>
      <c r="AA114" s="498"/>
      <c r="AB114" s="71">
        <v>2</v>
      </c>
      <c r="AC114" s="500">
        <f>SUM(AG8:AG109)</f>
        <v>0</v>
      </c>
      <c r="AD114" s="497"/>
      <c r="AE114" s="497"/>
      <c r="AF114" s="498"/>
      <c r="AG114" s="71">
        <v>3</v>
      </c>
      <c r="AH114" s="500">
        <f>SUM(AH8:AH109)</f>
        <v>0</v>
      </c>
      <c r="AI114" s="497"/>
      <c r="AJ114" s="497"/>
      <c r="AK114" s="498"/>
      <c r="AL114" s="71">
        <v>3</v>
      </c>
      <c r="AM114" s="500">
        <f>SUM(AQ8:AQ109)</f>
        <v>56</v>
      </c>
      <c r="AN114" s="497"/>
      <c r="AO114" s="497"/>
      <c r="AP114" s="498"/>
      <c r="AQ114" s="71">
        <v>4</v>
      </c>
      <c r="AR114" s="500">
        <f>SUM(AR8:AR109)</f>
        <v>56</v>
      </c>
      <c r="AS114" s="497"/>
      <c r="AT114" s="497"/>
      <c r="AU114" s="498"/>
      <c r="AV114" s="71">
        <v>4</v>
      </c>
      <c r="AW114" s="500">
        <f>SUM(BA8:BA109)</f>
        <v>55</v>
      </c>
      <c r="AX114" s="497"/>
      <c r="AY114" s="497"/>
      <c r="AZ114" s="498"/>
      <c r="BA114" s="329">
        <v>5</v>
      </c>
      <c r="BB114" s="500">
        <f>SUM(BB8:BB109)</f>
        <v>55</v>
      </c>
      <c r="BC114" s="497"/>
      <c r="BD114" s="497"/>
      <c r="BE114" s="498"/>
      <c r="BF114" s="71">
        <v>5</v>
      </c>
      <c r="BG114" s="500">
        <f>SUM(BK8:BK109)</f>
        <v>52</v>
      </c>
      <c r="BH114" s="497"/>
      <c r="BI114" s="497"/>
      <c r="BJ114" s="498"/>
      <c r="BK114" s="71">
        <v>6</v>
      </c>
      <c r="BL114" s="500">
        <f>SUM(BL8:BL109)</f>
        <v>52</v>
      </c>
      <c r="BM114" s="497"/>
      <c r="BN114" s="497"/>
      <c r="BO114" s="498"/>
      <c r="BP114" s="71">
        <v>6</v>
      </c>
      <c r="BQ114" s="500">
        <f>SUM(BU8:BU109)</f>
        <v>57</v>
      </c>
      <c r="BR114" s="497"/>
      <c r="BS114" s="497"/>
      <c r="BT114" s="498"/>
      <c r="BU114" s="71">
        <v>7</v>
      </c>
      <c r="BV114" s="500">
        <f>SUM(BV8:BV109)</f>
        <v>57</v>
      </c>
      <c r="BW114" s="497"/>
      <c r="BX114" s="497"/>
      <c r="BY114" s="498"/>
      <c r="BZ114" s="71">
        <v>7</v>
      </c>
      <c r="CA114" s="500">
        <f>SUM(CE8:CE109)</f>
        <v>0</v>
      </c>
      <c r="CB114" s="497"/>
      <c r="CC114" s="497"/>
      <c r="CD114" s="498"/>
      <c r="CE114" s="71">
        <v>8</v>
      </c>
      <c r="CF114" s="500">
        <f>SUM(CF8:CF109)</f>
        <v>0</v>
      </c>
      <c r="CG114" s="497"/>
      <c r="CH114" s="497"/>
      <c r="CI114" s="498"/>
      <c r="CJ114" s="71">
        <v>8</v>
      </c>
      <c r="CK114" s="500">
        <f>SUM(CO8:CO109)</f>
        <v>54</v>
      </c>
      <c r="CL114" s="497"/>
      <c r="CM114" s="497"/>
      <c r="CN114" s="498"/>
      <c r="CO114" s="71">
        <v>9</v>
      </c>
      <c r="CP114" s="500">
        <f>SUM(CP8:CP109)</f>
        <v>54</v>
      </c>
      <c r="CQ114" s="497"/>
      <c r="CR114" s="497"/>
      <c r="CS114" s="498"/>
      <c r="CT114" s="71">
        <v>9</v>
      </c>
      <c r="CU114" s="500">
        <f>SUM(CY8:CY109)</f>
        <v>50</v>
      </c>
      <c r="CV114" s="497"/>
      <c r="CW114" s="497"/>
      <c r="CX114" s="498"/>
      <c r="CY114" s="330">
        <v>10</v>
      </c>
      <c r="CZ114" s="500">
        <f>SUM(CZ8:CZ109)</f>
        <v>50</v>
      </c>
      <c r="DA114" s="497"/>
      <c r="DB114" s="497"/>
      <c r="DC114" s="498"/>
      <c r="DD114" s="75">
        <v>10</v>
      </c>
      <c r="DE114" s="500">
        <f>SUM(DI8:DI109)</f>
        <v>56</v>
      </c>
      <c r="DF114" s="497"/>
      <c r="DG114" s="497"/>
      <c r="DH114" s="498"/>
      <c r="DI114" s="75">
        <v>11</v>
      </c>
      <c r="DJ114" s="500">
        <f>SUM(DJ8:DJ109)</f>
        <v>56</v>
      </c>
      <c r="DK114" s="497"/>
      <c r="DL114" s="497"/>
      <c r="DM114" s="498"/>
      <c r="DN114" s="75">
        <v>11</v>
      </c>
      <c r="DO114" s="500">
        <f>SUM(DS8:DS109)</f>
        <v>58</v>
      </c>
      <c r="DP114" s="497"/>
      <c r="DQ114" s="497"/>
      <c r="DR114" s="498"/>
      <c r="DS114" s="75">
        <v>12</v>
      </c>
      <c r="DT114" s="500">
        <f>SUM(DT8:DT109)</f>
        <v>58</v>
      </c>
      <c r="DU114" s="497"/>
      <c r="DV114" s="497"/>
      <c r="DW114" s="498"/>
      <c r="DX114" s="75">
        <v>12</v>
      </c>
      <c r="DY114" s="500">
        <f>SUM(EC8:EC109)</f>
        <v>58</v>
      </c>
      <c r="DZ114" s="497"/>
      <c r="EA114" s="497"/>
      <c r="EB114" s="498"/>
      <c r="EC114" s="75">
        <v>13</v>
      </c>
      <c r="ED114" s="500">
        <f>SUM(ED8:ED109)</f>
        <v>58</v>
      </c>
      <c r="EE114" s="497"/>
      <c r="EF114" s="497"/>
      <c r="EG114" s="498"/>
      <c r="EH114" s="75">
        <v>13</v>
      </c>
      <c r="EI114" s="500">
        <f>SUM(EM8:EM109)</f>
        <v>58</v>
      </c>
      <c r="EJ114" s="497"/>
      <c r="EK114" s="497"/>
      <c r="EL114" s="498"/>
      <c r="EM114" s="75">
        <v>14</v>
      </c>
      <c r="EN114" s="500">
        <f>SUM(EN8:EN109)</f>
        <v>58</v>
      </c>
      <c r="EO114" s="497"/>
      <c r="EP114" s="497"/>
      <c r="EQ114" s="498"/>
      <c r="ER114" s="75">
        <v>14</v>
      </c>
      <c r="ES114" s="527"/>
      <c r="ET114" s="527"/>
      <c r="EU114" s="527"/>
      <c r="EV114" s="527"/>
      <c r="EW114" s="527"/>
      <c r="EX114" s="527"/>
      <c r="EY114" s="527"/>
      <c r="EZ114" s="527"/>
      <c r="FA114" s="527"/>
      <c r="FB114" s="527"/>
      <c r="FC114" s="527"/>
      <c r="FD114" s="527"/>
      <c r="FE114" s="527"/>
      <c r="FF114" s="527"/>
      <c r="FG114" s="555"/>
      <c r="FH114" s="506">
        <f>SUM(ES115:FF117)</f>
        <v>128</v>
      </c>
      <c r="FI114" s="502"/>
      <c r="FJ114" s="502"/>
      <c r="FK114" s="335"/>
    </row>
    <row r="115" spans="1:167" ht="15" customHeight="1">
      <c r="A115" s="2"/>
      <c r="B115" s="546"/>
      <c r="C115" s="457"/>
      <c r="D115" s="546"/>
      <c r="E115" s="456"/>
      <c r="F115" s="456"/>
      <c r="G115" s="456"/>
      <c r="H115" s="323" t="s">
        <v>37</v>
      </c>
      <c r="I115" s="512">
        <f>SUM(O8:O109)</f>
        <v>33</v>
      </c>
      <c r="J115" s="497"/>
      <c r="K115" s="497"/>
      <c r="L115" s="498"/>
      <c r="M115" s="71">
        <v>1</v>
      </c>
      <c r="N115" s="500">
        <f>SUM(P8:P109)</f>
        <v>33</v>
      </c>
      <c r="O115" s="497"/>
      <c r="P115" s="497"/>
      <c r="Q115" s="498"/>
      <c r="R115" s="71">
        <v>1</v>
      </c>
      <c r="S115" s="500">
        <f>SUM(Y8:Y109)</f>
        <v>47</v>
      </c>
      <c r="T115" s="497"/>
      <c r="U115" s="497"/>
      <c r="V115" s="498"/>
      <c r="W115" s="71">
        <v>2</v>
      </c>
      <c r="X115" s="500">
        <f>SUM(Z8:Z109)</f>
        <v>47</v>
      </c>
      <c r="Y115" s="497"/>
      <c r="Z115" s="497"/>
      <c r="AA115" s="498"/>
      <c r="AB115" s="71">
        <v>2</v>
      </c>
      <c r="AC115" s="500">
        <f>SUM(AI8:AI109)</f>
        <v>54</v>
      </c>
      <c r="AD115" s="497"/>
      <c r="AE115" s="497"/>
      <c r="AF115" s="498"/>
      <c r="AG115" s="71">
        <v>3</v>
      </c>
      <c r="AH115" s="500">
        <f>SUM(AJ8:AJ109)</f>
        <v>54</v>
      </c>
      <c r="AI115" s="497"/>
      <c r="AJ115" s="497"/>
      <c r="AK115" s="498"/>
      <c r="AL115" s="71">
        <v>3</v>
      </c>
      <c r="AM115" s="500">
        <f>SUM(AS8:AS109)</f>
        <v>53</v>
      </c>
      <c r="AN115" s="497"/>
      <c r="AO115" s="497"/>
      <c r="AP115" s="498"/>
      <c r="AQ115" s="71">
        <v>4</v>
      </c>
      <c r="AR115" s="500">
        <f>SUM(AT8:AT109)</f>
        <v>53</v>
      </c>
      <c r="AS115" s="497"/>
      <c r="AT115" s="497"/>
      <c r="AU115" s="498"/>
      <c r="AV115" s="71">
        <v>4</v>
      </c>
      <c r="AW115" s="500">
        <f>SUM(BC8:BC109)</f>
        <v>56</v>
      </c>
      <c r="AX115" s="497"/>
      <c r="AY115" s="497"/>
      <c r="AZ115" s="498"/>
      <c r="BA115" s="329">
        <v>5</v>
      </c>
      <c r="BB115" s="500">
        <f>SUM(BD8:BD109)</f>
        <v>56</v>
      </c>
      <c r="BC115" s="497"/>
      <c r="BD115" s="497"/>
      <c r="BE115" s="498"/>
      <c r="BF115" s="71">
        <v>5</v>
      </c>
      <c r="BG115" s="500">
        <f>SUM(BM8:BM109)</f>
        <v>56</v>
      </c>
      <c r="BH115" s="497"/>
      <c r="BI115" s="497"/>
      <c r="BJ115" s="498"/>
      <c r="BK115" s="71">
        <v>6</v>
      </c>
      <c r="BL115" s="500">
        <f>SUM(BN8:BN109)</f>
        <v>56</v>
      </c>
      <c r="BM115" s="497"/>
      <c r="BN115" s="497"/>
      <c r="BO115" s="498"/>
      <c r="BP115" s="71">
        <v>6</v>
      </c>
      <c r="BQ115" s="500">
        <f>SUM(BW8:BW109)</f>
        <v>54</v>
      </c>
      <c r="BR115" s="497"/>
      <c r="BS115" s="497"/>
      <c r="BT115" s="498"/>
      <c r="BU115" s="71">
        <v>7</v>
      </c>
      <c r="BV115" s="500">
        <f>SUM(BX8:BX109)</f>
        <v>54</v>
      </c>
      <c r="BW115" s="497"/>
      <c r="BX115" s="497"/>
      <c r="BY115" s="498"/>
      <c r="BZ115" s="71">
        <v>7</v>
      </c>
      <c r="CA115" s="500">
        <f>SUM(CG8:CG109)</f>
        <v>0</v>
      </c>
      <c r="CB115" s="497"/>
      <c r="CC115" s="497"/>
      <c r="CD115" s="498"/>
      <c r="CE115" s="71">
        <v>8</v>
      </c>
      <c r="CF115" s="500">
        <f>SUM(CH8:CH109)</f>
        <v>0</v>
      </c>
      <c r="CG115" s="497"/>
      <c r="CH115" s="497"/>
      <c r="CI115" s="498"/>
      <c r="CJ115" s="71">
        <v>8</v>
      </c>
      <c r="CK115" s="500">
        <f>SUM(CQ8:CQ109)</f>
        <v>54</v>
      </c>
      <c r="CL115" s="497"/>
      <c r="CM115" s="497"/>
      <c r="CN115" s="498"/>
      <c r="CO115" s="71">
        <v>9</v>
      </c>
      <c r="CP115" s="500">
        <f>SUM(CR8:CR109)</f>
        <v>54</v>
      </c>
      <c r="CQ115" s="497"/>
      <c r="CR115" s="497"/>
      <c r="CS115" s="498"/>
      <c r="CT115" s="71">
        <v>9</v>
      </c>
      <c r="CU115" s="500">
        <f>SUM(DA8:DA109)</f>
        <v>54</v>
      </c>
      <c r="CV115" s="497"/>
      <c r="CW115" s="497"/>
      <c r="CX115" s="498"/>
      <c r="CY115" s="330">
        <v>10</v>
      </c>
      <c r="CZ115" s="500">
        <f>SUM(DB8:DB109)</f>
        <v>54</v>
      </c>
      <c r="DA115" s="497"/>
      <c r="DB115" s="497"/>
      <c r="DC115" s="498"/>
      <c r="DD115" s="75">
        <v>10</v>
      </c>
      <c r="DE115" s="500">
        <f>SUM(DK8:DK109)</f>
        <v>55</v>
      </c>
      <c r="DF115" s="497"/>
      <c r="DG115" s="497"/>
      <c r="DH115" s="498"/>
      <c r="DI115" s="75">
        <v>11</v>
      </c>
      <c r="DJ115" s="500">
        <f>SUM(DL8:DL109)</f>
        <v>55</v>
      </c>
      <c r="DK115" s="497"/>
      <c r="DL115" s="497"/>
      <c r="DM115" s="498"/>
      <c r="DN115" s="75">
        <v>11</v>
      </c>
      <c r="DO115" s="500">
        <f>SUM(DU8:DU109)</f>
        <v>58</v>
      </c>
      <c r="DP115" s="497"/>
      <c r="DQ115" s="497"/>
      <c r="DR115" s="498"/>
      <c r="DS115" s="75">
        <v>12</v>
      </c>
      <c r="DT115" s="500">
        <f>SUM(DV8:DV109)</f>
        <v>58</v>
      </c>
      <c r="DU115" s="497"/>
      <c r="DV115" s="497"/>
      <c r="DW115" s="498"/>
      <c r="DX115" s="75">
        <v>12</v>
      </c>
      <c r="DY115" s="500">
        <f>SUM(EE8:EE109)</f>
        <v>58</v>
      </c>
      <c r="DZ115" s="497"/>
      <c r="EA115" s="497"/>
      <c r="EB115" s="498"/>
      <c r="EC115" s="75">
        <v>13</v>
      </c>
      <c r="ED115" s="500">
        <f>SUM(EF8:EF109)</f>
        <v>58</v>
      </c>
      <c r="EE115" s="497"/>
      <c r="EF115" s="497"/>
      <c r="EG115" s="498"/>
      <c r="EH115" s="75">
        <v>13</v>
      </c>
      <c r="EI115" s="500">
        <f>SUM(EO8:EO109)</f>
        <v>58</v>
      </c>
      <c r="EJ115" s="497"/>
      <c r="EK115" s="497"/>
      <c r="EL115" s="498"/>
      <c r="EM115" s="75">
        <v>14</v>
      </c>
      <c r="EN115" s="500">
        <f>SUM(EP8:EP109)</f>
        <v>58</v>
      </c>
      <c r="EO115" s="497"/>
      <c r="EP115" s="497"/>
      <c r="EQ115" s="498"/>
      <c r="ER115" s="75">
        <v>14</v>
      </c>
      <c r="ES115" s="525">
        <f>SUM(I7:R7)</f>
        <v>10</v>
      </c>
      <c r="ET115" s="525">
        <f>SUM(S7:AB7)</f>
        <v>10</v>
      </c>
      <c r="EU115" s="525">
        <f>SUM(AC7:AL7)</f>
        <v>8</v>
      </c>
      <c r="EV115" s="525">
        <f>SUM(AM7:AV7)</f>
        <v>10</v>
      </c>
      <c r="EW115" s="525">
        <f>SUM(AW7:BF7)</f>
        <v>10</v>
      </c>
      <c r="EX115" s="525">
        <f>SUM(BG7:BP7)</f>
        <v>10</v>
      </c>
      <c r="EY115" s="525">
        <f>SUM(BQ7:BZ7)</f>
        <v>10</v>
      </c>
      <c r="EZ115" s="525">
        <f>SUM(CA7:CJ7)</f>
        <v>0</v>
      </c>
      <c r="FA115" s="525">
        <f>SUM(CK7:CT7)</f>
        <v>10</v>
      </c>
      <c r="FB115" s="525">
        <f>SUM(CU7:DD7)</f>
        <v>10</v>
      </c>
      <c r="FC115" s="525">
        <f>SUM(DE7:DN7)</f>
        <v>10</v>
      </c>
      <c r="FD115" s="525">
        <f>SUM(DO7:DX7)</f>
        <v>10</v>
      </c>
      <c r="FE115" s="525">
        <f>SUM(DY7:EH7)</f>
        <v>10</v>
      </c>
      <c r="FF115" s="525">
        <f>SUM(EI7:ER7)</f>
        <v>10</v>
      </c>
      <c r="FG115" s="556" t="s">
        <v>38</v>
      </c>
      <c r="FH115" s="503" t="s">
        <v>39</v>
      </c>
      <c r="FI115" s="504"/>
      <c r="FJ115" s="504"/>
      <c r="FK115" s="334"/>
    </row>
    <row r="116" spans="1:167" ht="15.75" customHeight="1">
      <c r="A116" s="2"/>
      <c r="B116" s="549"/>
      <c r="C116" s="450"/>
      <c r="D116" s="550"/>
      <c r="E116" s="449"/>
      <c r="F116" s="449"/>
      <c r="G116" s="449"/>
      <c r="H116" s="323" t="s">
        <v>40</v>
      </c>
      <c r="I116" s="577">
        <f>SUM(Q8:Q109)</f>
        <v>31</v>
      </c>
      <c r="J116" s="508"/>
      <c r="K116" s="508"/>
      <c r="L116" s="509"/>
      <c r="M116" s="71">
        <v>1</v>
      </c>
      <c r="N116" s="507">
        <f>SUM(R8:R109)</f>
        <v>31</v>
      </c>
      <c r="O116" s="508"/>
      <c r="P116" s="508"/>
      <c r="Q116" s="509"/>
      <c r="R116" s="71">
        <v>1</v>
      </c>
      <c r="S116" s="500">
        <f>SUM(AA8:AA109)</f>
        <v>46</v>
      </c>
      <c r="T116" s="497"/>
      <c r="U116" s="497"/>
      <c r="V116" s="498"/>
      <c r="W116" s="71">
        <v>2</v>
      </c>
      <c r="X116" s="500">
        <f>SUM(AB8:AB109)</f>
        <v>46</v>
      </c>
      <c r="Y116" s="497"/>
      <c r="Z116" s="497"/>
      <c r="AA116" s="498"/>
      <c r="AB116" s="71">
        <v>2</v>
      </c>
      <c r="AC116" s="500">
        <f>SUM(AK8:AK109)</f>
        <v>47</v>
      </c>
      <c r="AD116" s="497"/>
      <c r="AE116" s="497"/>
      <c r="AF116" s="498"/>
      <c r="AG116" s="71">
        <v>3</v>
      </c>
      <c r="AH116" s="500">
        <f>SUM(AL8:AL109)</f>
        <v>47</v>
      </c>
      <c r="AI116" s="497"/>
      <c r="AJ116" s="497"/>
      <c r="AK116" s="498"/>
      <c r="AL116" s="71">
        <v>3</v>
      </c>
      <c r="AM116" s="500">
        <f>SUM(AU8:AU109)</f>
        <v>54</v>
      </c>
      <c r="AN116" s="497"/>
      <c r="AO116" s="497"/>
      <c r="AP116" s="498"/>
      <c r="AQ116" s="71">
        <v>4</v>
      </c>
      <c r="AR116" s="500">
        <f>SUM(AV8:AV109)</f>
        <v>54</v>
      </c>
      <c r="AS116" s="497"/>
      <c r="AT116" s="497"/>
      <c r="AU116" s="498"/>
      <c r="AV116" s="71">
        <v>4</v>
      </c>
      <c r="AW116" s="500">
        <f>SUM(BE8:BE109)</f>
        <v>51</v>
      </c>
      <c r="AX116" s="497"/>
      <c r="AY116" s="497"/>
      <c r="AZ116" s="498"/>
      <c r="BA116" s="329">
        <v>5</v>
      </c>
      <c r="BB116" s="500">
        <f>SUM(BF8:BF109)</f>
        <v>51</v>
      </c>
      <c r="BC116" s="497"/>
      <c r="BD116" s="497"/>
      <c r="BE116" s="498"/>
      <c r="BF116" s="71">
        <v>5</v>
      </c>
      <c r="BG116" s="500">
        <f>SUM(BO8:BO109)</f>
        <v>53</v>
      </c>
      <c r="BH116" s="497"/>
      <c r="BI116" s="497"/>
      <c r="BJ116" s="498"/>
      <c r="BK116" s="71">
        <v>6</v>
      </c>
      <c r="BL116" s="500">
        <f>SUM(BP8:BP109)</f>
        <v>53</v>
      </c>
      <c r="BM116" s="497"/>
      <c r="BN116" s="497"/>
      <c r="BO116" s="498"/>
      <c r="BP116" s="71">
        <v>6</v>
      </c>
      <c r="BQ116" s="500">
        <f>SUM(BY8:BY109)</f>
        <v>50</v>
      </c>
      <c r="BR116" s="497"/>
      <c r="BS116" s="497"/>
      <c r="BT116" s="498"/>
      <c r="BU116" s="71">
        <v>7</v>
      </c>
      <c r="BV116" s="500">
        <f>SUM(BZ8:BZ109)</f>
        <v>50</v>
      </c>
      <c r="BW116" s="497"/>
      <c r="BX116" s="497"/>
      <c r="BY116" s="498"/>
      <c r="BZ116" s="71">
        <v>7</v>
      </c>
      <c r="CA116" s="500">
        <f>SUM(CI8:CI109)</f>
        <v>0</v>
      </c>
      <c r="CB116" s="497"/>
      <c r="CC116" s="497"/>
      <c r="CD116" s="498"/>
      <c r="CE116" s="71">
        <v>8</v>
      </c>
      <c r="CF116" s="500">
        <f>SUM(CJ8:CJ109)</f>
        <v>0</v>
      </c>
      <c r="CG116" s="497"/>
      <c r="CH116" s="497"/>
      <c r="CI116" s="498"/>
      <c r="CJ116" s="71">
        <v>8</v>
      </c>
      <c r="CK116" s="500">
        <f>SUM(CS8:CS109)</f>
        <v>51</v>
      </c>
      <c r="CL116" s="497"/>
      <c r="CM116" s="497"/>
      <c r="CN116" s="498"/>
      <c r="CO116" s="71">
        <v>9</v>
      </c>
      <c r="CP116" s="500">
        <f>SUM(CT8:CT109)</f>
        <v>51</v>
      </c>
      <c r="CQ116" s="497"/>
      <c r="CR116" s="497"/>
      <c r="CS116" s="498"/>
      <c r="CT116" s="71">
        <v>9</v>
      </c>
      <c r="CU116" s="500">
        <f>SUM(DC8:DC109)</f>
        <v>56</v>
      </c>
      <c r="CV116" s="497"/>
      <c r="CW116" s="497"/>
      <c r="CX116" s="498"/>
      <c r="CY116" s="330">
        <v>10</v>
      </c>
      <c r="CZ116" s="500">
        <f>SUM(DD8:DD109)</f>
        <v>56</v>
      </c>
      <c r="DA116" s="497"/>
      <c r="DB116" s="497"/>
      <c r="DC116" s="498"/>
      <c r="DD116" s="75">
        <v>10</v>
      </c>
      <c r="DE116" s="500">
        <f>SUM(DM8:DM109)</f>
        <v>56</v>
      </c>
      <c r="DF116" s="497"/>
      <c r="DG116" s="497"/>
      <c r="DH116" s="498"/>
      <c r="DI116" s="75">
        <v>11</v>
      </c>
      <c r="DJ116" s="500">
        <f>SUM(DN8:DN109)</f>
        <v>56</v>
      </c>
      <c r="DK116" s="497"/>
      <c r="DL116" s="497"/>
      <c r="DM116" s="498"/>
      <c r="DN116" s="75">
        <v>11</v>
      </c>
      <c r="DO116" s="500">
        <f>SUM(DW8:DW109)</f>
        <v>58</v>
      </c>
      <c r="DP116" s="497"/>
      <c r="DQ116" s="497"/>
      <c r="DR116" s="498"/>
      <c r="DS116" s="75">
        <v>12</v>
      </c>
      <c r="DT116" s="500">
        <f>SUM(DX8:DX109)</f>
        <v>58</v>
      </c>
      <c r="DU116" s="497"/>
      <c r="DV116" s="497"/>
      <c r="DW116" s="498"/>
      <c r="DX116" s="75">
        <v>12</v>
      </c>
      <c r="DY116" s="500">
        <f>SUM(EG8:EG109)</f>
        <v>58</v>
      </c>
      <c r="DZ116" s="497"/>
      <c r="EA116" s="497"/>
      <c r="EB116" s="498"/>
      <c r="EC116" s="75">
        <v>13</v>
      </c>
      <c r="ED116" s="500">
        <f>SUM(EH8:EH109)</f>
        <v>58</v>
      </c>
      <c r="EE116" s="497"/>
      <c r="EF116" s="497"/>
      <c r="EG116" s="498"/>
      <c r="EH116" s="75">
        <v>13</v>
      </c>
      <c r="EI116" s="500">
        <f>SUM(EQ8:EQ109)</f>
        <v>58</v>
      </c>
      <c r="EJ116" s="497"/>
      <c r="EK116" s="497"/>
      <c r="EL116" s="498"/>
      <c r="EM116" s="75">
        <v>14</v>
      </c>
      <c r="EN116" s="500">
        <f>SUM(ER8:ER109)</f>
        <v>58</v>
      </c>
      <c r="EO116" s="497"/>
      <c r="EP116" s="497"/>
      <c r="EQ116" s="498"/>
      <c r="ER116" s="75">
        <v>14</v>
      </c>
      <c r="ES116" s="526"/>
      <c r="ET116" s="526"/>
      <c r="EU116" s="526"/>
      <c r="EV116" s="526"/>
      <c r="EW116" s="526"/>
      <c r="EX116" s="526"/>
      <c r="EY116" s="526"/>
      <c r="EZ116" s="526"/>
      <c r="FA116" s="526"/>
      <c r="FB116" s="526"/>
      <c r="FC116" s="526"/>
      <c r="FD116" s="526"/>
      <c r="FE116" s="526"/>
      <c r="FF116" s="526"/>
      <c r="FG116" s="526"/>
      <c r="FH116" s="510">
        <f>SUM(ES111:FF114)/SUM(ES115:FF117)</f>
        <v>54.765625</v>
      </c>
      <c r="FI116" s="511"/>
      <c r="FJ116" s="511"/>
      <c r="FK116" s="336"/>
    </row>
    <row r="117" spans="1:167" ht="15.75" customHeight="1">
      <c r="A117" s="2"/>
      <c r="B117" s="546"/>
      <c r="C117" s="457"/>
      <c r="D117" s="546"/>
      <c r="E117" s="456"/>
      <c r="F117" s="456"/>
      <c r="G117" s="456"/>
      <c r="H117" s="320" t="s">
        <v>41</v>
      </c>
      <c r="I117" s="63" t="s">
        <v>27</v>
      </c>
      <c r="J117" s="512">
        <f>SUM(I112:L116)</f>
        <v>149</v>
      </c>
      <c r="K117" s="497"/>
      <c r="L117" s="498"/>
      <c r="M117" s="63"/>
      <c r="N117" s="64" t="s">
        <v>42</v>
      </c>
      <c r="O117" s="512">
        <f>SUM(N112:Q116)</f>
        <v>149</v>
      </c>
      <c r="P117" s="497"/>
      <c r="Q117" s="498"/>
      <c r="R117" s="327"/>
      <c r="S117" s="328" t="s">
        <v>32</v>
      </c>
      <c r="T117" s="500">
        <f>SUM(S112:V116)</f>
        <v>237</v>
      </c>
      <c r="U117" s="497"/>
      <c r="V117" s="498"/>
      <c r="W117" s="71"/>
      <c r="X117" s="71" t="s">
        <v>42</v>
      </c>
      <c r="Y117" s="500">
        <f>SUM(X112:AA116)</f>
        <v>237</v>
      </c>
      <c r="Z117" s="497"/>
      <c r="AA117" s="498"/>
      <c r="AB117" s="71"/>
      <c r="AC117" s="328" t="s">
        <v>32</v>
      </c>
      <c r="AD117" s="500">
        <f>SUM(AC112:AF116)</f>
        <v>205</v>
      </c>
      <c r="AE117" s="497"/>
      <c r="AF117" s="498"/>
      <c r="AG117" s="71"/>
      <c r="AH117" s="71" t="s">
        <v>42</v>
      </c>
      <c r="AI117" s="500">
        <f>SUM(AH112:AK116)</f>
        <v>205</v>
      </c>
      <c r="AJ117" s="497"/>
      <c r="AK117" s="498"/>
      <c r="AL117" s="71"/>
      <c r="AM117" s="500" t="s">
        <v>32</v>
      </c>
      <c r="AN117" s="498"/>
      <c r="AO117" s="500">
        <f>SUM(AM112:AP116)</f>
        <v>269</v>
      </c>
      <c r="AP117" s="497"/>
      <c r="AQ117" s="498"/>
      <c r="AR117" s="71" t="s">
        <v>42</v>
      </c>
      <c r="AS117" s="500">
        <f>SUM(AR112:AU116)</f>
        <v>269</v>
      </c>
      <c r="AT117" s="497"/>
      <c r="AU117" s="498"/>
      <c r="AV117" s="71"/>
      <c r="AW117" s="328" t="s">
        <v>32</v>
      </c>
      <c r="AX117" s="500">
        <f>SUM(AW112:AZ116)</f>
        <v>277</v>
      </c>
      <c r="AY117" s="497"/>
      <c r="AZ117" s="498"/>
      <c r="BA117" s="329"/>
      <c r="BB117" s="329" t="s">
        <v>42</v>
      </c>
      <c r="BC117" s="500">
        <f>SUM(BB112:BE116)</f>
        <v>277</v>
      </c>
      <c r="BD117" s="497"/>
      <c r="BE117" s="498"/>
      <c r="BF117" s="71"/>
      <c r="BG117" s="328" t="s">
        <v>32</v>
      </c>
      <c r="BH117" s="500">
        <f>SUM(BG112:BJ116)</f>
        <v>272</v>
      </c>
      <c r="BI117" s="497"/>
      <c r="BJ117" s="498"/>
      <c r="BK117" s="71"/>
      <c r="BL117" s="71" t="s">
        <v>42</v>
      </c>
      <c r="BM117" s="500">
        <f>SUM(BL112:BO116)</f>
        <v>272</v>
      </c>
      <c r="BN117" s="497"/>
      <c r="BO117" s="498"/>
      <c r="BP117" s="71"/>
      <c r="BQ117" s="328" t="s">
        <v>32</v>
      </c>
      <c r="BR117" s="500">
        <f>SUM(BQ112:BT116)</f>
        <v>276</v>
      </c>
      <c r="BS117" s="497"/>
      <c r="BT117" s="498"/>
      <c r="BU117" s="71"/>
      <c r="BV117" s="71" t="s">
        <v>42</v>
      </c>
      <c r="BW117" s="500">
        <f>SUM(BV112:BY116)</f>
        <v>276</v>
      </c>
      <c r="BX117" s="497"/>
      <c r="BY117" s="498"/>
      <c r="BZ117" s="71"/>
      <c r="CA117" s="328" t="s">
        <v>32</v>
      </c>
      <c r="CB117" s="500">
        <f>SUM(CA112:CD116)</f>
        <v>0</v>
      </c>
      <c r="CC117" s="497"/>
      <c r="CD117" s="498"/>
      <c r="CE117" s="71"/>
      <c r="CF117" s="71" t="s">
        <v>42</v>
      </c>
      <c r="CG117" s="500">
        <f>SUM(CF112:CI116)</f>
        <v>0</v>
      </c>
      <c r="CH117" s="497"/>
      <c r="CI117" s="498"/>
      <c r="CJ117" s="71"/>
      <c r="CK117" s="328" t="s">
        <v>32</v>
      </c>
      <c r="CL117" s="500">
        <f>SUM(CK112:CN116)</f>
        <v>270</v>
      </c>
      <c r="CM117" s="497"/>
      <c r="CN117" s="498"/>
      <c r="CO117" s="71"/>
      <c r="CP117" s="71" t="s">
        <v>42</v>
      </c>
      <c r="CQ117" s="500">
        <f>SUM(CP112:CS116)</f>
        <v>270</v>
      </c>
      <c r="CR117" s="497"/>
      <c r="CS117" s="498"/>
      <c r="CT117" s="71"/>
      <c r="CU117" s="328" t="s">
        <v>32</v>
      </c>
      <c r="CV117" s="500">
        <f>SUM(CU112:CX116)</f>
        <v>267</v>
      </c>
      <c r="CW117" s="497"/>
      <c r="CX117" s="498"/>
      <c r="CY117" s="71"/>
      <c r="CZ117" s="71" t="s">
        <v>42</v>
      </c>
      <c r="DA117" s="500">
        <f>SUM(CZ112:DC116)</f>
        <v>267</v>
      </c>
      <c r="DB117" s="497"/>
      <c r="DC117" s="498"/>
      <c r="DD117" s="71"/>
      <c r="DE117" s="328" t="s">
        <v>32</v>
      </c>
      <c r="DF117" s="500">
        <f>SUM(DE112:DH116)</f>
        <v>278</v>
      </c>
      <c r="DG117" s="497"/>
      <c r="DH117" s="498"/>
      <c r="DI117" s="71"/>
      <c r="DJ117" s="71" t="s">
        <v>42</v>
      </c>
      <c r="DK117" s="500">
        <f>SUM(DJ112:DM116)</f>
        <v>278</v>
      </c>
      <c r="DL117" s="497"/>
      <c r="DM117" s="498"/>
      <c r="DN117" s="71"/>
      <c r="DO117" s="328" t="s">
        <v>32</v>
      </c>
      <c r="DP117" s="500">
        <f>SUM(DO112:DR116)</f>
        <v>290</v>
      </c>
      <c r="DQ117" s="497"/>
      <c r="DR117" s="498"/>
      <c r="DS117" s="71"/>
      <c r="DT117" s="71" t="s">
        <v>42</v>
      </c>
      <c r="DU117" s="500">
        <f>SUM(DT112:DW116)</f>
        <v>290</v>
      </c>
      <c r="DV117" s="497"/>
      <c r="DW117" s="498"/>
      <c r="DX117" s="71"/>
      <c r="DY117" s="328" t="s">
        <v>32</v>
      </c>
      <c r="DZ117" s="500">
        <f>SUM(DY112:EB116)</f>
        <v>290</v>
      </c>
      <c r="EA117" s="497"/>
      <c r="EB117" s="498"/>
      <c r="EC117" s="71"/>
      <c r="ED117" s="71" t="s">
        <v>42</v>
      </c>
      <c r="EE117" s="500">
        <f>SUM(ED112:EG116)</f>
        <v>290</v>
      </c>
      <c r="EF117" s="497"/>
      <c r="EG117" s="498"/>
      <c r="EH117" s="71"/>
      <c r="EI117" s="328" t="s">
        <v>32</v>
      </c>
      <c r="EJ117" s="500">
        <f>SUM(EI112:EL116)</f>
        <v>290</v>
      </c>
      <c r="EK117" s="497"/>
      <c r="EL117" s="498"/>
      <c r="EM117" s="71"/>
      <c r="EN117" s="71" t="s">
        <v>42</v>
      </c>
      <c r="EO117" s="500">
        <f>SUM(EN112:EQ116)</f>
        <v>290</v>
      </c>
      <c r="EP117" s="497"/>
      <c r="EQ117" s="498"/>
      <c r="ER117" s="71"/>
      <c r="ES117" s="527"/>
      <c r="ET117" s="527"/>
      <c r="EU117" s="527"/>
      <c r="EV117" s="527"/>
      <c r="EW117" s="527"/>
      <c r="EX117" s="527"/>
      <c r="EY117" s="527"/>
      <c r="EZ117" s="527"/>
      <c r="FA117" s="527"/>
      <c r="FB117" s="527"/>
      <c r="FC117" s="527"/>
      <c r="FD117" s="527"/>
      <c r="FE117" s="527"/>
      <c r="FF117" s="527"/>
      <c r="FG117" s="527"/>
      <c r="FH117" s="513" t="s">
        <v>43</v>
      </c>
      <c r="FI117" s="514"/>
      <c r="FJ117" s="514"/>
      <c r="FK117" s="515"/>
    </row>
    <row r="118" spans="1:167" ht="18" customHeight="1">
      <c r="A118" s="2"/>
      <c r="B118" s="549"/>
      <c r="C118" s="450"/>
      <c r="D118" s="550"/>
      <c r="E118" s="449"/>
      <c r="F118" s="449"/>
      <c r="G118" s="449"/>
      <c r="H118" s="321" t="s">
        <v>44</v>
      </c>
      <c r="I118" s="578">
        <f>SUM(B8:B56)</f>
        <v>19</v>
      </c>
      <c r="J118" s="517"/>
      <c r="K118" s="518" t="s">
        <v>45</v>
      </c>
      <c r="L118" s="519"/>
      <c r="M118" s="517"/>
      <c r="N118" s="520">
        <f>SUM(B60:B109)</f>
        <v>42</v>
      </c>
      <c r="O118" s="517"/>
      <c r="P118" s="518" t="s">
        <v>46</v>
      </c>
      <c r="Q118" s="519"/>
      <c r="R118" s="517"/>
      <c r="S118" s="331">
        <f>SUM(B8:B57)</f>
        <v>19</v>
      </c>
      <c r="T118" s="500" t="s">
        <v>45</v>
      </c>
      <c r="U118" s="497"/>
      <c r="V118" s="498"/>
      <c r="W118" s="521">
        <f>SUM(B60:B109)</f>
        <v>42</v>
      </c>
      <c r="X118" s="498"/>
      <c r="Y118" s="500" t="s">
        <v>46</v>
      </c>
      <c r="Z118" s="497"/>
      <c r="AA118" s="498"/>
      <c r="AB118" s="521">
        <f>SUM(B8:B57)</f>
        <v>19</v>
      </c>
      <c r="AC118" s="498"/>
      <c r="AD118" s="500" t="s">
        <v>45</v>
      </c>
      <c r="AE118" s="497"/>
      <c r="AF118" s="498"/>
      <c r="AG118" s="521">
        <f>SUM(B60:B109)</f>
        <v>42</v>
      </c>
      <c r="AH118" s="498"/>
      <c r="AI118" s="500" t="s">
        <v>46</v>
      </c>
      <c r="AJ118" s="497"/>
      <c r="AK118" s="498"/>
      <c r="AL118" s="71"/>
      <c r="AM118" s="521">
        <f>SUM(B8:B57)</f>
        <v>19</v>
      </c>
      <c r="AN118" s="498"/>
      <c r="AO118" s="500" t="s">
        <v>45</v>
      </c>
      <c r="AP118" s="497"/>
      <c r="AQ118" s="498"/>
      <c r="AR118" s="521">
        <f>SUM(B60:B109)</f>
        <v>42</v>
      </c>
      <c r="AS118" s="498"/>
      <c r="AT118" s="500" t="s">
        <v>46</v>
      </c>
      <c r="AU118" s="497"/>
      <c r="AV118" s="498"/>
      <c r="AW118" s="521">
        <f>BG118</f>
        <v>19</v>
      </c>
      <c r="AX118" s="498"/>
      <c r="AY118" s="500" t="s">
        <v>45</v>
      </c>
      <c r="AZ118" s="497"/>
      <c r="BA118" s="498"/>
      <c r="BB118" s="521">
        <f>SUM(B60:B109)</f>
        <v>42</v>
      </c>
      <c r="BC118" s="498"/>
      <c r="BD118" s="500" t="s">
        <v>46</v>
      </c>
      <c r="BE118" s="497"/>
      <c r="BF118" s="498"/>
      <c r="BG118" s="521">
        <f>SUM(B8:B57)</f>
        <v>19</v>
      </c>
      <c r="BH118" s="498"/>
      <c r="BI118" s="500" t="s">
        <v>45</v>
      </c>
      <c r="BJ118" s="497"/>
      <c r="BK118" s="498"/>
      <c r="BL118" s="521">
        <f>SUM(B60:B109)</f>
        <v>42</v>
      </c>
      <c r="BM118" s="498"/>
      <c r="BN118" s="500" t="s">
        <v>46</v>
      </c>
      <c r="BO118" s="497"/>
      <c r="BP118" s="498"/>
      <c r="BQ118" s="521">
        <f>SUM(B8:B57)</f>
        <v>19</v>
      </c>
      <c r="BR118" s="498"/>
      <c r="BS118" s="500" t="s">
        <v>45</v>
      </c>
      <c r="BT118" s="497"/>
      <c r="BU118" s="498"/>
      <c r="BV118" s="80">
        <f>SUM(B60:B109)</f>
        <v>42</v>
      </c>
      <c r="BW118" s="500" t="s">
        <v>46</v>
      </c>
      <c r="BX118" s="497"/>
      <c r="BY118" s="498"/>
      <c r="BZ118" s="71"/>
      <c r="CA118" s="521">
        <f>SUM(B8:B57)</f>
        <v>19</v>
      </c>
      <c r="CB118" s="498"/>
      <c r="CC118" s="500" t="s">
        <v>45</v>
      </c>
      <c r="CD118" s="497"/>
      <c r="CE118" s="498"/>
      <c r="CF118" s="521">
        <f>SUM(B60:B109)</f>
        <v>42</v>
      </c>
      <c r="CG118" s="498"/>
      <c r="CH118" s="500" t="s">
        <v>46</v>
      </c>
      <c r="CI118" s="497"/>
      <c r="CJ118" s="498"/>
      <c r="CK118" s="521">
        <f>SUM(B8:B57)</f>
        <v>19</v>
      </c>
      <c r="CL118" s="498"/>
      <c r="CM118" s="500" t="s">
        <v>45</v>
      </c>
      <c r="CN118" s="498"/>
      <c r="CO118" s="71"/>
      <c r="CP118" s="521">
        <f>SUM(B60:B109)</f>
        <v>42</v>
      </c>
      <c r="CQ118" s="498"/>
      <c r="CR118" s="500" t="s">
        <v>46</v>
      </c>
      <c r="CS118" s="497"/>
      <c r="CT118" s="498"/>
      <c r="CU118" s="521">
        <f>SUM(B8:B57)</f>
        <v>19</v>
      </c>
      <c r="CV118" s="498"/>
      <c r="CW118" s="500" t="s">
        <v>45</v>
      </c>
      <c r="CX118" s="497"/>
      <c r="CY118" s="498"/>
      <c r="CZ118" s="521">
        <f>SUM(B60:B109)</f>
        <v>42</v>
      </c>
      <c r="DA118" s="498"/>
      <c r="DB118" s="500" t="s">
        <v>46</v>
      </c>
      <c r="DC118" s="497"/>
      <c r="DD118" s="498"/>
      <c r="DE118" s="521">
        <f>SUM(B8:B57)</f>
        <v>19</v>
      </c>
      <c r="DF118" s="498"/>
      <c r="DG118" s="500" t="s">
        <v>45</v>
      </c>
      <c r="DH118" s="497"/>
      <c r="DI118" s="498"/>
      <c r="DJ118" s="521">
        <f>SUM(B60:B109)</f>
        <v>42</v>
      </c>
      <c r="DK118" s="498"/>
      <c r="DL118" s="500" t="s">
        <v>46</v>
      </c>
      <c r="DM118" s="497"/>
      <c r="DN118" s="498"/>
      <c r="DO118" s="521">
        <f>SUM(B8:B57)</f>
        <v>19</v>
      </c>
      <c r="DP118" s="498"/>
      <c r="DQ118" s="500" t="s">
        <v>45</v>
      </c>
      <c r="DR118" s="497"/>
      <c r="DS118" s="498"/>
      <c r="DT118" s="521">
        <f>SUM(B60:B109)</f>
        <v>42</v>
      </c>
      <c r="DU118" s="498"/>
      <c r="DV118" s="500" t="s">
        <v>46</v>
      </c>
      <c r="DW118" s="497"/>
      <c r="DX118" s="498"/>
      <c r="DY118" s="521">
        <f>SUM(B8:B57)</f>
        <v>19</v>
      </c>
      <c r="DZ118" s="498"/>
      <c r="EA118" s="500" t="s">
        <v>45</v>
      </c>
      <c r="EB118" s="497"/>
      <c r="EC118" s="498"/>
      <c r="ED118" s="521">
        <f>SUM(B60:B109)</f>
        <v>42</v>
      </c>
      <c r="EE118" s="498"/>
      <c r="EF118" s="500" t="s">
        <v>46</v>
      </c>
      <c r="EG118" s="497"/>
      <c r="EH118" s="498"/>
      <c r="EI118" s="521">
        <f>SUM(B8:B57)</f>
        <v>19</v>
      </c>
      <c r="EJ118" s="498"/>
      <c r="EK118" s="500" t="s">
        <v>45</v>
      </c>
      <c r="EL118" s="497"/>
      <c r="EM118" s="498"/>
      <c r="EN118" s="521">
        <f>SUM(B60:B109)</f>
        <v>42</v>
      </c>
      <c r="EO118" s="498"/>
      <c r="EP118" s="500" t="s">
        <v>46</v>
      </c>
      <c r="EQ118" s="497"/>
      <c r="ER118" s="498"/>
      <c r="ES118" s="337">
        <f>ROW(ET5)</f>
        <v>5</v>
      </c>
      <c r="ET118" s="337">
        <v>2</v>
      </c>
      <c r="EU118" s="337">
        <v>3</v>
      </c>
      <c r="EV118" s="337">
        <v>4</v>
      </c>
      <c r="EW118" s="337">
        <v>5</v>
      </c>
      <c r="EX118" s="337">
        <v>6</v>
      </c>
      <c r="EY118" s="337">
        <v>7</v>
      </c>
      <c r="EZ118" s="337">
        <v>8</v>
      </c>
      <c r="FA118" s="337">
        <v>9</v>
      </c>
      <c r="FB118" s="337">
        <v>10</v>
      </c>
      <c r="FC118" s="337">
        <v>11</v>
      </c>
      <c r="FD118" s="337">
        <v>12</v>
      </c>
      <c r="FE118" s="337">
        <v>13</v>
      </c>
      <c r="FF118" s="337">
        <v>14</v>
      </c>
      <c r="FG118" s="338"/>
      <c r="FH118" s="339" t="s">
        <v>45</v>
      </c>
      <c r="FI118" s="522" t="s">
        <v>46</v>
      </c>
      <c r="FJ118" s="504"/>
      <c r="FK118" s="543"/>
    </row>
    <row r="119" spans="1:167" ht="18.75" customHeight="1" thickBot="1">
      <c r="A119" s="8"/>
      <c r="B119" s="546"/>
      <c r="C119" s="457"/>
      <c r="D119" s="546"/>
      <c r="E119" s="456"/>
      <c r="F119" s="456"/>
      <c r="G119" s="456"/>
      <c r="H119" s="324" t="s">
        <v>47</v>
      </c>
      <c r="I119" s="579">
        <f>((J117*2)/((I118+N118)*10))</f>
        <v>0.4885245901639344</v>
      </c>
      <c r="J119" s="497"/>
      <c r="K119" s="497"/>
      <c r="L119" s="497"/>
      <c r="M119" s="497"/>
      <c r="N119" s="497"/>
      <c r="O119" s="497"/>
      <c r="P119" s="497"/>
      <c r="Q119" s="498"/>
      <c r="R119" s="71"/>
      <c r="S119" s="523">
        <f>((T117*2)/((S118+W118)*10))</f>
        <v>0.77704918032786885</v>
      </c>
      <c r="T119" s="497"/>
      <c r="U119" s="497"/>
      <c r="V119" s="497"/>
      <c r="W119" s="497"/>
      <c r="X119" s="497"/>
      <c r="Y119" s="497"/>
      <c r="Z119" s="497"/>
      <c r="AA119" s="498"/>
      <c r="AB119" s="523">
        <f>((AD117*2)/((S118+W118)*10))</f>
        <v>0.67213114754098358</v>
      </c>
      <c r="AC119" s="497"/>
      <c r="AD119" s="497"/>
      <c r="AE119" s="497"/>
      <c r="AF119" s="497"/>
      <c r="AG119" s="497"/>
      <c r="AH119" s="497"/>
      <c r="AI119" s="497"/>
      <c r="AJ119" s="497"/>
      <c r="AK119" s="498"/>
      <c r="AL119" s="524">
        <f>((AO117*2)/((S118+W118)*10))</f>
        <v>0.88196721311475412</v>
      </c>
      <c r="AM119" s="497"/>
      <c r="AN119" s="497"/>
      <c r="AO119" s="497"/>
      <c r="AP119" s="497"/>
      <c r="AQ119" s="497"/>
      <c r="AR119" s="497"/>
      <c r="AS119" s="497"/>
      <c r="AT119" s="497"/>
      <c r="AU119" s="497"/>
      <c r="AV119" s="498"/>
      <c r="AW119" s="524">
        <f>((AX117*2)/((S118+W118)*10))</f>
        <v>0.90819672131147544</v>
      </c>
      <c r="AX119" s="497"/>
      <c r="AY119" s="497"/>
      <c r="AZ119" s="497"/>
      <c r="BA119" s="497"/>
      <c r="BB119" s="497"/>
      <c r="BC119" s="497"/>
      <c r="BD119" s="497"/>
      <c r="BE119" s="497"/>
      <c r="BF119" s="498"/>
      <c r="BG119" s="524">
        <f>((BH117*2)/((I118+N118)*10))</f>
        <v>0.8918032786885246</v>
      </c>
      <c r="BH119" s="497"/>
      <c r="BI119" s="497"/>
      <c r="BJ119" s="497"/>
      <c r="BK119" s="497"/>
      <c r="BL119" s="497"/>
      <c r="BM119" s="497"/>
      <c r="BN119" s="497"/>
      <c r="BO119" s="497"/>
      <c r="BP119" s="498"/>
      <c r="BQ119" s="524">
        <f>((BR117*2)/((I118+N118)*10))</f>
        <v>0.90491803278688521</v>
      </c>
      <c r="BR119" s="497"/>
      <c r="BS119" s="497"/>
      <c r="BT119" s="497"/>
      <c r="BU119" s="497"/>
      <c r="BV119" s="497"/>
      <c r="BW119" s="497"/>
      <c r="BX119" s="497"/>
      <c r="BY119" s="497"/>
      <c r="BZ119" s="498"/>
      <c r="CA119" s="524">
        <f>((CB117*2)/((I118+N118)*10))</f>
        <v>0</v>
      </c>
      <c r="CB119" s="497"/>
      <c r="CC119" s="497"/>
      <c r="CD119" s="497"/>
      <c r="CE119" s="497"/>
      <c r="CF119" s="497"/>
      <c r="CG119" s="497"/>
      <c r="CH119" s="497"/>
      <c r="CI119" s="497"/>
      <c r="CJ119" s="498"/>
      <c r="CK119" s="524">
        <f>((CL117*2)/((I118+N118)*10))</f>
        <v>0.88524590163934425</v>
      </c>
      <c r="CL119" s="497"/>
      <c r="CM119" s="497"/>
      <c r="CN119" s="497"/>
      <c r="CO119" s="497"/>
      <c r="CP119" s="497"/>
      <c r="CQ119" s="497"/>
      <c r="CR119" s="497"/>
      <c r="CS119" s="497"/>
      <c r="CT119" s="498"/>
      <c r="CU119" s="524">
        <f>((CV117*2)/((I118+N118)*10))</f>
        <v>0.87540983606557377</v>
      </c>
      <c r="CV119" s="497"/>
      <c r="CW119" s="497"/>
      <c r="CX119" s="497"/>
      <c r="CY119" s="497"/>
      <c r="CZ119" s="497"/>
      <c r="DA119" s="497"/>
      <c r="DB119" s="497"/>
      <c r="DC119" s="497"/>
      <c r="DD119" s="498"/>
      <c r="DE119" s="524">
        <f>((DF117*2)/((I118+N118)*10))</f>
        <v>0.91147540983606556</v>
      </c>
      <c r="DF119" s="497"/>
      <c r="DG119" s="497"/>
      <c r="DH119" s="497"/>
      <c r="DI119" s="497"/>
      <c r="DJ119" s="497"/>
      <c r="DK119" s="497"/>
      <c r="DL119" s="497"/>
      <c r="DM119" s="497"/>
      <c r="DN119" s="498"/>
      <c r="DO119" s="524">
        <f>((DP117*2)/((I118+N118)*10))</f>
        <v>0.95081967213114749</v>
      </c>
      <c r="DP119" s="497"/>
      <c r="DQ119" s="497"/>
      <c r="DR119" s="497"/>
      <c r="DS119" s="497"/>
      <c r="DT119" s="497"/>
      <c r="DU119" s="497"/>
      <c r="DV119" s="497"/>
      <c r="DW119" s="497"/>
      <c r="DX119" s="498"/>
      <c r="DY119" s="524">
        <f>((DZ117*2)/((I118+N118)*10))</f>
        <v>0.95081967213114749</v>
      </c>
      <c r="DZ119" s="497"/>
      <c r="EA119" s="497"/>
      <c r="EB119" s="497"/>
      <c r="EC119" s="497"/>
      <c r="ED119" s="497"/>
      <c r="EE119" s="497"/>
      <c r="EF119" s="497"/>
      <c r="EG119" s="497"/>
      <c r="EH119" s="498"/>
      <c r="EI119" s="524">
        <f>((EJ117*2)/((I118+N118)*10))</f>
        <v>0.95081967213114749</v>
      </c>
      <c r="EJ119" s="497"/>
      <c r="EK119" s="497"/>
      <c r="EL119" s="497"/>
      <c r="EM119" s="497"/>
      <c r="EN119" s="497"/>
      <c r="EO119" s="497"/>
      <c r="EP119" s="497"/>
      <c r="EQ119" s="497"/>
      <c r="ER119" s="498"/>
      <c r="ES119" s="165"/>
      <c r="ET119" s="165"/>
      <c r="EU119" s="165"/>
      <c r="EV119" s="165"/>
      <c r="EW119" s="165"/>
      <c r="EX119" s="165"/>
      <c r="EY119" s="165"/>
      <c r="EZ119" s="165"/>
      <c r="FA119" s="165"/>
      <c r="FB119" s="165"/>
      <c r="FC119" s="165"/>
      <c r="FD119" s="165"/>
      <c r="FE119" s="165"/>
      <c r="FF119" s="165"/>
      <c r="FG119" s="340"/>
      <c r="FH119" s="341">
        <f>SUM(I8:ER57)</f>
        <v>2022</v>
      </c>
      <c r="FI119" s="510">
        <f>SUM(I60:ER109)</f>
        <v>4718</v>
      </c>
      <c r="FJ119" s="511"/>
      <c r="FK119" s="544"/>
    </row>
    <row r="120" spans="1:167" ht="15.75" customHeight="1">
      <c r="D120" s="547"/>
      <c r="E120" s="548"/>
      <c r="F120" s="548"/>
      <c r="G120" s="548"/>
      <c r="I120" s="1"/>
      <c r="AY120" s="12"/>
      <c r="BA120" s="12"/>
      <c r="BB120" s="12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</row>
    <row r="121" spans="1:167" ht="15.75" customHeight="1">
      <c r="D121" s="548"/>
      <c r="E121" s="548"/>
      <c r="F121" s="548"/>
      <c r="G121" s="548"/>
      <c r="AY121" s="12"/>
      <c r="BA121" s="12"/>
      <c r="BB121" s="12"/>
    </row>
    <row r="122" spans="1:167" ht="15.75" customHeight="1">
      <c r="D122" s="548"/>
      <c r="E122" s="548"/>
      <c r="F122" s="548"/>
      <c r="G122" s="548"/>
      <c r="AY122" s="12"/>
      <c r="BA122" s="12"/>
      <c r="BB122" s="12"/>
    </row>
    <row r="123" spans="1:167" ht="15.75" customHeight="1">
      <c r="AY123" s="12"/>
      <c r="BA123" s="12"/>
      <c r="BB123" s="12"/>
    </row>
    <row r="124" spans="1:167" ht="15.75" customHeight="1">
      <c r="AY124" s="12"/>
      <c r="BA124" s="12"/>
      <c r="BB124" s="12"/>
    </row>
    <row r="125" spans="1:167" ht="15.75" customHeight="1">
      <c r="AY125" s="12"/>
      <c r="BA125" s="12"/>
      <c r="BB125" s="12"/>
    </row>
    <row r="126" spans="1:167" ht="15.75" customHeight="1">
      <c r="S126" s="10"/>
      <c r="AY126" s="12"/>
      <c r="BA126" s="12"/>
      <c r="BB126" s="12"/>
    </row>
    <row r="127" spans="1:167" ht="15.75" customHeight="1">
      <c r="AY127" s="12"/>
      <c r="BA127" s="12"/>
      <c r="BB127" s="12"/>
    </row>
    <row r="128" spans="1:167" ht="15.75" customHeight="1">
      <c r="AY128" s="12"/>
      <c r="BA128" s="12"/>
      <c r="BB128" s="12"/>
    </row>
    <row r="129" spans="51:54" ht="15.75" customHeight="1">
      <c r="AY129" s="12"/>
      <c r="BA129" s="12"/>
      <c r="BB129" s="12"/>
    </row>
    <row r="130" spans="51:54" ht="15.75" customHeight="1">
      <c r="AY130" s="12"/>
      <c r="BA130" s="12"/>
      <c r="BB130" s="12"/>
    </row>
    <row r="131" spans="51:54" ht="15.75" customHeight="1">
      <c r="AY131" s="12"/>
      <c r="BA131" s="12"/>
      <c r="BB131" s="12"/>
    </row>
    <row r="132" spans="51:54" ht="15.75" customHeight="1">
      <c r="AY132" s="12"/>
      <c r="BA132" s="12"/>
      <c r="BB132" s="12"/>
    </row>
    <row r="133" spans="51:54" ht="15.75" customHeight="1">
      <c r="AY133" s="12"/>
      <c r="BA133" s="12"/>
      <c r="BB133" s="12"/>
    </row>
    <row r="134" spans="51:54" ht="15.75" customHeight="1">
      <c r="AY134" s="12"/>
      <c r="BA134" s="12"/>
      <c r="BB134" s="12"/>
    </row>
    <row r="135" spans="51:54" ht="15.75" customHeight="1">
      <c r="AY135" s="12"/>
      <c r="BA135" s="12"/>
      <c r="BB135" s="12"/>
    </row>
    <row r="136" spans="51:54" ht="15.75" customHeight="1">
      <c r="AY136" s="12"/>
      <c r="BA136" s="12"/>
      <c r="BB136" s="12"/>
    </row>
    <row r="137" spans="51:54" ht="15.75" customHeight="1">
      <c r="AY137" s="12"/>
      <c r="BA137" s="12"/>
      <c r="BB137" s="12"/>
    </row>
    <row r="138" spans="51:54" ht="15.75" customHeight="1">
      <c r="AY138" s="12"/>
      <c r="BA138" s="12"/>
      <c r="BB138" s="12"/>
    </row>
    <row r="139" spans="51:54" ht="15.75" customHeight="1">
      <c r="AY139" s="12"/>
      <c r="BA139" s="12"/>
      <c r="BB139" s="12"/>
    </row>
    <row r="140" spans="51:54" ht="15.75" customHeight="1">
      <c r="AY140" s="12"/>
      <c r="BA140" s="12"/>
      <c r="BB140" s="12"/>
    </row>
    <row r="141" spans="51:54" ht="15.75" customHeight="1">
      <c r="AY141" s="12"/>
      <c r="BA141" s="12"/>
      <c r="BB141" s="12"/>
    </row>
    <row r="142" spans="51:54" ht="15.75" customHeight="1">
      <c r="AY142" s="12"/>
      <c r="BA142" s="12"/>
      <c r="BB142" s="12"/>
    </row>
    <row r="143" spans="51:54" ht="15.75" customHeight="1">
      <c r="AY143" s="12"/>
      <c r="BA143" s="12"/>
      <c r="BB143" s="12"/>
    </row>
    <row r="144" spans="51:54" ht="15.75" customHeight="1">
      <c r="AY144" s="12"/>
      <c r="BA144" s="12"/>
      <c r="BB144" s="12"/>
    </row>
    <row r="145" spans="51:54" ht="15.75" customHeight="1">
      <c r="AY145" s="12"/>
      <c r="BA145" s="12"/>
      <c r="BB145" s="12"/>
    </row>
    <row r="146" spans="51:54" ht="15.75" customHeight="1">
      <c r="AY146" s="12"/>
      <c r="BA146" s="12"/>
      <c r="BB146" s="12"/>
    </row>
    <row r="147" spans="51:54" ht="15.75" customHeight="1">
      <c r="AY147" s="12"/>
      <c r="BA147" s="12"/>
      <c r="BB147" s="12"/>
    </row>
    <row r="148" spans="51:54" ht="15.75" customHeight="1">
      <c r="AY148" s="12"/>
      <c r="BA148" s="12"/>
      <c r="BB148" s="12"/>
    </row>
    <row r="149" spans="51:54" ht="15.75" customHeight="1">
      <c r="AY149" s="12"/>
      <c r="BA149" s="12"/>
      <c r="BB149" s="12"/>
    </row>
    <row r="150" spans="51:54" ht="15.75" customHeight="1">
      <c r="AY150" s="12"/>
      <c r="BA150" s="12"/>
      <c r="BB150" s="12"/>
    </row>
    <row r="151" spans="51:54" ht="15.75" customHeight="1">
      <c r="AY151" s="12"/>
      <c r="BA151" s="12"/>
      <c r="BB151" s="12"/>
    </row>
    <row r="152" spans="51:54" ht="15.75" customHeight="1">
      <c r="AY152" s="12"/>
      <c r="BA152" s="12"/>
      <c r="BB152" s="12"/>
    </row>
    <row r="153" spans="51:54" ht="15.75" customHeight="1">
      <c r="AY153" s="12"/>
      <c r="BA153" s="12"/>
      <c r="BB153" s="12"/>
    </row>
    <row r="154" spans="51:54" ht="15.75" customHeight="1">
      <c r="AY154" s="12"/>
      <c r="BA154" s="12"/>
      <c r="BB154" s="12"/>
    </row>
    <row r="155" spans="51:54" ht="15.75" customHeight="1">
      <c r="AY155" s="12"/>
      <c r="BA155" s="12"/>
      <c r="BB155" s="12"/>
    </row>
    <row r="156" spans="51:54" ht="15.75" customHeight="1">
      <c r="AY156" s="12"/>
      <c r="BA156" s="12"/>
      <c r="BB156" s="12"/>
    </row>
    <row r="157" spans="51:54" ht="15.75" customHeight="1">
      <c r="AY157" s="12"/>
      <c r="BA157" s="12"/>
      <c r="BB157" s="12"/>
    </row>
    <row r="158" spans="51:54" ht="15.75" customHeight="1">
      <c r="AY158" s="12"/>
      <c r="BA158" s="12"/>
      <c r="BB158" s="12"/>
    </row>
    <row r="159" spans="51:54" ht="15.75" customHeight="1">
      <c r="AY159" s="12"/>
      <c r="BA159" s="12"/>
      <c r="BB159" s="12"/>
    </row>
    <row r="160" spans="51:54" ht="15.75" customHeight="1">
      <c r="AY160" s="12"/>
      <c r="BA160" s="12"/>
      <c r="BB160" s="12"/>
    </row>
    <row r="161" spans="51:54" ht="15.75" customHeight="1">
      <c r="AY161" s="12"/>
      <c r="BA161" s="12"/>
      <c r="BB161" s="12"/>
    </row>
    <row r="162" spans="51:54" ht="15.75" customHeight="1">
      <c r="AY162" s="12"/>
      <c r="BA162" s="12"/>
      <c r="BB162" s="12"/>
    </row>
    <row r="163" spans="51:54" ht="15.75" customHeight="1">
      <c r="AY163" s="12"/>
      <c r="BA163" s="12"/>
      <c r="BB163" s="12"/>
    </row>
    <row r="164" spans="51:54" ht="15.75" customHeight="1">
      <c r="AY164" s="12"/>
      <c r="BA164" s="12"/>
      <c r="BB164" s="12"/>
    </row>
    <row r="165" spans="51:54" ht="15.75" customHeight="1">
      <c r="AY165" s="12"/>
      <c r="BA165" s="12"/>
      <c r="BB165" s="12"/>
    </row>
    <row r="166" spans="51:54" ht="15.75" customHeight="1">
      <c r="AY166" s="12"/>
      <c r="BA166" s="12"/>
      <c r="BB166" s="12"/>
    </row>
    <row r="167" spans="51:54" ht="15.75" customHeight="1">
      <c r="AY167" s="12"/>
      <c r="BA167" s="12"/>
      <c r="BB167" s="12"/>
    </row>
    <row r="168" spans="51:54" ht="15.75" customHeight="1">
      <c r="AY168" s="12"/>
      <c r="BA168" s="12"/>
      <c r="BB168" s="12"/>
    </row>
    <row r="169" spans="51:54" ht="15.75" customHeight="1">
      <c r="AY169" s="12"/>
      <c r="BA169" s="12"/>
      <c r="BB169" s="12"/>
    </row>
    <row r="170" spans="51:54" ht="15.75" customHeight="1">
      <c r="AY170" s="12"/>
      <c r="BA170" s="12"/>
      <c r="BB170" s="12"/>
    </row>
    <row r="171" spans="51:54" ht="15.75" customHeight="1">
      <c r="AY171" s="12"/>
      <c r="BA171" s="12"/>
      <c r="BB171" s="12"/>
    </row>
    <row r="172" spans="51:54" ht="15.75" customHeight="1">
      <c r="AY172" s="12"/>
      <c r="BA172" s="12"/>
      <c r="BB172" s="12"/>
    </row>
    <row r="173" spans="51:54" ht="15.75" customHeight="1">
      <c r="AY173" s="12"/>
      <c r="BA173" s="12"/>
      <c r="BB173" s="12"/>
    </row>
    <row r="174" spans="51:54" ht="15.75" customHeight="1">
      <c r="AY174" s="12"/>
      <c r="BA174" s="12"/>
      <c r="BB174" s="12"/>
    </row>
    <row r="175" spans="51:54" ht="15.75" customHeight="1">
      <c r="AY175" s="12"/>
      <c r="BA175" s="12"/>
      <c r="BB175" s="12"/>
    </row>
    <row r="176" spans="51:54" ht="15.75" customHeight="1">
      <c r="AY176" s="12"/>
      <c r="BA176" s="12"/>
      <c r="BB176" s="12"/>
    </row>
    <row r="177" spans="51:54" ht="15.75" customHeight="1">
      <c r="AY177" s="12"/>
      <c r="BA177" s="12"/>
      <c r="BB177" s="12"/>
    </row>
    <row r="178" spans="51:54" ht="15.75" customHeight="1">
      <c r="AY178" s="12"/>
      <c r="BA178" s="12"/>
      <c r="BB178" s="12"/>
    </row>
    <row r="179" spans="51:54" ht="15.75" customHeight="1">
      <c r="AY179" s="12"/>
      <c r="BA179" s="12"/>
      <c r="BB179" s="12"/>
    </row>
    <row r="180" spans="51:54" ht="15.75" customHeight="1">
      <c r="AY180" s="12"/>
      <c r="BA180" s="12"/>
      <c r="BB180" s="12"/>
    </row>
    <row r="181" spans="51:54" ht="15.75" customHeight="1">
      <c r="AY181" s="12"/>
      <c r="BA181" s="12"/>
      <c r="BB181" s="12"/>
    </row>
    <row r="182" spans="51:54" ht="15.75" customHeight="1">
      <c r="AY182" s="12"/>
      <c r="BA182" s="12"/>
      <c r="BB182" s="12"/>
    </row>
    <row r="183" spans="51:54" ht="15.75" customHeight="1">
      <c r="AY183" s="12"/>
      <c r="BA183" s="12"/>
      <c r="BB183" s="12"/>
    </row>
    <row r="184" spans="51:54" ht="15.75" customHeight="1">
      <c r="AY184" s="12"/>
      <c r="BA184" s="12"/>
      <c r="BB184" s="12"/>
    </row>
    <row r="185" spans="51:54" ht="15.75" customHeight="1">
      <c r="AY185" s="12"/>
      <c r="BA185" s="12"/>
      <c r="BB185" s="12"/>
    </row>
    <row r="186" spans="51:54" ht="15.75" customHeight="1">
      <c r="AY186" s="12"/>
      <c r="BA186" s="12"/>
      <c r="BB186" s="12"/>
    </row>
    <row r="187" spans="51:54" ht="15.75" customHeight="1">
      <c r="AY187" s="12"/>
      <c r="BA187" s="12"/>
      <c r="BB187" s="12"/>
    </row>
    <row r="188" spans="51:54" ht="15.75" customHeight="1">
      <c r="AY188" s="12"/>
      <c r="BA188" s="12"/>
      <c r="BB188" s="12"/>
    </row>
    <row r="189" spans="51:54" ht="15.75" customHeight="1">
      <c r="AY189" s="12"/>
      <c r="BA189" s="12"/>
      <c r="BB189" s="12"/>
    </row>
    <row r="190" spans="51:54" ht="15.75" customHeight="1">
      <c r="AY190" s="12"/>
      <c r="BA190" s="12"/>
      <c r="BB190" s="12"/>
    </row>
    <row r="191" spans="51:54" ht="15.75" customHeight="1">
      <c r="AY191" s="12"/>
      <c r="BA191" s="12"/>
      <c r="BB191" s="12"/>
    </row>
    <row r="192" spans="51:54" ht="15.75" customHeight="1">
      <c r="AY192" s="12"/>
      <c r="BA192" s="12"/>
      <c r="BB192" s="12"/>
    </row>
    <row r="193" spans="51:54" ht="15.75" customHeight="1">
      <c r="AY193" s="12"/>
      <c r="BA193" s="12"/>
      <c r="BB193" s="12"/>
    </row>
    <row r="194" spans="51:54" ht="15.75" customHeight="1">
      <c r="AY194" s="12"/>
      <c r="BA194" s="12"/>
      <c r="BB194" s="12"/>
    </row>
    <row r="195" spans="51:54" ht="15.75" customHeight="1">
      <c r="AY195" s="12"/>
      <c r="BA195" s="12"/>
      <c r="BB195" s="12"/>
    </row>
    <row r="196" spans="51:54" ht="15.75" customHeight="1">
      <c r="AY196" s="12"/>
      <c r="BA196" s="12"/>
      <c r="BB196" s="12"/>
    </row>
    <row r="197" spans="51:54" ht="15.75" customHeight="1">
      <c r="AY197" s="12"/>
      <c r="BA197" s="12"/>
      <c r="BB197" s="12"/>
    </row>
    <row r="198" spans="51:54" ht="15.75" customHeight="1">
      <c r="AY198" s="12"/>
      <c r="BA198" s="12"/>
      <c r="BB198" s="12"/>
    </row>
    <row r="199" spans="51:54" ht="15.75" customHeight="1">
      <c r="AY199" s="12"/>
      <c r="BA199" s="12"/>
      <c r="BB199" s="12"/>
    </row>
    <row r="200" spans="51:54" ht="15.75" customHeight="1">
      <c r="AY200" s="12"/>
      <c r="BA200" s="12"/>
      <c r="BB200" s="12"/>
    </row>
    <row r="201" spans="51:54" ht="15.75" customHeight="1">
      <c r="AY201" s="12"/>
      <c r="BA201" s="12"/>
      <c r="BB201" s="12"/>
    </row>
    <row r="202" spans="51:54" ht="15.75" customHeight="1">
      <c r="AY202" s="12"/>
      <c r="BA202" s="12"/>
      <c r="BB202" s="12"/>
    </row>
    <row r="203" spans="51:54" ht="15.75" customHeight="1">
      <c r="AY203" s="12"/>
      <c r="BA203" s="12"/>
      <c r="BB203" s="12"/>
    </row>
    <row r="204" spans="51:54" ht="15.75" customHeight="1">
      <c r="AY204" s="12"/>
      <c r="BA204" s="12"/>
      <c r="BB204" s="12"/>
    </row>
    <row r="205" spans="51:54" ht="15.75" customHeight="1">
      <c r="AY205" s="12"/>
      <c r="BA205" s="12"/>
      <c r="BB205" s="12"/>
    </row>
    <row r="206" spans="51:54" ht="15.75" customHeight="1">
      <c r="AY206" s="12"/>
      <c r="BA206" s="12"/>
      <c r="BB206" s="12"/>
    </row>
    <row r="207" spans="51:54" ht="15.75" customHeight="1">
      <c r="AY207" s="12"/>
      <c r="BA207" s="12"/>
      <c r="BB207" s="12"/>
    </row>
    <row r="208" spans="51:54" ht="15.75" customHeight="1">
      <c r="AY208" s="12"/>
      <c r="BA208" s="12"/>
      <c r="BB208" s="12"/>
    </row>
    <row r="209" spans="51:54" ht="15.75" customHeight="1">
      <c r="AY209" s="12"/>
      <c r="BA209" s="12"/>
      <c r="BB209" s="12"/>
    </row>
    <row r="210" spans="51:54" ht="15.75" customHeight="1">
      <c r="AY210" s="12"/>
      <c r="BA210" s="12"/>
      <c r="BB210" s="12"/>
    </row>
    <row r="211" spans="51:54" ht="15.75" customHeight="1">
      <c r="AY211" s="12"/>
      <c r="BA211" s="12"/>
      <c r="BB211" s="12"/>
    </row>
    <row r="212" spans="51:54" ht="15.75" customHeight="1">
      <c r="AY212" s="12"/>
      <c r="BA212" s="12"/>
      <c r="BB212" s="12"/>
    </row>
    <row r="213" spans="51:54" ht="15.75" customHeight="1">
      <c r="AY213" s="12"/>
      <c r="BA213" s="12"/>
      <c r="BB213" s="12"/>
    </row>
    <row r="214" spans="51:54" ht="15.75" customHeight="1">
      <c r="AY214" s="12"/>
      <c r="BA214" s="12"/>
      <c r="BB214" s="12"/>
    </row>
    <row r="215" spans="51:54" ht="15.75" customHeight="1">
      <c r="AY215" s="12"/>
      <c r="BA215" s="12"/>
      <c r="BB215" s="12"/>
    </row>
    <row r="216" spans="51:54" ht="15.75" customHeight="1">
      <c r="AY216" s="12"/>
      <c r="BA216" s="12"/>
      <c r="BB216" s="12"/>
    </row>
    <row r="217" spans="51:54" ht="15.75" customHeight="1">
      <c r="AY217" s="12"/>
      <c r="BA217" s="12"/>
      <c r="BB217" s="12"/>
    </row>
    <row r="218" spans="51:54" ht="15.75" customHeight="1">
      <c r="AY218" s="12"/>
      <c r="BA218" s="12"/>
      <c r="BB218" s="12"/>
    </row>
    <row r="219" spans="51:54" ht="15.75" customHeight="1">
      <c r="AY219" s="12"/>
      <c r="BA219" s="12"/>
      <c r="BB219" s="12"/>
    </row>
    <row r="220" spans="51:54" ht="15.75" customHeight="1">
      <c r="AY220" s="12"/>
      <c r="BA220" s="12"/>
      <c r="BB220" s="12"/>
    </row>
    <row r="221" spans="51:54" ht="15.75" customHeight="1">
      <c r="AY221" s="12"/>
      <c r="BA221" s="12"/>
      <c r="BB221" s="12"/>
    </row>
    <row r="222" spans="51:54" ht="15.75" customHeight="1">
      <c r="AY222" s="12"/>
      <c r="BA222" s="12"/>
      <c r="BB222" s="12"/>
    </row>
    <row r="223" spans="51:54" ht="15.75" customHeight="1">
      <c r="AY223" s="12"/>
      <c r="BA223" s="12"/>
      <c r="BB223" s="12"/>
    </row>
    <row r="224" spans="51:54" ht="15.75" customHeight="1">
      <c r="AY224" s="12"/>
      <c r="BA224" s="12"/>
      <c r="BB224" s="12"/>
    </row>
    <row r="225" spans="51:54" ht="15.75" customHeight="1">
      <c r="AY225" s="12"/>
      <c r="BA225" s="12"/>
      <c r="BB225" s="12"/>
    </row>
    <row r="226" spans="51:54" ht="15.75" customHeight="1">
      <c r="AY226" s="12"/>
      <c r="BA226" s="12"/>
      <c r="BB226" s="12"/>
    </row>
    <row r="227" spans="51:54" ht="15.75" customHeight="1">
      <c r="AY227" s="12"/>
      <c r="BA227" s="12"/>
      <c r="BB227" s="12"/>
    </row>
    <row r="228" spans="51:54" ht="15.75" customHeight="1">
      <c r="AY228" s="12"/>
      <c r="BA228" s="12"/>
      <c r="BB228" s="12"/>
    </row>
    <row r="229" spans="51:54" ht="15.75" customHeight="1">
      <c r="AY229" s="12"/>
      <c r="BA229" s="12"/>
      <c r="BB229" s="12"/>
    </row>
    <row r="230" spans="51:54" ht="15.75" customHeight="1">
      <c r="AY230" s="12"/>
      <c r="BA230" s="12"/>
      <c r="BB230" s="12"/>
    </row>
    <row r="231" spans="51:54" ht="15.75" customHeight="1">
      <c r="AY231" s="12"/>
      <c r="BA231" s="12"/>
      <c r="BB231" s="12"/>
    </row>
    <row r="232" spans="51:54" ht="15.75" customHeight="1">
      <c r="AY232" s="12"/>
      <c r="BA232" s="12"/>
      <c r="BB232" s="12"/>
    </row>
    <row r="233" spans="51:54" ht="15.75" customHeight="1">
      <c r="AY233" s="12"/>
      <c r="BA233" s="12"/>
      <c r="BB233" s="12"/>
    </row>
    <row r="234" spans="51:54" ht="15.75" customHeight="1">
      <c r="AY234" s="12"/>
      <c r="BA234" s="12"/>
      <c r="BB234" s="12"/>
    </row>
    <row r="235" spans="51:54" ht="15.75" customHeight="1">
      <c r="AY235" s="12"/>
      <c r="BA235" s="12"/>
      <c r="BB235" s="12"/>
    </row>
    <row r="236" spans="51:54" ht="15.75" customHeight="1">
      <c r="AY236" s="12"/>
      <c r="BA236" s="12"/>
      <c r="BB236" s="12"/>
    </row>
    <row r="237" spans="51:54" ht="15.75" customHeight="1">
      <c r="AY237" s="12"/>
      <c r="BA237" s="12"/>
      <c r="BB237" s="12"/>
    </row>
    <row r="238" spans="51:54" ht="15.75" customHeight="1">
      <c r="AY238" s="12"/>
      <c r="BA238" s="12"/>
      <c r="BB238" s="12"/>
    </row>
    <row r="239" spans="51:54" ht="15.75" customHeight="1">
      <c r="AY239" s="12"/>
      <c r="BA239" s="12"/>
      <c r="BB239" s="12"/>
    </row>
    <row r="240" spans="51:54" ht="15.75" customHeight="1">
      <c r="AY240" s="12"/>
      <c r="BA240" s="12"/>
      <c r="BB240" s="12"/>
    </row>
    <row r="241" spans="51:54" ht="15.75" customHeight="1">
      <c r="AY241" s="12"/>
      <c r="BA241" s="12"/>
      <c r="BB241" s="12"/>
    </row>
    <row r="242" spans="51:54" ht="15.75" customHeight="1">
      <c r="AY242" s="12"/>
      <c r="BA242" s="12"/>
      <c r="BB242" s="12"/>
    </row>
    <row r="243" spans="51:54" ht="15.75" customHeight="1">
      <c r="AY243" s="12"/>
      <c r="BA243" s="12"/>
      <c r="BB243" s="12"/>
    </row>
    <row r="244" spans="51:54" ht="15.75" customHeight="1">
      <c r="AY244" s="12"/>
      <c r="BA244" s="12"/>
      <c r="BB244" s="12"/>
    </row>
    <row r="245" spans="51:54" ht="15.75" customHeight="1">
      <c r="AY245" s="12"/>
      <c r="BA245" s="12"/>
      <c r="BB245" s="12"/>
    </row>
    <row r="246" spans="51:54" ht="15.75" customHeight="1">
      <c r="AY246" s="12"/>
      <c r="BA246" s="12"/>
      <c r="BB246" s="12"/>
    </row>
    <row r="247" spans="51:54" ht="15.75" customHeight="1">
      <c r="AY247" s="12"/>
      <c r="BA247" s="12"/>
      <c r="BB247" s="12"/>
    </row>
    <row r="248" spans="51:54" ht="15.75" customHeight="1">
      <c r="AY248" s="12"/>
      <c r="BA248" s="12"/>
      <c r="BB248" s="12"/>
    </row>
    <row r="249" spans="51:54" ht="15.75" customHeight="1">
      <c r="AY249" s="12"/>
      <c r="BA249" s="12"/>
      <c r="BB249" s="12"/>
    </row>
    <row r="250" spans="51:54" ht="15.75" customHeight="1">
      <c r="AY250" s="12"/>
      <c r="BA250" s="12"/>
      <c r="BB250" s="12"/>
    </row>
    <row r="251" spans="51:54" ht="15.75" customHeight="1">
      <c r="AY251" s="12"/>
      <c r="BA251" s="12"/>
      <c r="BB251" s="12"/>
    </row>
    <row r="252" spans="51:54" ht="15.75" customHeight="1">
      <c r="AY252" s="12"/>
      <c r="BA252" s="12"/>
      <c r="BB252" s="12"/>
    </row>
    <row r="253" spans="51:54" ht="15.75" customHeight="1">
      <c r="AY253" s="12"/>
      <c r="BA253" s="12"/>
      <c r="BB253" s="12"/>
    </row>
    <row r="254" spans="51:54" ht="15.75" customHeight="1">
      <c r="AY254" s="12"/>
      <c r="BA254" s="12"/>
      <c r="BB254" s="12"/>
    </row>
    <row r="255" spans="51:54" ht="15.75" customHeight="1">
      <c r="AY255" s="12"/>
      <c r="BA255" s="12"/>
      <c r="BB255" s="12"/>
    </row>
    <row r="256" spans="51:54" ht="15.75" customHeight="1">
      <c r="AY256" s="12"/>
      <c r="BA256" s="12"/>
      <c r="BB256" s="12"/>
    </row>
    <row r="257" spans="51:54" ht="15.75" customHeight="1">
      <c r="AY257" s="12"/>
      <c r="BA257" s="12"/>
      <c r="BB257" s="12"/>
    </row>
    <row r="258" spans="51:54" ht="15.75" customHeight="1">
      <c r="AY258" s="12"/>
      <c r="BA258" s="12"/>
      <c r="BB258" s="12"/>
    </row>
    <row r="259" spans="51:54" ht="15.75" customHeight="1">
      <c r="AY259" s="12"/>
      <c r="BA259" s="12"/>
      <c r="BB259" s="12"/>
    </row>
    <row r="260" spans="51:54" ht="15.75" customHeight="1">
      <c r="AY260" s="12"/>
      <c r="BA260" s="12"/>
      <c r="BB260" s="12"/>
    </row>
    <row r="261" spans="51:54" ht="15.75" customHeight="1">
      <c r="AY261" s="12"/>
      <c r="BA261" s="12"/>
      <c r="BB261" s="12"/>
    </row>
    <row r="262" spans="51:54" ht="15.75" customHeight="1">
      <c r="AY262" s="12"/>
      <c r="BA262" s="12"/>
      <c r="BB262" s="12"/>
    </row>
    <row r="263" spans="51:54" ht="15.75" customHeight="1">
      <c r="AY263" s="12"/>
      <c r="BA263" s="12"/>
      <c r="BB263" s="12"/>
    </row>
    <row r="264" spans="51:54" ht="15.75" customHeight="1">
      <c r="AY264" s="12"/>
      <c r="BA264" s="12"/>
      <c r="BB264" s="12"/>
    </row>
    <row r="265" spans="51:54" ht="15.75" customHeight="1">
      <c r="AY265" s="12"/>
      <c r="BA265" s="12"/>
      <c r="BB265" s="12"/>
    </row>
    <row r="266" spans="51:54" ht="15.75" customHeight="1">
      <c r="AY266" s="12"/>
      <c r="BA266" s="12"/>
      <c r="BB266" s="12"/>
    </row>
    <row r="267" spans="51:54" ht="15.75" customHeight="1">
      <c r="AY267" s="12"/>
      <c r="BA267" s="12"/>
      <c r="BB267" s="12"/>
    </row>
    <row r="268" spans="51:54" ht="15.75" customHeight="1">
      <c r="AY268" s="12"/>
      <c r="BA268" s="12"/>
      <c r="BB268" s="12"/>
    </row>
    <row r="269" spans="51:54" ht="15.75" customHeight="1">
      <c r="AY269" s="12"/>
      <c r="BA269" s="12"/>
      <c r="BB269" s="12"/>
    </row>
    <row r="270" spans="51:54" ht="15.75" customHeight="1">
      <c r="AY270" s="12"/>
      <c r="BA270" s="12"/>
      <c r="BB270" s="12"/>
    </row>
    <row r="271" spans="51:54" ht="15.75" customHeight="1">
      <c r="AY271" s="12"/>
      <c r="BA271" s="12"/>
      <c r="BB271" s="12"/>
    </row>
    <row r="272" spans="51:54" ht="15.75" customHeight="1">
      <c r="AY272" s="12"/>
      <c r="BA272" s="12"/>
      <c r="BB272" s="12"/>
    </row>
    <row r="273" spans="51:54" ht="15.75" customHeight="1">
      <c r="AY273" s="12"/>
      <c r="BA273" s="12"/>
      <c r="BB273" s="12"/>
    </row>
    <row r="274" spans="51:54" ht="15.75" customHeight="1">
      <c r="AY274" s="12"/>
      <c r="BA274" s="12"/>
      <c r="BB274" s="12"/>
    </row>
    <row r="275" spans="51:54" ht="15.75" customHeight="1">
      <c r="AY275" s="12"/>
      <c r="BA275" s="12"/>
      <c r="BB275" s="12"/>
    </row>
    <row r="276" spans="51:54" ht="15.75" customHeight="1">
      <c r="AY276" s="12"/>
      <c r="BA276" s="12"/>
      <c r="BB276" s="12"/>
    </row>
    <row r="277" spans="51:54" ht="15.75" customHeight="1">
      <c r="AY277" s="12"/>
      <c r="BA277" s="12"/>
      <c r="BB277" s="12"/>
    </row>
    <row r="278" spans="51:54" ht="15.75" customHeight="1">
      <c r="AY278" s="12"/>
      <c r="BA278" s="12"/>
      <c r="BB278" s="12"/>
    </row>
    <row r="279" spans="51:54" ht="15.75" customHeight="1">
      <c r="AY279" s="12"/>
      <c r="BA279" s="12"/>
      <c r="BB279" s="12"/>
    </row>
    <row r="280" spans="51:54" ht="15.75" customHeight="1">
      <c r="AY280" s="12"/>
      <c r="BA280" s="12"/>
      <c r="BB280" s="12"/>
    </row>
    <row r="281" spans="51:54" ht="15.75" customHeight="1">
      <c r="AY281" s="12"/>
      <c r="BA281" s="12"/>
      <c r="BB281" s="12"/>
    </row>
    <row r="282" spans="51:54" ht="15.75" customHeight="1">
      <c r="AY282" s="12"/>
      <c r="BA282" s="12"/>
      <c r="BB282" s="12"/>
    </row>
    <row r="283" spans="51:54" ht="15.75" customHeight="1">
      <c r="AY283" s="12"/>
      <c r="BA283" s="12"/>
      <c r="BB283" s="12"/>
    </row>
    <row r="284" spans="51:54" ht="15.75" customHeight="1">
      <c r="AY284" s="12"/>
      <c r="BA284" s="12"/>
      <c r="BB284" s="12"/>
    </row>
    <row r="285" spans="51:54" ht="15.75" customHeight="1">
      <c r="AY285" s="12"/>
      <c r="BA285" s="12"/>
      <c r="BB285" s="12"/>
    </row>
    <row r="286" spans="51:54" ht="15.75" customHeight="1">
      <c r="AY286" s="12"/>
      <c r="BA286" s="12"/>
      <c r="BB286" s="12"/>
    </row>
    <row r="287" spans="51:54" ht="15.75" customHeight="1">
      <c r="AY287" s="12"/>
      <c r="BA287" s="12"/>
      <c r="BB287" s="12"/>
    </row>
    <row r="288" spans="51:54" ht="15.75" customHeight="1">
      <c r="AY288" s="12"/>
      <c r="BA288" s="12"/>
      <c r="BB288" s="12"/>
    </row>
    <row r="289" spans="51:54" ht="15.75" customHeight="1">
      <c r="AY289" s="12"/>
      <c r="BA289" s="12"/>
      <c r="BB289" s="12"/>
    </row>
    <row r="290" spans="51:54" ht="15.75" customHeight="1">
      <c r="AY290" s="12"/>
      <c r="BA290" s="12"/>
      <c r="BB290" s="12"/>
    </row>
    <row r="291" spans="51:54" ht="15.75" customHeight="1">
      <c r="AY291" s="12"/>
      <c r="BA291" s="12"/>
      <c r="BB291" s="12"/>
    </row>
    <row r="292" spans="51:54" ht="15.75" customHeight="1">
      <c r="AY292" s="12"/>
      <c r="BA292" s="12"/>
      <c r="BB292" s="12"/>
    </row>
    <row r="293" spans="51:54" ht="15.75" customHeight="1">
      <c r="AY293" s="12"/>
      <c r="BA293" s="12"/>
      <c r="BB293" s="12"/>
    </row>
    <row r="294" spans="51:54" ht="15.75" customHeight="1">
      <c r="AY294" s="12"/>
      <c r="BA294" s="12"/>
      <c r="BB294" s="12"/>
    </row>
    <row r="295" spans="51:54" ht="15.75" customHeight="1">
      <c r="AY295" s="12"/>
      <c r="BA295" s="12"/>
      <c r="BB295" s="12"/>
    </row>
    <row r="296" spans="51:54" ht="15.75" customHeight="1">
      <c r="AY296" s="12"/>
      <c r="BA296" s="12"/>
      <c r="BB296" s="12"/>
    </row>
    <row r="297" spans="51:54" ht="15.75" customHeight="1">
      <c r="AY297" s="12"/>
      <c r="BA297" s="12"/>
      <c r="BB297" s="12"/>
    </row>
    <row r="298" spans="51:54" ht="15.75" customHeight="1">
      <c r="AY298" s="12"/>
      <c r="BA298" s="12"/>
      <c r="BB298" s="12"/>
    </row>
    <row r="299" spans="51:54" ht="15.75" customHeight="1">
      <c r="AY299" s="12"/>
      <c r="BA299" s="12"/>
      <c r="BB299" s="12"/>
    </row>
    <row r="300" spans="51:54" ht="15.75" customHeight="1">
      <c r="AY300" s="12"/>
      <c r="BA300" s="12"/>
      <c r="BB300" s="12"/>
    </row>
    <row r="301" spans="51:54" ht="15.75" customHeight="1">
      <c r="AY301" s="12"/>
      <c r="BA301" s="12"/>
      <c r="BB301" s="12"/>
    </row>
    <row r="302" spans="51:54" ht="15.75" customHeight="1">
      <c r="AY302" s="12"/>
      <c r="BA302" s="12"/>
      <c r="BB302" s="12"/>
    </row>
    <row r="303" spans="51:54" ht="15.75" customHeight="1">
      <c r="AY303" s="12"/>
      <c r="BA303" s="12"/>
      <c r="BB303" s="12"/>
    </row>
    <row r="304" spans="51:54" ht="15.75" customHeight="1">
      <c r="AY304" s="12"/>
      <c r="BA304" s="12"/>
      <c r="BB304" s="12"/>
    </row>
    <row r="305" spans="51:54" ht="15.75" customHeight="1">
      <c r="AY305" s="12"/>
      <c r="BA305" s="12"/>
      <c r="BB305" s="12"/>
    </row>
    <row r="306" spans="51:54" ht="15.75" customHeight="1">
      <c r="AY306" s="12"/>
      <c r="BA306" s="12"/>
      <c r="BB306" s="12"/>
    </row>
    <row r="307" spans="51:54" ht="15.75" customHeight="1">
      <c r="AY307" s="12"/>
      <c r="BA307" s="12"/>
      <c r="BB307" s="12"/>
    </row>
    <row r="308" spans="51:54" ht="15.75" customHeight="1">
      <c r="AY308" s="12"/>
      <c r="BA308" s="12"/>
      <c r="BB308" s="12"/>
    </row>
    <row r="309" spans="51:54" ht="15.75" customHeight="1">
      <c r="AY309" s="12"/>
      <c r="BA309" s="12"/>
      <c r="BB309" s="12"/>
    </row>
    <row r="310" spans="51:54" ht="15.75" customHeight="1">
      <c r="AY310" s="12"/>
      <c r="BA310" s="12"/>
      <c r="BB310" s="12"/>
    </row>
    <row r="311" spans="51:54" ht="15.75" customHeight="1">
      <c r="AY311" s="12"/>
      <c r="BA311" s="12"/>
      <c r="BB311" s="12"/>
    </row>
    <row r="312" spans="51:54" ht="15.75" customHeight="1">
      <c r="AY312" s="12"/>
      <c r="BA312" s="12"/>
      <c r="BB312" s="12"/>
    </row>
    <row r="313" spans="51:54" ht="15.75" customHeight="1">
      <c r="AY313" s="12"/>
      <c r="BA313" s="12"/>
      <c r="BB313" s="12"/>
    </row>
    <row r="314" spans="51:54" ht="15.75" customHeight="1">
      <c r="AY314" s="12"/>
      <c r="BA314" s="12"/>
      <c r="BB314" s="12"/>
    </row>
    <row r="315" spans="51:54" ht="15.75" customHeight="1">
      <c r="AY315" s="12"/>
      <c r="BA315" s="12"/>
      <c r="BB315" s="12"/>
    </row>
    <row r="316" spans="51:54" ht="15.75" customHeight="1">
      <c r="AY316" s="12"/>
      <c r="BA316" s="12"/>
      <c r="BB316" s="12"/>
    </row>
    <row r="317" spans="51:54" ht="15.75" customHeight="1">
      <c r="AY317" s="12"/>
      <c r="BA317" s="12"/>
      <c r="BB317" s="12"/>
    </row>
    <row r="318" spans="51:54" ht="15.75" customHeight="1">
      <c r="AY318" s="12"/>
      <c r="BA318" s="12"/>
      <c r="BB318" s="12"/>
    </row>
    <row r="319" spans="51:54" ht="15.75" customHeight="1">
      <c r="AY319" s="12"/>
      <c r="BA319" s="12"/>
      <c r="BB319" s="12"/>
    </row>
    <row r="320" spans="51:54" ht="15.75" customHeight="1">
      <c r="AY320" s="12"/>
      <c r="BA320" s="12"/>
      <c r="BB320" s="12"/>
    </row>
    <row r="321" spans="51:54" ht="15.75" customHeight="1">
      <c r="AY321" s="12"/>
      <c r="BA321" s="12"/>
      <c r="BB321" s="12"/>
    </row>
    <row r="322" spans="51:54" ht="15.75" customHeight="1">
      <c r="AY322" s="12"/>
      <c r="BA322" s="12"/>
      <c r="BB322" s="12"/>
    </row>
    <row r="323" spans="51:54" ht="15.75" customHeight="1">
      <c r="AY323" s="12"/>
      <c r="BA323" s="12"/>
      <c r="BB323" s="12"/>
    </row>
    <row r="324" spans="51:54" ht="15.75" customHeight="1">
      <c r="AY324" s="12"/>
      <c r="BA324" s="12"/>
      <c r="BB324" s="12"/>
    </row>
    <row r="325" spans="51:54" ht="15.75" customHeight="1">
      <c r="AY325" s="12"/>
      <c r="BA325" s="12"/>
      <c r="BB325" s="12"/>
    </row>
    <row r="326" spans="51:54" ht="15.75" customHeight="1">
      <c r="AY326" s="12"/>
      <c r="BA326" s="12"/>
      <c r="BB326" s="12"/>
    </row>
    <row r="327" spans="51:54" ht="15.75" customHeight="1">
      <c r="AY327" s="12"/>
      <c r="BA327" s="12"/>
      <c r="BB327" s="12"/>
    </row>
    <row r="328" spans="51:54" ht="15.75" customHeight="1">
      <c r="AY328" s="12"/>
      <c r="BA328" s="12"/>
      <c r="BB328" s="12"/>
    </row>
    <row r="329" spans="51:54" ht="15.75" customHeight="1">
      <c r="AY329" s="12"/>
      <c r="BA329" s="12"/>
      <c r="BB329" s="12"/>
    </row>
    <row r="330" spans="51:54" ht="15.75" customHeight="1">
      <c r="AY330" s="12"/>
      <c r="BA330" s="12"/>
      <c r="BB330" s="12"/>
    </row>
    <row r="331" spans="51:54" ht="15.75" customHeight="1">
      <c r="AY331" s="12"/>
      <c r="BA331" s="12"/>
      <c r="BB331" s="12"/>
    </row>
    <row r="332" spans="51:54" ht="15.75" customHeight="1">
      <c r="AY332" s="12"/>
      <c r="BA332" s="12"/>
      <c r="BB332" s="12"/>
    </row>
    <row r="333" spans="51:54" ht="15.75" customHeight="1">
      <c r="AY333" s="12"/>
      <c r="BA333" s="12"/>
      <c r="BB333" s="12"/>
    </row>
    <row r="334" spans="51:54" ht="15.75" customHeight="1">
      <c r="AY334" s="12"/>
      <c r="BA334" s="12"/>
      <c r="BB334" s="12"/>
    </row>
    <row r="335" spans="51:54" ht="15.75" customHeight="1">
      <c r="AY335" s="12"/>
      <c r="BA335" s="12"/>
      <c r="BB335" s="12"/>
    </row>
    <row r="336" spans="51:54" ht="15.75" customHeight="1">
      <c r="AY336" s="12"/>
      <c r="BA336" s="12"/>
      <c r="BB336" s="12"/>
    </row>
    <row r="337" spans="51:54" ht="15.75" customHeight="1">
      <c r="AY337" s="12"/>
      <c r="BA337" s="12"/>
      <c r="BB337" s="12"/>
    </row>
    <row r="338" spans="51:54" ht="15.75" customHeight="1">
      <c r="AY338" s="12"/>
      <c r="BA338" s="12"/>
      <c r="BB338" s="12"/>
    </row>
    <row r="339" spans="51:54" ht="15.75" customHeight="1">
      <c r="AY339" s="12"/>
      <c r="BA339" s="12"/>
      <c r="BB339" s="12"/>
    </row>
    <row r="340" spans="51:54" ht="15.75" customHeight="1">
      <c r="AY340" s="12"/>
      <c r="BA340" s="12"/>
      <c r="BB340" s="12"/>
    </row>
    <row r="341" spans="51:54" ht="15.75" customHeight="1">
      <c r="AY341" s="12"/>
      <c r="BA341" s="12"/>
      <c r="BB341" s="12"/>
    </row>
    <row r="342" spans="51:54" ht="15.75" customHeight="1">
      <c r="AY342" s="12"/>
      <c r="BA342" s="12"/>
      <c r="BB342" s="12"/>
    </row>
    <row r="343" spans="51:54" ht="15.75" customHeight="1">
      <c r="AY343" s="12"/>
      <c r="BA343" s="12"/>
      <c r="BB343" s="12"/>
    </row>
    <row r="344" spans="51:54" ht="15.75" customHeight="1">
      <c r="AY344" s="12"/>
      <c r="BA344" s="12"/>
      <c r="BB344" s="12"/>
    </row>
    <row r="345" spans="51:54" ht="15.75" customHeight="1">
      <c r="AY345" s="12"/>
      <c r="BA345" s="12"/>
      <c r="BB345" s="12"/>
    </row>
    <row r="346" spans="51:54" ht="15.75" customHeight="1">
      <c r="AY346" s="12"/>
      <c r="BA346" s="12"/>
      <c r="BB346" s="12"/>
    </row>
    <row r="347" spans="51:54" ht="15.75" customHeight="1">
      <c r="AY347" s="12"/>
      <c r="BA347" s="12"/>
      <c r="BB347" s="12"/>
    </row>
    <row r="348" spans="51:54" ht="15.75" customHeight="1">
      <c r="AY348" s="12"/>
      <c r="BA348" s="12"/>
      <c r="BB348" s="12"/>
    </row>
    <row r="349" spans="51:54" ht="15.75" customHeight="1">
      <c r="AY349" s="12"/>
      <c r="BA349" s="12"/>
      <c r="BB349" s="12"/>
    </row>
    <row r="350" spans="51:54" ht="15.75" customHeight="1">
      <c r="AY350" s="12"/>
      <c r="BA350" s="12"/>
      <c r="BB350" s="12"/>
    </row>
    <row r="351" spans="51:54" ht="15.75" customHeight="1">
      <c r="AY351" s="12"/>
      <c r="BA351" s="12"/>
      <c r="BB351" s="12"/>
    </row>
    <row r="352" spans="51:54" ht="15.75" customHeight="1">
      <c r="AY352" s="12"/>
      <c r="BA352" s="12"/>
      <c r="BB352" s="12"/>
    </row>
    <row r="353" spans="51:54" ht="15.75" customHeight="1">
      <c r="AY353" s="12"/>
      <c r="BA353" s="12"/>
      <c r="BB353" s="12"/>
    </row>
    <row r="354" spans="51:54" ht="15.75" customHeight="1">
      <c r="AY354" s="12"/>
      <c r="BA354" s="12"/>
      <c r="BB354" s="12"/>
    </row>
    <row r="355" spans="51:54" ht="15.75" customHeight="1">
      <c r="AY355" s="12"/>
      <c r="BA355" s="12"/>
      <c r="BB355" s="12"/>
    </row>
    <row r="356" spans="51:54" ht="15.75" customHeight="1">
      <c r="AY356" s="12"/>
      <c r="BA356" s="12"/>
      <c r="BB356" s="12"/>
    </row>
    <row r="357" spans="51:54" ht="15.75" customHeight="1">
      <c r="AY357" s="12"/>
      <c r="BA357" s="12"/>
      <c r="BB357" s="12"/>
    </row>
    <row r="358" spans="51:54" ht="15.75" customHeight="1">
      <c r="AY358" s="12"/>
      <c r="BA358" s="12"/>
      <c r="BB358" s="12"/>
    </row>
    <row r="359" spans="51:54" ht="15.75" customHeight="1">
      <c r="AY359" s="12"/>
      <c r="BA359" s="12"/>
      <c r="BB359" s="12"/>
    </row>
    <row r="360" spans="51:54" ht="15.75" customHeight="1">
      <c r="AY360" s="12"/>
      <c r="BA360" s="12"/>
      <c r="BB360" s="12"/>
    </row>
    <row r="361" spans="51:54" ht="15.75" customHeight="1">
      <c r="AY361" s="12"/>
      <c r="BA361" s="12"/>
      <c r="BB361" s="12"/>
    </row>
    <row r="362" spans="51:54" ht="15.75" customHeight="1">
      <c r="AY362" s="12"/>
      <c r="BA362" s="12"/>
      <c r="BB362" s="12"/>
    </row>
    <row r="363" spans="51:54" ht="15.75" customHeight="1">
      <c r="AY363" s="12"/>
      <c r="BA363" s="12"/>
      <c r="BB363" s="12"/>
    </row>
    <row r="364" spans="51:54" ht="15.75" customHeight="1">
      <c r="AY364" s="12"/>
      <c r="BA364" s="12"/>
      <c r="BB364" s="12"/>
    </row>
    <row r="365" spans="51:54" ht="15.75" customHeight="1">
      <c r="AY365" s="12"/>
      <c r="BA365" s="12"/>
      <c r="BB365" s="12"/>
    </row>
    <row r="366" spans="51:54" ht="15.75" customHeight="1">
      <c r="AY366" s="12"/>
      <c r="BA366" s="12"/>
      <c r="BB366" s="12"/>
    </row>
    <row r="367" spans="51:54" ht="15.75" customHeight="1">
      <c r="AY367" s="12"/>
      <c r="BA367" s="12"/>
      <c r="BB367" s="12"/>
    </row>
    <row r="368" spans="51:54" ht="15.75" customHeight="1">
      <c r="AY368" s="12"/>
      <c r="BA368" s="12"/>
      <c r="BB368" s="12"/>
    </row>
    <row r="369" spans="51:54" ht="15.75" customHeight="1">
      <c r="AY369" s="12"/>
      <c r="BA369" s="12"/>
      <c r="BB369" s="12"/>
    </row>
    <row r="370" spans="51:54" ht="15.75" customHeight="1">
      <c r="AY370" s="12"/>
      <c r="BA370" s="12"/>
      <c r="BB370" s="12"/>
    </row>
    <row r="371" spans="51:54" ht="15.75" customHeight="1">
      <c r="AY371" s="12"/>
      <c r="BA371" s="12"/>
      <c r="BB371" s="12"/>
    </row>
    <row r="372" spans="51:54" ht="15.75" customHeight="1">
      <c r="AY372" s="12"/>
      <c r="BA372" s="12"/>
      <c r="BB372" s="12"/>
    </row>
    <row r="373" spans="51:54" ht="15.75" customHeight="1">
      <c r="AY373" s="12"/>
      <c r="BA373" s="12"/>
      <c r="BB373" s="12"/>
    </row>
    <row r="374" spans="51:54" ht="15.75" customHeight="1">
      <c r="AY374" s="12"/>
      <c r="BA374" s="12"/>
      <c r="BB374" s="12"/>
    </row>
    <row r="375" spans="51:54" ht="15.75" customHeight="1">
      <c r="AY375" s="12"/>
      <c r="BA375" s="12"/>
      <c r="BB375" s="12"/>
    </row>
    <row r="376" spans="51:54" ht="15.75" customHeight="1">
      <c r="AY376" s="12"/>
      <c r="BA376" s="12"/>
      <c r="BB376" s="12"/>
    </row>
    <row r="377" spans="51:54" ht="15.75" customHeight="1">
      <c r="AY377" s="12"/>
      <c r="BA377" s="12"/>
      <c r="BB377" s="12"/>
    </row>
    <row r="378" spans="51:54" ht="15.75" customHeight="1">
      <c r="AY378" s="12"/>
      <c r="BA378" s="12"/>
      <c r="BB378" s="12"/>
    </row>
    <row r="379" spans="51:54" ht="15.75" customHeight="1">
      <c r="AY379" s="12"/>
      <c r="BA379" s="12"/>
      <c r="BB379" s="12"/>
    </row>
    <row r="380" spans="51:54" ht="15.75" customHeight="1">
      <c r="AY380" s="12"/>
      <c r="BA380" s="12"/>
      <c r="BB380" s="12"/>
    </row>
    <row r="381" spans="51:54" ht="15.75" customHeight="1">
      <c r="AY381" s="12"/>
      <c r="BA381" s="12"/>
      <c r="BB381" s="12"/>
    </row>
    <row r="382" spans="51:54" ht="15.75" customHeight="1">
      <c r="AY382" s="12"/>
      <c r="BA382" s="12"/>
      <c r="BB382" s="12"/>
    </row>
    <row r="383" spans="51:54" ht="15.75" customHeight="1">
      <c r="AY383" s="12"/>
      <c r="BA383" s="12"/>
      <c r="BB383" s="12"/>
    </row>
    <row r="384" spans="51:54" ht="15.75" customHeight="1">
      <c r="AY384" s="12"/>
      <c r="BA384" s="12"/>
      <c r="BB384" s="12"/>
    </row>
    <row r="385" spans="51:54" ht="15.75" customHeight="1">
      <c r="AY385" s="12"/>
      <c r="BA385" s="12"/>
      <c r="BB385" s="12"/>
    </row>
    <row r="386" spans="51:54" ht="15.75" customHeight="1">
      <c r="AY386" s="12"/>
      <c r="BA386" s="12"/>
      <c r="BB386" s="12"/>
    </row>
    <row r="387" spans="51:54" ht="15.75" customHeight="1">
      <c r="AY387" s="12"/>
      <c r="BA387" s="12"/>
      <c r="BB387" s="12"/>
    </row>
    <row r="388" spans="51:54" ht="15.75" customHeight="1">
      <c r="AY388" s="12"/>
      <c r="BA388" s="12"/>
      <c r="BB388" s="12"/>
    </row>
    <row r="389" spans="51:54" ht="15.75" customHeight="1">
      <c r="AY389" s="12"/>
      <c r="BA389" s="12"/>
      <c r="BB389" s="12"/>
    </row>
    <row r="390" spans="51:54" ht="15.75" customHeight="1">
      <c r="AY390" s="12"/>
      <c r="BA390" s="12"/>
      <c r="BB390" s="12"/>
    </row>
    <row r="391" spans="51:54" ht="15.75" customHeight="1">
      <c r="AY391" s="12"/>
      <c r="BA391" s="12"/>
      <c r="BB391" s="12"/>
    </row>
    <row r="392" spans="51:54" ht="15.75" customHeight="1">
      <c r="AY392" s="12"/>
      <c r="BA392" s="12"/>
      <c r="BB392" s="12"/>
    </row>
    <row r="393" spans="51:54" ht="15.75" customHeight="1">
      <c r="AY393" s="12"/>
      <c r="BA393" s="12"/>
      <c r="BB393" s="12"/>
    </row>
    <row r="394" spans="51:54" ht="15.75" customHeight="1">
      <c r="AY394" s="12"/>
      <c r="BA394" s="12"/>
      <c r="BB394" s="12"/>
    </row>
    <row r="395" spans="51:54" ht="15.75" customHeight="1">
      <c r="AY395" s="12"/>
      <c r="BA395" s="12"/>
      <c r="BB395" s="12"/>
    </row>
    <row r="396" spans="51:54" ht="15.75" customHeight="1">
      <c r="AY396" s="12"/>
      <c r="BA396" s="12"/>
      <c r="BB396" s="12"/>
    </row>
    <row r="397" spans="51:54" ht="15.75" customHeight="1">
      <c r="AY397" s="12"/>
      <c r="BA397" s="12"/>
      <c r="BB397" s="12"/>
    </row>
    <row r="398" spans="51:54" ht="15.75" customHeight="1">
      <c r="AY398" s="12"/>
      <c r="BA398" s="12"/>
      <c r="BB398" s="12"/>
    </row>
    <row r="399" spans="51:54" ht="15.75" customHeight="1">
      <c r="AY399" s="12"/>
      <c r="BA399" s="12"/>
      <c r="BB399" s="12"/>
    </row>
    <row r="400" spans="51:54" ht="15.75" customHeight="1">
      <c r="AY400" s="12"/>
      <c r="BA400" s="12"/>
      <c r="BB400" s="12"/>
    </row>
    <row r="401" spans="51:54" ht="15.75" customHeight="1">
      <c r="AY401" s="12"/>
      <c r="BA401" s="12"/>
      <c r="BB401" s="12"/>
    </row>
    <row r="402" spans="51:54" ht="15.75" customHeight="1">
      <c r="AY402" s="12"/>
      <c r="BA402" s="12"/>
      <c r="BB402" s="12"/>
    </row>
    <row r="403" spans="51:54" ht="15.75" customHeight="1">
      <c r="AY403" s="12"/>
      <c r="BA403" s="12"/>
      <c r="BB403" s="12"/>
    </row>
    <row r="404" spans="51:54" ht="15.75" customHeight="1">
      <c r="AY404" s="12"/>
      <c r="BA404" s="12"/>
      <c r="BB404" s="12"/>
    </row>
    <row r="405" spans="51:54" ht="15.75" customHeight="1">
      <c r="AY405" s="12"/>
      <c r="BA405" s="12"/>
      <c r="BB405" s="12"/>
    </row>
    <row r="406" spans="51:54" ht="15.75" customHeight="1">
      <c r="AY406" s="12"/>
      <c r="BA406" s="12"/>
      <c r="BB406" s="12"/>
    </row>
    <row r="407" spans="51:54" ht="15.75" customHeight="1">
      <c r="AY407" s="12"/>
      <c r="BA407" s="12"/>
      <c r="BB407" s="12"/>
    </row>
    <row r="408" spans="51:54" ht="15.75" customHeight="1">
      <c r="AY408" s="12"/>
      <c r="BA408" s="12"/>
      <c r="BB408" s="12"/>
    </row>
    <row r="409" spans="51:54" ht="15.75" customHeight="1">
      <c r="AY409" s="12"/>
      <c r="BA409" s="12"/>
      <c r="BB409" s="12"/>
    </row>
    <row r="410" spans="51:54" ht="15.75" customHeight="1">
      <c r="AY410" s="12"/>
      <c r="BA410" s="12"/>
      <c r="BB410" s="12"/>
    </row>
    <row r="411" spans="51:54" ht="15.75" customHeight="1">
      <c r="AY411" s="12"/>
      <c r="BA411" s="12"/>
      <c r="BB411" s="12"/>
    </row>
    <row r="412" spans="51:54" ht="15.75" customHeight="1">
      <c r="AY412" s="12"/>
      <c r="BA412" s="12"/>
      <c r="BB412" s="12"/>
    </row>
    <row r="413" spans="51:54" ht="15.75" customHeight="1">
      <c r="AY413" s="12"/>
      <c r="BA413" s="12"/>
      <c r="BB413" s="12"/>
    </row>
    <row r="414" spans="51:54" ht="15.75" customHeight="1">
      <c r="AY414" s="12"/>
      <c r="BA414" s="12"/>
      <c r="BB414" s="12"/>
    </row>
    <row r="415" spans="51:54" ht="15.75" customHeight="1">
      <c r="AY415" s="12"/>
      <c r="BA415" s="12"/>
      <c r="BB415" s="12"/>
    </row>
    <row r="416" spans="51:54" ht="15.75" customHeight="1">
      <c r="AY416" s="12"/>
      <c r="BA416" s="12"/>
      <c r="BB416" s="12"/>
    </row>
    <row r="417" spans="51:54" ht="15.75" customHeight="1">
      <c r="AY417" s="12"/>
      <c r="BA417" s="12"/>
      <c r="BB417" s="12"/>
    </row>
    <row r="418" spans="51:54" ht="15.75" customHeight="1">
      <c r="AY418" s="12"/>
      <c r="BA418" s="12"/>
      <c r="BB418" s="12"/>
    </row>
    <row r="419" spans="51:54" ht="15.75" customHeight="1">
      <c r="AY419" s="12"/>
      <c r="BA419" s="12"/>
      <c r="BB419" s="12"/>
    </row>
    <row r="420" spans="51:54" ht="15.75" customHeight="1">
      <c r="AY420" s="12"/>
      <c r="BA420" s="12"/>
      <c r="BB420" s="12"/>
    </row>
    <row r="421" spans="51:54" ht="15.75" customHeight="1">
      <c r="AY421" s="12"/>
      <c r="BA421" s="12"/>
      <c r="BB421" s="12"/>
    </row>
    <row r="422" spans="51:54" ht="15.75" customHeight="1">
      <c r="AY422" s="12"/>
      <c r="BA422" s="12"/>
      <c r="BB422" s="12"/>
    </row>
    <row r="423" spans="51:54" ht="15.75" customHeight="1">
      <c r="AY423" s="12"/>
      <c r="BA423" s="12"/>
      <c r="BB423" s="12"/>
    </row>
    <row r="424" spans="51:54" ht="15.75" customHeight="1">
      <c r="AY424" s="12"/>
      <c r="BA424" s="12"/>
      <c r="BB424" s="12"/>
    </row>
    <row r="425" spans="51:54" ht="15.75" customHeight="1">
      <c r="AY425" s="12"/>
      <c r="BA425" s="12"/>
      <c r="BB425" s="12"/>
    </row>
    <row r="426" spans="51:54" ht="15.75" customHeight="1">
      <c r="AY426" s="12"/>
      <c r="BA426" s="12"/>
      <c r="BB426" s="12"/>
    </row>
    <row r="427" spans="51:54" ht="15.75" customHeight="1">
      <c r="AY427" s="12"/>
      <c r="BA427" s="12"/>
      <c r="BB427" s="12"/>
    </row>
    <row r="428" spans="51:54" ht="15.75" customHeight="1">
      <c r="AY428" s="12"/>
      <c r="BA428" s="12"/>
      <c r="BB428" s="12"/>
    </row>
    <row r="429" spans="51:54" ht="15.75" customHeight="1">
      <c r="AY429" s="12"/>
      <c r="BA429" s="12"/>
      <c r="BB429" s="12"/>
    </row>
    <row r="430" spans="51:54" ht="15.75" customHeight="1">
      <c r="AY430" s="12"/>
      <c r="BA430" s="12"/>
      <c r="BB430" s="12"/>
    </row>
    <row r="431" spans="51:54" ht="15.75" customHeight="1">
      <c r="AY431" s="12"/>
      <c r="BA431" s="12"/>
      <c r="BB431" s="12"/>
    </row>
    <row r="432" spans="51:54" ht="15.75" customHeight="1">
      <c r="AY432" s="12"/>
      <c r="BA432" s="12"/>
      <c r="BB432" s="12"/>
    </row>
    <row r="433" spans="51:54" ht="15.75" customHeight="1">
      <c r="AY433" s="12"/>
      <c r="BA433" s="12"/>
      <c r="BB433" s="12"/>
    </row>
    <row r="434" spans="51:54" ht="15.75" customHeight="1">
      <c r="AY434" s="12"/>
      <c r="BA434" s="12"/>
      <c r="BB434" s="12"/>
    </row>
    <row r="435" spans="51:54" ht="15.75" customHeight="1">
      <c r="AY435" s="12"/>
      <c r="BA435" s="12"/>
      <c r="BB435" s="12"/>
    </row>
    <row r="436" spans="51:54" ht="15.75" customHeight="1">
      <c r="AY436" s="12"/>
      <c r="BA436" s="12"/>
      <c r="BB436" s="12"/>
    </row>
    <row r="437" spans="51:54" ht="15.75" customHeight="1">
      <c r="AY437" s="12"/>
      <c r="BA437" s="12"/>
      <c r="BB437" s="12"/>
    </row>
    <row r="438" spans="51:54" ht="15.75" customHeight="1">
      <c r="AY438" s="12"/>
      <c r="BA438" s="12"/>
      <c r="BB438" s="12"/>
    </row>
    <row r="439" spans="51:54" ht="15.75" customHeight="1">
      <c r="AY439" s="12"/>
      <c r="BA439" s="12"/>
      <c r="BB439" s="12"/>
    </row>
    <row r="440" spans="51:54" ht="15.75" customHeight="1">
      <c r="AY440" s="12"/>
      <c r="BA440" s="12"/>
      <c r="BB440" s="12"/>
    </row>
    <row r="441" spans="51:54" ht="15.75" customHeight="1">
      <c r="AY441" s="12"/>
      <c r="BA441" s="12"/>
      <c r="BB441" s="12"/>
    </row>
    <row r="442" spans="51:54" ht="15.75" customHeight="1">
      <c r="AY442" s="12"/>
      <c r="BA442" s="12"/>
      <c r="BB442" s="12"/>
    </row>
    <row r="443" spans="51:54" ht="15.75" customHeight="1">
      <c r="AY443" s="12"/>
      <c r="BA443" s="12"/>
      <c r="BB443" s="12"/>
    </row>
    <row r="444" spans="51:54" ht="15.75" customHeight="1">
      <c r="AY444" s="12"/>
      <c r="BA444" s="12"/>
      <c r="BB444" s="12"/>
    </row>
    <row r="445" spans="51:54" ht="15.75" customHeight="1">
      <c r="AY445" s="12"/>
      <c r="BA445" s="12"/>
      <c r="BB445" s="12"/>
    </row>
    <row r="446" spans="51:54" ht="15.75" customHeight="1">
      <c r="AY446" s="12"/>
      <c r="BA446" s="12"/>
      <c r="BB446" s="12"/>
    </row>
    <row r="447" spans="51:54" ht="15.75" customHeight="1">
      <c r="AY447" s="12"/>
      <c r="BA447" s="12"/>
      <c r="BB447" s="12"/>
    </row>
    <row r="448" spans="51:54" ht="15.75" customHeight="1">
      <c r="AY448" s="12"/>
      <c r="BA448" s="12"/>
      <c r="BB448" s="12"/>
    </row>
    <row r="449" spans="51:54" ht="15.75" customHeight="1">
      <c r="AY449" s="12"/>
      <c r="BA449" s="12"/>
      <c r="BB449" s="12"/>
    </row>
    <row r="450" spans="51:54" ht="15.75" customHeight="1">
      <c r="AY450" s="12"/>
      <c r="BA450" s="12"/>
      <c r="BB450" s="12"/>
    </row>
    <row r="451" spans="51:54" ht="15.75" customHeight="1">
      <c r="AY451" s="12"/>
      <c r="BA451" s="12"/>
      <c r="BB451" s="12"/>
    </row>
    <row r="452" spans="51:54" ht="15.75" customHeight="1">
      <c r="AY452" s="12"/>
      <c r="BA452" s="12"/>
      <c r="BB452" s="12"/>
    </row>
    <row r="453" spans="51:54" ht="15.75" customHeight="1">
      <c r="AY453" s="12"/>
      <c r="BA453" s="12"/>
      <c r="BB453" s="12"/>
    </row>
    <row r="454" spans="51:54" ht="15.75" customHeight="1">
      <c r="AY454" s="12"/>
      <c r="BA454" s="12"/>
      <c r="BB454" s="12"/>
    </row>
    <row r="455" spans="51:54" ht="15.75" customHeight="1">
      <c r="AY455" s="12"/>
      <c r="BA455" s="12"/>
      <c r="BB455" s="12"/>
    </row>
    <row r="456" spans="51:54" ht="15.75" customHeight="1">
      <c r="AY456" s="12"/>
      <c r="BA456" s="12"/>
      <c r="BB456" s="12"/>
    </row>
    <row r="457" spans="51:54" ht="15.75" customHeight="1">
      <c r="AY457" s="12"/>
      <c r="BA457" s="12"/>
      <c r="BB457" s="12"/>
    </row>
    <row r="458" spans="51:54" ht="15.75" customHeight="1">
      <c r="AY458" s="12"/>
      <c r="BA458" s="12"/>
      <c r="BB458" s="12"/>
    </row>
    <row r="459" spans="51:54" ht="15.75" customHeight="1">
      <c r="AY459" s="12"/>
      <c r="BA459" s="12"/>
      <c r="BB459" s="12"/>
    </row>
    <row r="460" spans="51:54" ht="15.75" customHeight="1">
      <c r="AY460" s="12"/>
      <c r="BA460" s="12"/>
      <c r="BB460" s="12"/>
    </row>
    <row r="461" spans="51:54" ht="15.75" customHeight="1">
      <c r="AY461" s="12"/>
      <c r="BA461" s="12"/>
      <c r="BB461" s="12"/>
    </row>
    <row r="462" spans="51:54" ht="15.75" customHeight="1">
      <c r="AY462" s="12"/>
      <c r="BA462" s="12"/>
      <c r="BB462" s="12"/>
    </row>
    <row r="463" spans="51:54" ht="15.75" customHeight="1">
      <c r="AY463" s="12"/>
      <c r="BA463" s="12"/>
      <c r="BB463" s="12"/>
    </row>
    <row r="464" spans="51:54" ht="15.75" customHeight="1">
      <c r="AY464" s="12"/>
      <c r="BA464" s="12"/>
      <c r="BB464" s="12"/>
    </row>
    <row r="465" spans="51:54" ht="15.75" customHeight="1">
      <c r="AY465" s="12"/>
      <c r="BA465" s="12"/>
      <c r="BB465" s="12"/>
    </row>
    <row r="466" spans="51:54" ht="15.75" customHeight="1">
      <c r="AY466" s="12"/>
      <c r="BA466" s="12"/>
      <c r="BB466" s="12"/>
    </row>
    <row r="467" spans="51:54" ht="15.75" customHeight="1">
      <c r="AY467" s="12"/>
      <c r="BA467" s="12"/>
      <c r="BB467" s="12"/>
    </row>
    <row r="468" spans="51:54" ht="15.75" customHeight="1">
      <c r="AY468" s="12"/>
      <c r="BA468" s="12"/>
      <c r="BB468" s="12"/>
    </row>
    <row r="469" spans="51:54" ht="15.75" customHeight="1">
      <c r="AY469" s="12"/>
      <c r="BA469" s="12"/>
      <c r="BB469" s="12"/>
    </row>
    <row r="470" spans="51:54" ht="15.75" customHeight="1">
      <c r="AY470" s="12"/>
      <c r="BA470" s="12"/>
      <c r="BB470" s="12"/>
    </row>
    <row r="471" spans="51:54" ht="15.75" customHeight="1">
      <c r="AY471" s="12"/>
      <c r="BA471" s="12"/>
      <c r="BB471" s="12"/>
    </row>
    <row r="472" spans="51:54" ht="15.75" customHeight="1">
      <c r="AY472" s="12"/>
      <c r="BA472" s="12"/>
      <c r="BB472" s="12"/>
    </row>
    <row r="473" spans="51:54" ht="15.75" customHeight="1">
      <c r="AY473" s="12"/>
      <c r="BA473" s="12"/>
      <c r="BB473" s="12"/>
    </row>
    <row r="474" spans="51:54" ht="15.75" customHeight="1">
      <c r="AY474" s="12"/>
      <c r="BA474" s="12"/>
      <c r="BB474" s="12"/>
    </row>
    <row r="475" spans="51:54" ht="15.75" customHeight="1">
      <c r="AY475" s="12"/>
      <c r="BA475" s="12"/>
      <c r="BB475" s="12"/>
    </row>
    <row r="476" spans="51:54" ht="15.75" customHeight="1">
      <c r="AY476" s="12"/>
      <c r="BA476" s="12"/>
      <c r="BB476" s="12"/>
    </row>
    <row r="477" spans="51:54" ht="15.75" customHeight="1">
      <c r="AY477" s="12"/>
      <c r="BA477" s="12"/>
      <c r="BB477" s="12"/>
    </row>
    <row r="478" spans="51:54" ht="15.75" customHeight="1">
      <c r="AY478" s="12"/>
      <c r="BA478" s="12"/>
      <c r="BB478" s="12"/>
    </row>
    <row r="479" spans="51:54" ht="15.75" customHeight="1">
      <c r="AY479" s="12"/>
      <c r="BA479" s="12"/>
      <c r="BB479" s="12"/>
    </row>
    <row r="480" spans="51:54" ht="15.75" customHeight="1">
      <c r="AY480" s="12"/>
      <c r="BA480" s="12"/>
      <c r="BB480" s="12"/>
    </row>
    <row r="481" spans="51:54" ht="15.75" customHeight="1">
      <c r="AY481" s="12"/>
      <c r="BA481" s="12"/>
      <c r="BB481" s="12"/>
    </row>
    <row r="482" spans="51:54" ht="15.75" customHeight="1">
      <c r="AY482" s="12"/>
      <c r="BA482" s="12"/>
      <c r="BB482" s="12"/>
    </row>
    <row r="483" spans="51:54" ht="15.75" customHeight="1">
      <c r="AY483" s="12"/>
      <c r="BA483" s="12"/>
      <c r="BB483" s="12"/>
    </row>
    <row r="484" spans="51:54" ht="15.75" customHeight="1">
      <c r="AY484" s="12"/>
      <c r="BA484" s="12"/>
      <c r="BB484" s="12"/>
    </row>
    <row r="485" spans="51:54" ht="15.75" customHeight="1">
      <c r="AY485" s="12"/>
      <c r="BA485" s="12"/>
      <c r="BB485" s="12"/>
    </row>
    <row r="486" spans="51:54" ht="15.75" customHeight="1">
      <c r="AY486" s="12"/>
      <c r="BA486" s="12"/>
      <c r="BB486" s="12"/>
    </row>
    <row r="487" spans="51:54" ht="15.75" customHeight="1">
      <c r="AY487" s="12"/>
      <c r="BA487" s="12"/>
      <c r="BB487" s="12"/>
    </row>
    <row r="488" spans="51:54" ht="15.75" customHeight="1">
      <c r="AY488" s="12"/>
      <c r="BA488" s="12"/>
      <c r="BB488" s="12"/>
    </row>
    <row r="489" spans="51:54" ht="15.75" customHeight="1">
      <c r="AY489" s="12"/>
      <c r="BA489" s="12"/>
      <c r="BB489" s="12"/>
    </row>
    <row r="490" spans="51:54" ht="15.75" customHeight="1">
      <c r="AY490" s="12"/>
      <c r="BA490" s="12"/>
      <c r="BB490" s="12"/>
    </row>
    <row r="491" spans="51:54" ht="15.75" customHeight="1">
      <c r="AY491" s="12"/>
      <c r="BA491" s="12"/>
      <c r="BB491" s="12"/>
    </row>
    <row r="492" spans="51:54" ht="15.75" customHeight="1">
      <c r="AY492" s="12"/>
      <c r="BA492" s="12"/>
      <c r="BB492" s="12"/>
    </row>
    <row r="493" spans="51:54" ht="15.75" customHeight="1">
      <c r="AY493" s="12"/>
      <c r="BA493" s="12"/>
      <c r="BB493" s="12"/>
    </row>
    <row r="494" spans="51:54" ht="15.75" customHeight="1">
      <c r="AY494" s="12"/>
      <c r="BA494" s="12"/>
      <c r="BB494" s="12"/>
    </row>
    <row r="495" spans="51:54" ht="15.75" customHeight="1">
      <c r="AY495" s="12"/>
      <c r="BA495" s="12"/>
      <c r="BB495" s="12"/>
    </row>
    <row r="496" spans="51:54" ht="15.75" customHeight="1">
      <c r="AY496" s="12"/>
      <c r="BA496" s="12"/>
      <c r="BB496" s="12"/>
    </row>
    <row r="497" spans="51:54" ht="15.75" customHeight="1">
      <c r="AY497" s="12"/>
      <c r="BA497" s="12"/>
      <c r="BB497" s="12"/>
    </row>
    <row r="498" spans="51:54" ht="15.75" customHeight="1">
      <c r="AY498" s="12"/>
      <c r="BA498" s="12"/>
      <c r="BB498" s="12"/>
    </row>
    <row r="499" spans="51:54" ht="15.75" customHeight="1">
      <c r="AY499" s="12"/>
      <c r="BA499" s="12"/>
      <c r="BB499" s="12"/>
    </row>
    <row r="500" spans="51:54" ht="15.75" customHeight="1">
      <c r="AY500" s="12"/>
      <c r="BA500" s="12"/>
      <c r="BB500" s="12"/>
    </row>
    <row r="501" spans="51:54" ht="15.75" customHeight="1">
      <c r="AY501" s="12"/>
      <c r="BA501" s="12"/>
      <c r="BB501" s="12"/>
    </row>
    <row r="502" spans="51:54" ht="15.75" customHeight="1">
      <c r="AY502" s="12"/>
      <c r="BA502" s="12"/>
      <c r="BB502" s="12"/>
    </row>
    <row r="503" spans="51:54" ht="15.75" customHeight="1">
      <c r="AY503" s="12"/>
      <c r="BA503" s="12"/>
      <c r="BB503" s="12"/>
    </row>
    <row r="504" spans="51:54" ht="15.75" customHeight="1">
      <c r="AY504" s="12"/>
      <c r="BA504" s="12"/>
      <c r="BB504" s="12"/>
    </row>
    <row r="505" spans="51:54" ht="15.75" customHeight="1">
      <c r="AY505" s="12"/>
      <c r="BA505" s="12"/>
      <c r="BB505" s="12"/>
    </row>
    <row r="506" spans="51:54" ht="15.75" customHeight="1">
      <c r="AY506" s="12"/>
      <c r="BA506" s="12"/>
      <c r="BB506" s="12"/>
    </row>
    <row r="507" spans="51:54" ht="15.75" customHeight="1">
      <c r="AY507" s="12"/>
      <c r="BA507" s="12"/>
      <c r="BB507" s="12"/>
    </row>
    <row r="508" spans="51:54" ht="15.75" customHeight="1">
      <c r="AY508" s="12"/>
      <c r="BA508" s="12"/>
      <c r="BB508" s="12"/>
    </row>
    <row r="509" spans="51:54" ht="15.75" customHeight="1">
      <c r="AY509" s="12"/>
      <c r="BA509" s="12"/>
      <c r="BB509" s="12"/>
    </row>
    <row r="510" spans="51:54" ht="15.75" customHeight="1">
      <c r="AY510" s="12"/>
      <c r="BA510" s="12"/>
      <c r="BB510" s="12"/>
    </row>
    <row r="511" spans="51:54" ht="15.75" customHeight="1">
      <c r="AY511" s="12"/>
      <c r="BA511" s="12"/>
      <c r="BB511" s="12"/>
    </row>
    <row r="512" spans="51:54" ht="15.75" customHeight="1">
      <c r="AY512" s="12"/>
      <c r="BA512" s="12"/>
      <c r="BB512" s="12"/>
    </row>
    <row r="513" spans="51:54" ht="15.75" customHeight="1">
      <c r="AY513" s="12"/>
      <c r="BA513" s="12"/>
      <c r="BB513" s="12"/>
    </row>
    <row r="514" spans="51:54" ht="15.75" customHeight="1">
      <c r="AY514" s="12"/>
      <c r="BA514" s="12"/>
      <c r="BB514" s="12"/>
    </row>
    <row r="515" spans="51:54" ht="15.75" customHeight="1">
      <c r="AY515" s="12"/>
      <c r="BA515" s="12"/>
      <c r="BB515" s="12"/>
    </row>
    <row r="516" spans="51:54" ht="15.75" customHeight="1">
      <c r="AY516" s="12"/>
      <c r="BA516" s="12"/>
      <c r="BB516" s="12"/>
    </row>
    <row r="517" spans="51:54" ht="15.75" customHeight="1">
      <c r="AY517" s="12"/>
      <c r="BA517" s="12"/>
      <c r="BB517" s="12"/>
    </row>
    <row r="518" spans="51:54" ht="15.75" customHeight="1">
      <c r="AY518" s="12"/>
      <c r="BA518" s="12"/>
      <c r="BB518" s="12"/>
    </row>
    <row r="519" spans="51:54" ht="15.75" customHeight="1">
      <c r="AY519" s="12"/>
      <c r="BA519" s="12"/>
      <c r="BB519" s="12"/>
    </row>
    <row r="520" spans="51:54" ht="15.75" customHeight="1">
      <c r="AY520" s="12"/>
      <c r="BA520" s="12"/>
      <c r="BB520" s="12"/>
    </row>
    <row r="521" spans="51:54" ht="15.75" customHeight="1">
      <c r="AY521" s="12"/>
      <c r="BA521" s="12"/>
      <c r="BB521" s="12"/>
    </row>
    <row r="522" spans="51:54" ht="15.75" customHeight="1">
      <c r="AY522" s="12"/>
      <c r="BA522" s="12"/>
      <c r="BB522" s="12"/>
    </row>
    <row r="523" spans="51:54" ht="15.75" customHeight="1">
      <c r="AY523" s="12"/>
      <c r="BA523" s="12"/>
      <c r="BB523" s="12"/>
    </row>
    <row r="524" spans="51:54" ht="15.75" customHeight="1">
      <c r="AY524" s="12"/>
      <c r="BA524" s="12"/>
      <c r="BB524" s="12"/>
    </row>
    <row r="525" spans="51:54" ht="15.75" customHeight="1">
      <c r="AY525" s="12"/>
      <c r="BA525" s="12"/>
      <c r="BB525" s="12"/>
    </row>
    <row r="526" spans="51:54" ht="15.75" customHeight="1">
      <c r="AY526" s="12"/>
      <c r="BA526" s="12"/>
      <c r="BB526" s="12"/>
    </row>
    <row r="527" spans="51:54" ht="15.75" customHeight="1">
      <c r="AY527" s="12"/>
      <c r="BA527" s="12"/>
      <c r="BB527" s="12"/>
    </row>
    <row r="528" spans="51:54" ht="15.75" customHeight="1">
      <c r="AY528" s="12"/>
      <c r="BA528" s="12"/>
      <c r="BB528" s="12"/>
    </row>
    <row r="529" spans="51:54" ht="15.75" customHeight="1">
      <c r="AY529" s="12"/>
      <c r="BA529" s="12"/>
      <c r="BB529" s="12"/>
    </row>
    <row r="530" spans="51:54" ht="15.75" customHeight="1">
      <c r="AY530" s="12"/>
      <c r="BA530" s="12"/>
      <c r="BB530" s="12"/>
    </row>
    <row r="531" spans="51:54" ht="15.75" customHeight="1">
      <c r="AY531" s="12"/>
      <c r="BA531" s="12"/>
      <c r="BB531" s="12"/>
    </row>
    <row r="532" spans="51:54" ht="15.75" customHeight="1">
      <c r="AY532" s="12"/>
      <c r="BA532" s="12"/>
      <c r="BB532" s="12"/>
    </row>
    <row r="533" spans="51:54" ht="15.75" customHeight="1">
      <c r="AY533" s="12"/>
      <c r="BA533" s="12"/>
      <c r="BB533" s="12"/>
    </row>
    <row r="534" spans="51:54" ht="15.75" customHeight="1">
      <c r="AY534" s="12"/>
      <c r="BA534" s="12"/>
      <c r="BB534" s="12"/>
    </row>
    <row r="535" spans="51:54" ht="15.75" customHeight="1">
      <c r="AY535" s="12"/>
      <c r="BA535" s="12"/>
      <c r="BB535" s="12"/>
    </row>
    <row r="536" spans="51:54" ht="15.75" customHeight="1">
      <c r="AY536" s="12"/>
      <c r="BA536" s="12"/>
      <c r="BB536" s="12"/>
    </row>
    <row r="537" spans="51:54" ht="15.75" customHeight="1">
      <c r="AY537" s="12"/>
      <c r="BA537" s="12"/>
      <c r="BB537" s="12"/>
    </row>
    <row r="538" spans="51:54" ht="15.75" customHeight="1">
      <c r="AY538" s="12"/>
      <c r="BA538" s="12"/>
      <c r="BB538" s="12"/>
    </row>
    <row r="539" spans="51:54" ht="15.75" customHeight="1">
      <c r="AY539" s="12"/>
      <c r="BA539" s="12"/>
      <c r="BB539" s="12"/>
    </row>
    <row r="540" spans="51:54" ht="15.75" customHeight="1">
      <c r="AY540" s="12"/>
      <c r="BA540" s="12"/>
      <c r="BB540" s="12"/>
    </row>
    <row r="541" spans="51:54" ht="15.75" customHeight="1">
      <c r="AY541" s="12"/>
      <c r="BA541" s="12"/>
      <c r="BB541" s="12"/>
    </row>
    <row r="542" spans="51:54" ht="15.75" customHeight="1">
      <c r="AY542" s="12"/>
      <c r="BA542" s="12"/>
      <c r="BB542" s="12"/>
    </row>
    <row r="543" spans="51:54" ht="15.75" customHeight="1">
      <c r="AY543" s="12"/>
      <c r="BA543" s="12"/>
      <c r="BB543" s="12"/>
    </row>
    <row r="544" spans="51:54" ht="15.75" customHeight="1">
      <c r="AY544" s="12"/>
      <c r="BA544" s="12"/>
      <c r="BB544" s="12"/>
    </row>
    <row r="545" spans="51:54" ht="15.75" customHeight="1">
      <c r="AY545" s="12"/>
      <c r="BA545" s="12"/>
      <c r="BB545" s="12"/>
    </row>
    <row r="546" spans="51:54" ht="15.75" customHeight="1">
      <c r="AY546" s="12"/>
      <c r="BA546" s="12"/>
      <c r="BB546" s="12"/>
    </row>
    <row r="547" spans="51:54" ht="15.75" customHeight="1">
      <c r="AY547" s="12"/>
      <c r="BA547" s="12"/>
      <c r="BB547" s="12"/>
    </row>
    <row r="548" spans="51:54" ht="15.75" customHeight="1">
      <c r="AY548" s="12"/>
      <c r="BA548" s="12"/>
      <c r="BB548" s="12"/>
    </row>
    <row r="549" spans="51:54" ht="15.75" customHeight="1">
      <c r="AY549" s="12"/>
      <c r="BA549" s="12"/>
      <c r="BB549" s="12"/>
    </row>
    <row r="550" spans="51:54" ht="15.75" customHeight="1">
      <c r="AY550" s="12"/>
      <c r="BA550" s="12"/>
      <c r="BB550" s="12"/>
    </row>
    <row r="551" spans="51:54" ht="15.75" customHeight="1">
      <c r="AY551" s="12"/>
      <c r="BA551" s="12"/>
      <c r="BB551" s="12"/>
    </row>
    <row r="552" spans="51:54" ht="15.75" customHeight="1">
      <c r="AY552" s="12"/>
      <c r="BA552" s="12"/>
      <c r="BB552" s="12"/>
    </row>
    <row r="553" spans="51:54" ht="15.75" customHeight="1">
      <c r="AY553" s="12"/>
      <c r="BA553" s="12"/>
      <c r="BB553" s="12"/>
    </row>
    <row r="554" spans="51:54" ht="15.75" customHeight="1">
      <c r="AY554" s="12"/>
      <c r="BA554" s="12"/>
      <c r="BB554" s="12"/>
    </row>
    <row r="555" spans="51:54" ht="15.75" customHeight="1">
      <c r="AY555" s="12"/>
      <c r="BA555" s="12"/>
      <c r="BB555" s="12"/>
    </row>
    <row r="556" spans="51:54" ht="15.75" customHeight="1">
      <c r="AY556" s="12"/>
      <c r="BA556" s="12"/>
      <c r="BB556" s="12"/>
    </row>
    <row r="557" spans="51:54" ht="15.75" customHeight="1">
      <c r="AY557" s="12"/>
      <c r="BA557" s="12"/>
      <c r="BB557" s="12"/>
    </row>
    <row r="558" spans="51:54" ht="15.75" customHeight="1">
      <c r="AY558" s="12"/>
      <c r="BA558" s="12"/>
      <c r="BB558" s="12"/>
    </row>
    <row r="559" spans="51:54" ht="15.75" customHeight="1">
      <c r="AY559" s="12"/>
      <c r="BA559" s="12"/>
      <c r="BB559" s="12"/>
    </row>
    <row r="560" spans="51:54" ht="15.75" customHeight="1">
      <c r="AY560" s="12"/>
      <c r="BA560" s="12"/>
      <c r="BB560" s="12"/>
    </row>
    <row r="561" spans="51:54" ht="15.75" customHeight="1">
      <c r="AY561" s="12"/>
      <c r="BA561" s="12"/>
      <c r="BB561" s="12"/>
    </row>
    <row r="562" spans="51:54" ht="15.75" customHeight="1">
      <c r="AY562" s="12"/>
      <c r="BA562" s="12"/>
      <c r="BB562" s="12"/>
    </row>
    <row r="563" spans="51:54" ht="15.75" customHeight="1">
      <c r="AY563" s="12"/>
      <c r="BA563" s="12"/>
      <c r="BB563" s="12"/>
    </row>
    <row r="564" spans="51:54" ht="15.75" customHeight="1">
      <c r="AY564" s="12"/>
      <c r="BA564" s="12"/>
      <c r="BB564" s="12"/>
    </row>
    <row r="565" spans="51:54" ht="15.75" customHeight="1">
      <c r="AY565" s="12"/>
      <c r="BA565" s="12"/>
      <c r="BB565" s="12"/>
    </row>
    <row r="566" spans="51:54" ht="15.75" customHeight="1">
      <c r="AY566" s="12"/>
      <c r="BA566" s="12"/>
      <c r="BB566" s="12"/>
    </row>
    <row r="567" spans="51:54" ht="15.75" customHeight="1">
      <c r="AY567" s="12"/>
      <c r="BA567" s="12"/>
      <c r="BB567" s="12"/>
    </row>
    <row r="568" spans="51:54" ht="15.75" customHeight="1">
      <c r="AY568" s="12"/>
      <c r="BA568" s="12"/>
      <c r="BB568" s="12"/>
    </row>
    <row r="569" spans="51:54" ht="15.75" customHeight="1">
      <c r="AY569" s="12"/>
      <c r="BA569" s="12"/>
      <c r="BB569" s="12"/>
    </row>
    <row r="570" spans="51:54" ht="15.75" customHeight="1">
      <c r="AY570" s="12"/>
      <c r="BA570" s="12"/>
      <c r="BB570" s="12"/>
    </row>
    <row r="571" spans="51:54" ht="15.75" customHeight="1">
      <c r="AY571" s="12"/>
      <c r="BA571" s="12"/>
      <c r="BB571" s="12"/>
    </row>
    <row r="572" spans="51:54" ht="15.75" customHeight="1">
      <c r="AY572" s="12"/>
      <c r="BA572" s="12"/>
      <c r="BB572" s="12"/>
    </row>
    <row r="573" spans="51:54" ht="15.75" customHeight="1">
      <c r="AY573" s="12"/>
      <c r="BA573" s="12"/>
      <c r="BB573" s="12"/>
    </row>
    <row r="574" spans="51:54" ht="15.75" customHeight="1">
      <c r="AY574" s="12"/>
      <c r="BA574" s="12"/>
      <c r="BB574" s="12"/>
    </row>
    <row r="575" spans="51:54" ht="15.75" customHeight="1">
      <c r="AY575" s="12"/>
      <c r="BA575" s="12"/>
      <c r="BB575" s="12"/>
    </row>
    <row r="576" spans="51:54" ht="15.75" customHeight="1">
      <c r="AY576" s="12"/>
      <c r="BA576" s="12"/>
      <c r="BB576" s="12"/>
    </row>
    <row r="577" spans="51:54" ht="15.75" customHeight="1">
      <c r="AY577" s="12"/>
      <c r="BA577" s="12"/>
      <c r="BB577" s="12"/>
    </row>
    <row r="578" spans="51:54" ht="15.75" customHeight="1">
      <c r="AY578" s="12"/>
      <c r="BA578" s="12"/>
      <c r="BB578" s="12"/>
    </row>
    <row r="579" spans="51:54" ht="15.75" customHeight="1">
      <c r="AY579" s="12"/>
      <c r="BA579" s="12"/>
      <c r="BB579" s="12"/>
    </row>
    <row r="580" spans="51:54" ht="15.75" customHeight="1">
      <c r="AY580" s="12"/>
      <c r="BA580" s="12"/>
      <c r="BB580" s="12"/>
    </row>
    <row r="581" spans="51:54" ht="15.75" customHeight="1">
      <c r="AY581" s="12"/>
      <c r="BA581" s="12"/>
      <c r="BB581" s="12"/>
    </row>
    <row r="582" spans="51:54" ht="15.75" customHeight="1">
      <c r="AY582" s="12"/>
      <c r="BA582" s="12"/>
      <c r="BB582" s="12"/>
    </row>
    <row r="583" spans="51:54" ht="15.75" customHeight="1">
      <c r="AY583" s="12"/>
      <c r="BA583" s="12"/>
      <c r="BB583" s="12"/>
    </row>
    <row r="584" spans="51:54" ht="15.75" customHeight="1">
      <c r="AY584" s="12"/>
      <c r="BA584" s="12"/>
      <c r="BB584" s="12"/>
    </row>
    <row r="585" spans="51:54" ht="15.75" customHeight="1">
      <c r="AY585" s="12"/>
      <c r="BA585" s="12"/>
      <c r="BB585" s="12"/>
    </row>
    <row r="586" spans="51:54" ht="15.75" customHeight="1">
      <c r="AY586" s="12"/>
      <c r="BA586" s="12"/>
      <c r="BB586" s="12"/>
    </row>
    <row r="587" spans="51:54" ht="15.75" customHeight="1">
      <c r="AY587" s="12"/>
      <c r="BA587" s="12"/>
      <c r="BB587" s="12"/>
    </row>
    <row r="588" spans="51:54" ht="15.75" customHeight="1">
      <c r="AY588" s="12"/>
      <c r="BA588" s="12"/>
      <c r="BB588" s="12"/>
    </row>
    <row r="589" spans="51:54" ht="15.75" customHeight="1">
      <c r="AY589" s="12"/>
      <c r="BA589" s="12"/>
      <c r="BB589" s="12"/>
    </row>
    <row r="590" spans="51:54" ht="15.75" customHeight="1">
      <c r="AY590" s="12"/>
      <c r="BA590" s="12"/>
      <c r="BB590" s="12"/>
    </row>
    <row r="591" spans="51:54" ht="15.75" customHeight="1">
      <c r="AY591" s="12"/>
      <c r="BA591" s="12"/>
      <c r="BB591" s="12"/>
    </row>
    <row r="592" spans="51:54" ht="15.75" customHeight="1">
      <c r="AY592" s="12"/>
      <c r="BA592" s="12"/>
      <c r="BB592" s="12"/>
    </row>
    <row r="593" spans="51:54" ht="15.75" customHeight="1">
      <c r="AY593" s="12"/>
      <c r="BA593" s="12"/>
      <c r="BB593" s="12"/>
    </row>
    <row r="594" spans="51:54" ht="15.75" customHeight="1">
      <c r="AY594" s="12"/>
      <c r="BA594" s="12"/>
      <c r="BB594" s="12"/>
    </row>
    <row r="595" spans="51:54" ht="15.75" customHeight="1">
      <c r="AY595" s="12"/>
      <c r="BA595" s="12"/>
      <c r="BB595" s="12"/>
    </row>
    <row r="596" spans="51:54" ht="15.75" customHeight="1">
      <c r="AY596" s="12"/>
      <c r="BA596" s="12"/>
      <c r="BB596" s="12"/>
    </row>
    <row r="597" spans="51:54" ht="15.75" customHeight="1">
      <c r="AY597" s="12"/>
      <c r="BA597" s="12"/>
      <c r="BB597" s="12"/>
    </row>
    <row r="598" spans="51:54" ht="15.75" customHeight="1">
      <c r="AY598" s="12"/>
      <c r="BA598" s="12"/>
      <c r="BB598" s="12"/>
    </row>
    <row r="599" spans="51:54" ht="15.75" customHeight="1">
      <c r="AY599" s="12"/>
      <c r="BA599" s="12"/>
      <c r="BB599" s="12"/>
    </row>
    <row r="600" spans="51:54" ht="15.75" customHeight="1">
      <c r="AY600" s="12"/>
      <c r="BA600" s="12"/>
      <c r="BB600" s="12"/>
    </row>
    <row r="601" spans="51:54" ht="15.75" customHeight="1">
      <c r="AY601" s="12"/>
      <c r="BA601" s="12"/>
      <c r="BB601" s="12"/>
    </row>
    <row r="602" spans="51:54" ht="15.75" customHeight="1">
      <c r="AY602" s="12"/>
      <c r="BA602" s="12"/>
      <c r="BB602" s="12"/>
    </row>
    <row r="603" spans="51:54" ht="15.75" customHeight="1">
      <c r="AY603" s="12"/>
      <c r="BA603" s="12"/>
      <c r="BB603" s="12"/>
    </row>
    <row r="604" spans="51:54" ht="15.75" customHeight="1">
      <c r="AY604" s="12"/>
      <c r="BA604" s="12"/>
      <c r="BB604" s="12"/>
    </row>
    <row r="605" spans="51:54" ht="15.75" customHeight="1">
      <c r="AY605" s="12"/>
      <c r="BA605" s="12"/>
      <c r="BB605" s="12"/>
    </row>
    <row r="606" spans="51:54" ht="15.75" customHeight="1">
      <c r="AY606" s="12"/>
      <c r="BA606" s="12"/>
      <c r="BB606" s="12"/>
    </row>
    <row r="607" spans="51:54" ht="15.75" customHeight="1">
      <c r="AY607" s="12"/>
      <c r="BA607" s="12"/>
      <c r="BB607" s="12"/>
    </row>
    <row r="608" spans="51:54" ht="15.75" customHeight="1">
      <c r="AY608" s="12"/>
      <c r="BA608" s="12"/>
      <c r="BB608" s="12"/>
    </row>
    <row r="609" spans="51:54" ht="15.75" customHeight="1">
      <c r="AY609" s="12"/>
      <c r="BA609" s="12"/>
      <c r="BB609" s="12"/>
    </row>
    <row r="610" spans="51:54" ht="15.75" customHeight="1">
      <c r="AY610" s="12"/>
      <c r="BA610" s="12"/>
      <c r="BB610" s="12"/>
    </row>
    <row r="611" spans="51:54" ht="15.75" customHeight="1">
      <c r="AY611" s="12"/>
      <c r="BA611" s="12"/>
      <c r="BB611" s="12"/>
    </row>
    <row r="612" spans="51:54" ht="15.75" customHeight="1">
      <c r="AY612" s="12"/>
      <c r="BA612" s="12"/>
      <c r="BB612" s="12"/>
    </row>
    <row r="613" spans="51:54" ht="15.75" customHeight="1">
      <c r="AY613" s="12"/>
      <c r="BA613" s="12"/>
      <c r="BB613" s="12"/>
    </row>
    <row r="614" spans="51:54" ht="15.75" customHeight="1">
      <c r="AY614" s="12"/>
      <c r="BA614" s="12"/>
      <c r="BB614" s="12"/>
    </row>
    <row r="615" spans="51:54" ht="15.75" customHeight="1">
      <c r="AY615" s="12"/>
      <c r="BA615" s="12"/>
      <c r="BB615" s="12"/>
    </row>
    <row r="616" spans="51:54" ht="15.75" customHeight="1">
      <c r="AY616" s="12"/>
      <c r="BA616" s="12"/>
      <c r="BB616" s="12"/>
    </row>
    <row r="617" spans="51:54" ht="15.75" customHeight="1">
      <c r="AY617" s="12"/>
      <c r="BA617" s="12"/>
      <c r="BB617" s="12"/>
    </row>
    <row r="618" spans="51:54" ht="15.75" customHeight="1">
      <c r="AY618" s="12"/>
      <c r="BA618" s="12"/>
      <c r="BB618" s="12"/>
    </row>
    <row r="619" spans="51:54" ht="15.75" customHeight="1">
      <c r="AY619" s="12"/>
      <c r="BA619" s="12"/>
      <c r="BB619" s="12"/>
    </row>
    <row r="620" spans="51:54" ht="15.75" customHeight="1">
      <c r="AY620" s="12"/>
      <c r="BA620" s="12"/>
      <c r="BB620" s="12"/>
    </row>
    <row r="621" spans="51:54" ht="15.75" customHeight="1">
      <c r="AY621" s="12"/>
      <c r="BA621" s="12"/>
      <c r="BB621" s="12"/>
    </row>
    <row r="622" spans="51:54" ht="15.75" customHeight="1">
      <c r="AY622" s="12"/>
      <c r="BA622" s="12"/>
      <c r="BB622" s="12"/>
    </row>
    <row r="623" spans="51:54" ht="15.75" customHeight="1">
      <c r="AY623" s="12"/>
      <c r="BA623" s="12"/>
      <c r="BB623" s="12"/>
    </row>
    <row r="624" spans="51:54" ht="15.75" customHeight="1">
      <c r="AY624" s="12"/>
      <c r="BA624" s="12"/>
      <c r="BB624" s="12"/>
    </row>
    <row r="625" spans="51:54" ht="15.75" customHeight="1">
      <c r="AY625" s="12"/>
      <c r="BA625" s="12"/>
      <c r="BB625" s="12"/>
    </row>
    <row r="626" spans="51:54" ht="15.75" customHeight="1">
      <c r="AY626" s="12"/>
      <c r="BA626" s="12"/>
      <c r="BB626" s="12"/>
    </row>
    <row r="627" spans="51:54" ht="15.75" customHeight="1">
      <c r="AY627" s="12"/>
      <c r="BA627" s="12"/>
      <c r="BB627" s="12"/>
    </row>
    <row r="628" spans="51:54" ht="15.75" customHeight="1">
      <c r="AY628" s="12"/>
      <c r="BA628" s="12"/>
      <c r="BB628" s="12"/>
    </row>
    <row r="629" spans="51:54" ht="15.75" customHeight="1">
      <c r="AY629" s="12"/>
      <c r="BA629" s="12"/>
      <c r="BB629" s="12"/>
    </row>
    <row r="630" spans="51:54" ht="15.75" customHeight="1">
      <c r="AY630" s="12"/>
      <c r="BA630" s="12"/>
      <c r="BB630" s="12"/>
    </row>
    <row r="631" spans="51:54" ht="15.75" customHeight="1">
      <c r="AY631" s="12"/>
      <c r="BA631" s="12"/>
      <c r="BB631" s="12"/>
    </row>
    <row r="632" spans="51:54" ht="15.75" customHeight="1">
      <c r="AY632" s="12"/>
      <c r="BA632" s="12"/>
      <c r="BB632" s="12"/>
    </row>
    <row r="633" spans="51:54" ht="15.75" customHeight="1">
      <c r="AY633" s="12"/>
      <c r="BA633" s="12"/>
      <c r="BB633" s="12"/>
    </row>
    <row r="634" spans="51:54" ht="15.75" customHeight="1">
      <c r="AY634" s="12"/>
      <c r="BA634" s="12"/>
      <c r="BB634" s="12"/>
    </row>
    <row r="635" spans="51:54" ht="15.75" customHeight="1">
      <c r="AY635" s="12"/>
      <c r="BA635" s="12"/>
      <c r="BB635" s="12"/>
    </row>
    <row r="636" spans="51:54" ht="15.75" customHeight="1">
      <c r="AY636" s="12"/>
      <c r="BA636" s="12"/>
      <c r="BB636" s="12"/>
    </row>
    <row r="637" spans="51:54" ht="15.75" customHeight="1">
      <c r="AY637" s="12"/>
      <c r="BA637" s="12"/>
      <c r="BB637" s="12"/>
    </row>
    <row r="638" spans="51:54" ht="15.75" customHeight="1">
      <c r="AY638" s="12"/>
      <c r="BA638" s="12"/>
      <c r="BB638" s="12"/>
    </row>
    <row r="639" spans="51:54" ht="15.75" customHeight="1">
      <c r="AY639" s="12"/>
      <c r="BA639" s="12"/>
      <c r="BB639" s="12"/>
    </row>
    <row r="640" spans="51:54" ht="15.75" customHeight="1">
      <c r="AY640" s="12"/>
      <c r="BA640" s="12"/>
      <c r="BB640" s="12"/>
    </row>
    <row r="641" spans="51:54" ht="15.75" customHeight="1">
      <c r="AY641" s="12"/>
      <c r="BA641" s="12"/>
      <c r="BB641" s="12"/>
    </row>
    <row r="642" spans="51:54" ht="15.75" customHeight="1">
      <c r="AY642" s="12"/>
      <c r="BA642" s="12"/>
      <c r="BB642" s="12"/>
    </row>
    <row r="643" spans="51:54" ht="15.75" customHeight="1">
      <c r="AY643" s="12"/>
      <c r="BA643" s="12"/>
      <c r="BB643" s="12"/>
    </row>
    <row r="644" spans="51:54" ht="15.75" customHeight="1">
      <c r="AY644" s="12"/>
      <c r="BA644" s="12"/>
      <c r="BB644" s="12"/>
    </row>
    <row r="645" spans="51:54" ht="15.75" customHeight="1">
      <c r="AY645" s="12"/>
      <c r="BA645" s="12"/>
      <c r="BB645" s="12"/>
    </row>
    <row r="646" spans="51:54" ht="15.75" customHeight="1">
      <c r="AY646" s="12"/>
      <c r="BA646" s="12"/>
      <c r="BB646" s="12"/>
    </row>
    <row r="647" spans="51:54" ht="15.75" customHeight="1">
      <c r="AY647" s="12"/>
      <c r="BA647" s="12"/>
      <c r="BB647" s="12"/>
    </row>
    <row r="648" spans="51:54" ht="15.75" customHeight="1">
      <c r="AY648" s="12"/>
      <c r="BA648" s="12"/>
      <c r="BB648" s="12"/>
    </row>
    <row r="649" spans="51:54" ht="15.75" customHeight="1">
      <c r="AY649" s="12"/>
      <c r="BA649" s="12"/>
      <c r="BB649" s="12"/>
    </row>
    <row r="650" spans="51:54" ht="15.75" customHeight="1">
      <c r="AY650" s="12"/>
      <c r="BA650" s="12"/>
      <c r="BB650" s="12"/>
    </row>
    <row r="651" spans="51:54" ht="15.75" customHeight="1">
      <c r="AY651" s="12"/>
      <c r="BA651" s="12"/>
      <c r="BB651" s="12"/>
    </row>
    <row r="652" spans="51:54" ht="15.75" customHeight="1">
      <c r="AY652" s="12"/>
      <c r="BA652" s="12"/>
      <c r="BB652" s="12"/>
    </row>
    <row r="653" spans="51:54" ht="15.75" customHeight="1">
      <c r="AY653" s="12"/>
      <c r="BA653" s="12"/>
      <c r="BB653" s="12"/>
    </row>
    <row r="654" spans="51:54" ht="15.75" customHeight="1">
      <c r="AY654" s="12"/>
      <c r="BA654" s="12"/>
      <c r="BB654" s="12"/>
    </row>
    <row r="655" spans="51:54" ht="15.75" customHeight="1">
      <c r="AY655" s="12"/>
      <c r="BA655" s="12"/>
      <c r="BB655" s="12"/>
    </row>
    <row r="656" spans="51:54" ht="15.75" customHeight="1">
      <c r="AY656" s="12"/>
      <c r="BA656" s="12"/>
      <c r="BB656" s="12"/>
    </row>
    <row r="657" spans="51:54" ht="15.75" customHeight="1">
      <c r="AY657" s="12"/>
      <c r="BA657" s="12"/>
      <c r="BB657" s="12"/>
    </row>
    <row r="658" spans="51:54" ht="15.75" customHeight="1">
      <c r="AY658" s="12"/>
      <c r="BA658" s="12"/>
      <c r="BB658" s="12"/>
    </row>
    <row r="659" spans="51:54" ht="15.75" customHeight="1">
      <c r="AY659" s="12"/>
      <c r="BA659" s="12"/>
      <c r="BB659" s="12"/>
    </row>
    <row r="660" spans="51:54" ht="15.75" customHeight="1">
      <c r="AY660" s="12"/>
      <c r="BA660" s="12"/>
      <c r="BB660" s="12"/>
    </row>
    <row r="661" spans="51:54" ht="15.75" customHeight="1">
      <c r="AY661" s="12"/>
      <c r="BA661" s="12"/>
      <c r="BB661" s="12"/>
    </row>
    <row r="662" spans="51:54" ht="15.75" customHeight="1">
      <c r="AY662" s="12"/>
      <c r="BA662" s="12"/>
      <c r="BB662" s="12"/>
    </row>
    <row r="663" spans="51:54" ht="15.75" customHeight="1">
      <c r="AY663" s="12"/>
      <c r="BA663" s="12"/>
      <c r="BB663" s="12"/>
    </row>
    <row r="664" spans="51:54" ht="15.75" customHeight="1">
      <c r="AY664" s="12"/>
      <c r="BA664" s="12"/>
      <c r="BB664" s="12"/>
    </row>
    <row r="665" spans="51:54" ht="15.75" customHeight="1">
      <c r="AY665" s="12"/>
      <c r="BA665" s="12"/>
      <c r="BB665" s="12"/>
    </row>
    <row r="666" spans="51:54" ht="15.75" customHeight="1">
      <c r="AY666" s="12"/>
      <c r="BA666" s="12"/>
      <c r="BB666" s="12"/>
    </row>
    <row r="667" spans="51:54" ht="15.75" customHeight="1">
      <c r="AY667" s="12"/>
      <c r="BA667" s="12"/>
      <c r="BB667" s="12"/>
    </row>
    <row r="668" spans="51:54" ht="15.75" customHeight="1">
      <c r="AY668" s="12"/>
      <c r="BA668" s="12"/>
      <c r="BB668" s="12"/>
    </row>
    <row r="669" spans="51:54" ht="15.75" customHeight="1">
      <c r="AY669" s="12"/>
      <c r="BA669" s="12"/>
      <c r="BB669" s="12"/>
    </row>
    <row r="670" spans="51:54" ht="15.75" customHeight="1">
      <c r="AY670" s="12"/>
      <c r="BA670" s="12"/>
      <c r="BB670" s="12"/>
    </row>
    <row r="671" spans="51:54" ht="15.75" customHeight="1">
      <c r="AY671" s="12"/>
      <c r="BA671" s="12"/>
      <c r="BB671" s="12"/>
    </row>
    <row r="672" spans="51:54" ht="15.75" customHeight="1">
      <c r="AY672" s="12"/>
      <c r="BA672" s="12"/>
      <c r="BB672" s="12"/>
    </row>
    <row r="673" spans="51:54" ht="15.75" customHeight="1">
      <c r="AY673" s="12"/>
      <c r="BA673" s="12"/>
      <c r="BB673" s="12"/>
    </row>
    <row r="674" spans="51:54" ht="15.75" customHeight="1">
      <c r="AY674" s="12"/>
      <c r="BA674" s="12"/>
      <c r="BB674" s="12"/>
    </row>
    <row r="675" spans="51:54" ht="15.75" customHeight="1">
      <c r="AY675" s="12"/>
      <c r="BA675" s="12"/>
      <c r="BB675" s="12"/>
    </row>
    <row r="676" spans="51:54" ht="15.75" customHeight="1">
      <c r="AY676" s="12"/>
      <c r="BA676" s="12"/>
      <c r="BB676" s="12"/>
    </row>
    <row r="677" spans="51:54" ht="15.75" customHeight="1">
      <c r="AY677" s="12"/>
      <c r="BA677" s="12"/>
      <c r="BB677" s="12"/>
    </row>
    <row r="678" spans="51:54" ht="15.75" customHeight="1">
      <c r="AY678" s="12"/>
      <c r="BA678" s="12"/>
      <c r="BB678" s="12"/>
    </row>
    <row r="679" spans="51:54" ht="15.75" customHeight="1">
      <c r="AY679" s="12"/>
      <c r="BA679" s="12"/>
      <c r="BB679" s="12"/>
    </row>
    <row r="680" spans="51:54" ht="15.75" customHeight="1">
      <c r="AY680" s="12"/>
      <c r="BA680" s="12"/>
      <c r="BB680" s="12"/>
    </row>
    <row r="681" spans="51:54" ht="15.75" customHeight="1">
      <c r="AY681" s="12"/>
      <c r="BA681" s="12"/>
      <c r="BB681" s="12"/>
    </row>
    <row r="682" spans="51:54" ht="15.75" customHeight="1">
      <c r="AY682" s="12"/>
      <c r="BA682" s="12"/>
      <c r="BB682" s="12"/>
    </row>
    <row r="683" spans="51:54" ht="15.75" customHeight="1">
      <c r="AY683" s="12"/>
      <c r="BA683" s="12"/>
      <c r="BB683" s="12"/>
    </row>
    <row r="684" spans="51:54" ht="15.75" customHeight="1">
      <c r="AY684" s="12"/>
      <c r="BA684" s="12"/>
      <c r="BB684" s="12"/>
    </row>
    <row r="685" spans="51:54" ht="15.75" customHeight="1">
      <c r="AY685" s="12"/>
      <c r="BA685" s="12"/>
      <c r="BB685" s="12"/>
    </row>
    <row r="686" spans="51:54" ht="15.75" customHeight="1">
      <c r="AY686" s="12"/>
      <c r="BA686" s="12"/>
      <c r="BB686" s="12"/>
    </row>
    <row r="687" spans="51:54" ht="15.75" customHeight="1">
      <c r="AY687" s="12"/>
      <c r="BA687" s="12"/>
      <c r="BB687" s="12"/>
    </row>
    <row r="688" spans="51:54" ht="15.75" customHeight="1">
      <c r="AY688" s="12"/>
      <c r="BA688" s="12"/>
      <c r="BB688" s="12"/>
    </row>
    <row r="689" spans="51:54" ht="15.75" customHeight="1">
      <c r="AY689" s="12"/>
      <c r="BA689" s="12"/>
      <c r="BB689" s="12"/>
    </row>
    <row r="690" spans="51:54" ht="15.75" customHeight="1">
      <c r="AY690" s="12"/>
      <c r="BA690" s="12"/>
      <c r="BB690" s="12"/>
    </row>
    <row r="691" spans="51:54" ht="15.75" customHeight="1">
      <c r="AY691" s="12"/>
      <c r="BA691" s="12"/>
      <c r="BB691" s="12"/>
    </row>
    <row r="692" spans="51:54" ht="15.75" customHeight="1">
      <c r="AY692" s="12"/>
      <c r="BA692" s="12"/>
      <c r="BB692" s="12"/>
    </row>
    <row r="693" spans="51:54" ht="15.75" customHeight="1">
      <c r="AY693" s="12"/>
      <c r="BA693" s="12"/>
      <c r="BB693" s="12"/>
    </row>
    <row r="694" spans="51:54" ht="15.75" customHeight="1">
      <c r="AY694" s="12"/>
      <c r="BA694" s="12"/>
      <c r="BB694" s="12"/>
    </row>
    <row r="695" spans="51:54" ht="15.75" customHeight="1">
      <c r="AY695" s="12"/>
      <c r="BA695" s="12"/>
      <c r="BB695" s="12"/>
    </row>
    <row r="696" spans="51:54" ht="15.75" customHeight="1">
      <c r="AY696" s="12"/>
      <c r="BA696" s="12"/>
      <c r="BB696" s="12"/>
    </row>
    <row r="697" spans="51:54" ht="15.75" customHeight="1">
      <c r="AY697" s="12"/>
      <c r="BA697" s="12"/>
      <c r="BB697" s="12"/>
    </row>
    <row r="698" spans="51:54" ht="15.75" customHeight="1">
      <c r="AY698" s="12"/>
      <c r="BA698" s="12"/>
      <c r="BB698" s="12"/>
    </row>
    <row r="699" spans="51:54" ht="15.75" customHeight="1">
      <c r="AY699" s="12"/>
      <c r="BA699" s="12"/>
      <c r="BB699" s="12"/>
    </row>
    <row r="700" spans="51:54" ht="15.75" customHeight="1">
      <c r="AY700" s="12"/>
      <c r="BA700" s="12"/>
      <c r="BB700" s="12"/>
    </row>
    <row r="701" spans="51:54" ht="15.75" customHeight="1">
      <c r="AY701" s="12"/>
      <c r="BA701" s="12"/>
      <c r="BB701" s="12"/>
    </row>
    <row r="702" spans="51:54" ht="15.75" customHeight="1">
      <c r="AY702" s="12"/>
      <c r="BA702" s="12"/>
      <c r="BB702" s="12"/>
    </row>
    <row r="703" spans="51:54" ht="15.75" customHeight="1">
      <c r="AY703" s="12"/>
      <c r="BA703" s="12"/>
      <c r="BB703" s="12"/>
    </row>
    <row r="704" spans="51:54" ht="15.75" customHeight="1">
      <c r="AY704" s="12"/>
      <c r="BA704" s="12"/>
      <c r="BB704" s="12"/>
    </row>
    <row r="705" spans="51:54" ht="15.75" customHeight="1">
      <c r="AY705" s="12"/>
      <c r="BA705" s="12"/>
      <c r="BB705" s="12"/>
    </row>
    <row r="706" spans="51:54" ht="15.75" customHeight="1">
      <c r="AY706" s="12"/>
      <c r="BA706" s="12"/>
      <c r="BB706" s="12"/>
    </row>
    <row r="707" spans="51:54" ht="15.75" customHeight="1">
      <c r="AY707" s="12"/>
      <c r="BA707" s="12"/>
      <c r="BB707" s="12"/>
    </row>
    <row r="708" spans="51:54" ht="15.75" customHeight="1">
      <c r="AY708" s="12"/>
      <c r="BA708" s="12"/>
      <c r="BB708" s="12"/>
    </row>
    <row r="709" spans="51:54" ht="15.75" customHeight="1">
      <c r="AY709" s="12"/>
      <c r="BA709" s="12"/>
      <c r="BB709" s="12"/>
    </row>
    <row r="710" spans="51:54" ht="15.75" customHeight="1">
      <c r="AY710" s="12"/>
      <c r="BA710" s="12"/>
      <c r="BB710" s="12"/>
    </row>
    <row r="711" spans="51:54" ht="15.75" customHeight="1">
      <c r="AY711" s="12"/>
      <c r="BA711" s="12"/>
      <c r="BB711" s="12"/>
    </row>
    <row r="712" spans="51:54" ht="15.75" customHeight="1">
      <c r="AY712" s="12"/>
      <c r="BA712" s="12"/>
      <c r="BB712" s="12"/>
    </row>
    <row r="713" spans="51:54" ht="15.75" customHeight="1">
      <c r="AY713" s="12"/>
      <c r="BA713" s="12"/>
      <c r="BB713" s="12"/>
    </row>
    <row r="714" spans="51:54" ht="15.75" customHeight="1">
      <c r="AY714" s="12"/>
      <c r="BA714" s="12"/>
      <c r="BB714" s="12"/>
    </row>
    <row r="715" spans="51:54" ht="15.75" customHeight="1">
      <c r="AY715" s="12"/>
      <c r="BA715" s="12"/>
      <c r="BB715" s="12"/>
    </row>
    <row r="716" spans="51:54" ht="15.75" customHeight="1">
      <c r="AY716" s="12"/>
      <c r="BA716" s="12"/>
      <c r="BB716" s="12"/>
    </row>
    <row r="717" spans="51:54" ht="15.75" customHeight="1">
      <c r="AY717" s="12"/>
      <c r="BA717" s="12"/>
      <c r="BB717" s="12"/>
    </row>
    <row r="718" spans="51:54" ht="15.75" customHeight="1">
      <c r="AY718" s="12"/>
      <c r="BA718" s="12"/>
      <c r="BB718" s="12"/>
    </row>
    <row r="719" spans="51:54" ht="15.75" customHeight="1">
      <c r="AY719" s="12"/>
      <c r="BA719" s="12"/>
      <c r="BB719" s="12"/>
    </row>
    <row r="720" spans="51:54" ht="15.75" customHeight="1">
      <c r="AY720" s="12"/>
      <c r="BA720" s="12"/>
      <c r="BB720" s="12"/>
    </row>
    <row r="721" spans="51:54" ht="15.75" customHeight="1">
      <c r="AY721" s="12"/>
      <c r="BA721" s="12"/>
      <c r="BB721" s="12"/>
    </row>
    <row r="722" spans="51:54" ht="15.75" customHeight="1">
      <c r="AY722" s="12"/>
      <c r="BA722" s="12"/>
      <c r="BB722" s="12"/>
    </row>
    <row r="723" spans="51:54" ht="15.75" customHeight="1">
      <c r="AY723" s="12"/>
      <c r="BA723" s="12"/>
      <c r="BB723" s="12"/>
    </row>
    <row r="724" spans="51:54" ht="15.75" customHeight="1">
      <c r="AY724" s="12"/>
      <c r="BA724" s="12"/>
      <c r="BB724" s="12"/>
    </row>
    <row r="725" spans="51:54" ht="15.75" customHeight="1">
      <c r="AY725" s="12"/>
      <c r="BA725" s="12"/>
      <c r="BB725" s="12"/>
    </row>
    <row r="726" spans="51:54" ht="15.75" customHeight="1">
      <c r="AY726" s="12"/>
      <c r="BA726" s="12"/>
      <c r="BB726" s="12"/>
    </row>
    <row r="727" spans="51:54" ht="15.75" customHeight="1">
      <c r="AY727" s="12"/>
      <c r="BA727" s="12"/>
      <c r="BB727" s="12"/>
    </row>
    <row r="728" spans="51:54" ht="15.75" customHeight="1">
      <c r="AY728" s="12"/>
      <c r="BA728" s="12"/>
      <c r="BB728" s="12"/>
    </row>
    <row r="729" spans="51:54" ht="15.75" customHeight="1">
      <c r="AY729" s="12"/>
      <c r="BA729" s="12"/>
      <c r="BB729" s="12"/>
    </row>
    <row r="730" spans="51:54" ht="15.75" customHeight="1">
      <c r="AY730" s="12"/>
      <c r="BA730" s="12"/>
      <c r="BB730" s="12"/>
    </row>
    <row r="731" spans="51:54" ht="15.75" customHeight="1">
      <c r="AY731" s="12"/>
      <c r="BA731" s="12"/>
      <c r="BB731" s="12"/>
    </row>
    <row r="732" spans="51:54" ht="15.75" customHeight="1">
      <c r="AY732" s="12"/>
      <c r="BA732" s="12"/>
      <c r="BB732" s="12"/>
    </row>
    <row r="733" spans="51:54" ht="15.75" customHeight="1">
      <c r="AY733" s="12"/>
      <c r="BA733" s="12"/>
      <c r="BB733" s="12"/>
    </row>
    <row r="734" spans="51:54" ht="15.75" customHeight="1">
      <c r="AY734" s="12"/>
      <c r="BA734" s="12"/>
      <c r="BB734" s="12"/>
    </row>
    <row r="735" spans="51:54" ht="15.75" customHeight="1">
      <c r="AY735" s="12"/>
      <c r="BA735" s="12"/>
      <c r="BB735" s="12"/>
    </row>
    <row r="736" spans="51:54" ht="15.75" customHeight="1">
      <c r="AY736" s="12"/>
      <c r="BA736" s="12"/>
      <c r="BB736" s="12"/>
    </row>
    <row r="737" spans="51:54" ht="15.75" customHeight="1">
      <c r="AY737" s="12"/>
      <c r="BA737" s="12"/>
      <c r="BB737" s="12"/>
    </row>
    <row r="738" spans="51:54" ht="15.75" customHeight="1">
      <c r="AY738" s="12"/>
      <c r="BA738" s="12"/>
      <c r="BB738" s="12"/>
    </row>
    <row r="739" spans="51:54" ht="15.75" customHeight="1">
      <c r="AY739" s="12"/>
      <c r="BA739" s="12"/>
      <c r="BB739" s="12"/>
    </row>
    <row r="740" spans="51:54" ht="15.75" customHeight="1">
      <c r="AY740" s="12"/>
      <c r="BA740" s="12"/>
      <c r="BB740" s="12"/>
    </row>
    <row r="741" spans="51:54" ht="15.75" customHeight="1">
      <c r="AY741" s="12"/>
      <c r="BA741" s="12"/>
      <c r="BB741" s="12"/>
    </row>
    <row r="742" spans="51:54" ht="15.75" customHeight="1">
      <c r="AY742" s="12"/>
      <c r="BA742" s="12"/>
      <c r="BB742" s="12"/>
    </row>
    <row r="743" spans="51:54" ht="15.75" customHeight="1">
      <c r="AY743" s="12"/>
      <c r="BA743" s="12"/>
      <c r="BB743" s="12"/>
    </row>
    <row r="744" spans="51:54" ht="15.75" customHeight="1">
      <c r="AY744" s="12"/>
      <c r="BA744" s="12"/>
      <c r="BB744" s="12"/>
    </row>
    <row r="745" spans="51:54" ht="15.75" customHeight="1">
      <c r="AY745" s="12"/>
      <c r="BA745" s="12"/>
      <c r="BB745" s="12"/>
    </row>
    <row r="746" spans="51:54" ht="15.75" customHeight="1">
      <c r="AY746" s="12"/>
      <c r="BA746" s="12"/>
      <c r="BB746" s="12"/>
    </row>
    <row r="747" spans="51:54" ht="15.75" customHeight="1">
      <c r="AY747" s="12"/>
      <c r="BA747" s="12"/>
      <c r="BB747" s="12"/>
    </row>
    <row r="748" spans="51:54" ht="15.75" customHeight="1">
      <c r="AY748" s="12"/>
      <c r="BA748" s="12"/>
      <c r="BB748" s="12"/>
    </row>
    <row r="749" spans="51:54" ht="15.75" customHeight="1">
      <c r="AY749" s="12"/>
      <c r="BA749" s="12"/>
      <c r="BB749" s="12"/>
    </row>
    <row r="750" spans="51:54" ht="15.75" customHeight="1">
      <c r="AY750" s="12"/>
      <c r="BA750" s="12"/>
      <c r="BB750" s="12"/>
    </row>
    <row r="751" spans="51:54" ht="15.75" customHeight="1">
      <c r="AY751" s="12"/>
      <c r="BA751" s="12"/>
      <c r="BB751" s="12"/>
    </row>
    <row r="752" spans="51:54" ht="15.75" customHeight="1">
      <c r="AY752" s="12"/>
      <c r="BA752" s="12"/>
      <c r="BB752" s="12"/>
    </row>
    <row r="753" spans="51:54" ht="15.75" customHeight="1">
      <c r="AY753" s="12"/>
      <c r="BA753" s="12"/>
      <c r="BB753" s="12"/>
    </row>
    <row r="754" spans="51:54" ht="15.75" customHeight="1">
      <c r="AY754" s="12"/>
      <c r="BA754" s="12"/>
      <c r="BB754" s="12"/>
    </row>
    <row r="755" spans="51:54" ht="15.75" customHeight="1">
      <c r="AY755" s="12"/>
      <c r="BA755" s="12"/>
      <c r="BB755" s="12"/>
    </row>
    <row r="756" spans="51:54" ht="15.75" customHeight="1">
      <c r="AY756" s="12"/>
      <c r="BA756" s="12"/>
      <c r="BB756" s="12"/>
    </row>
    <row r="757" spans="51:54" ht="15.75" customHeight="1">
      <c r="AY757" s="12"/>
      <c r="BA757" s="12"/>
      <c r="BB757" s="12"/>
    </row>
    <row r="758" spans="51:54" ht="15.75" customHeight="1">
      <c r="AY758" s="12"/>
      <c r="BA758" s="12"/>
      <c r="BB758" s="12"/>
    </row>
    <row r="759" spans="51:54" ht="15.75" customHeight="1">
      <c r="AY759" s="12"/>
      <c r="BA759" s="12"/>
      <c r="BB759" s="12"/>
    </row>
    <row r="760" spans="51:54" ht="15.75" customHeight="1">
      <c r="AY760" s="12"/>
      <c r="BA760" s="12"/>
      <c r="BB760" s="12"/>
    </row>
    <row r="761" spans="51:54" ht="15.75" customHeight="1">
      <c r="AY761" s="12"/>
      <c r="BA761" s="12"/>
      <c r="BB761" s="12"/>
    </row>
    <row r="762" spans="51:54" ht="15.75" customHeight="1">
      <c r="AY762" s="12"/>
      <c r="BA762" s="12"/>
      <c r="BB762" s="12"/>
    </row>
    <row r="763" spans="51:54" ht="15.75" customHeight="1">
      <c r="AY763" s="12"/>
      <c r="BA763" s="12"/>
      <c r="BB763" s="12"/>
    </row>
    <row r="764" spans="51:54" ht="15.75" customHeight="1">
      <c r="AY764" s="12"/>
      <c r="BA764" s="12"/>
      <c r="BB764" s="12"/>
    </row>
    <row r="765" spans="51:54" ht="15.75" customHeight="1">
      <c r="AY765" s="12"/>
      <c r="BA765" s="12"/>
      <c r="BB765" s="12"/>
    </row>
    <row r="766" spans="51:54" ht="15.75" customHeight="1">
      <c r="AY766" s="12"/>
      <c r="BA766" s="12"/>
      <c r="BB766" s="12"/>
    </row>
    <row r="767" spans="51:54" ht="15.75" customHeight="1">
      <c r="AY767" s="12"/>
      <c r="BA767" s="12"/>
      <c r="BB767" s="12"/>
    </row>
    <row r="768" spans="51:54" ht="15.75" customHeight="1">
      <c r="AY768" s="12"/>
      <c r="BA768" s="12"/>
      <c r="BB768" s="12"/>
    </row>
    <row r="769" spans="51:54" ht="15.75" customHeight="1">
      <c r="AY769" s="12"/>
      <c r="BA769" s="12"/>
      <c r="BB769" s="12"/>
    </row>
    <row r="770" spans="51:54" ht="15.75" customHeight="1">
      <c r="AY770" s="12"/>
      <c r="BA770" s="12"/>
      <c r="BB770" s="12"/>
    </row>
    <row r="771" spans="51:54" ht="15.75" customHeight="1">
      <c r="AY771" s="12"/>
      <c r="BA771" s="12"/>
      <c r="BB771" s="12"/>
    </row>
    <row r="772" spans="51:54" ht="15.75" customHeight="1">
      <c r="AY772" s="12"/>
      <c r="BA772" s="12"/>
      <c r="BB772" s="12"/>
    </row>
    <row r="773" spans="51:54" ht="15.75" customHeight="1">
      <c r="AY773" s="12"/>
      <c r="BA773" s="12"/>
      <c r="BB773" s="12"/>
    </row>
    <row r="774" spans="51:54" ht="15.75" customHeight="1">
      <c r="AY774" s="12"/>
      <c r="BA774" s="12"/>
      <c r="BB774" s="12"/>
    </row>
    <row r="775" spans="51:54" ht="15.75" customHeight="1">
      <c r="AY775" s="12"/>
      <c r="BA775" s="12"/>
      <c r="BB775" s="12"/>
    </row>
    <row r="776" spans="51:54" ht="15.75" customHeight="1">
      <c r="AY776" s="12"/>
      <c r="BA776" s="12"/>
      <c r="BB776" s="12"/>
    </row>
    <row r="777" spans="51:54" ht="15.75" customHeight="1">
      <c r="AY777" s="12"/>
      <c r="BA777" s="12"/>
      <c r="BB777" s="12"/>
    </row>
    <row r="778" spans="51:54" ht="15.75" customHeight="1">
      <c r="AY778" s="12"/>
      <c r="BA778" s="12"/>
      <c r="BB778" s="12"/>
    </row>
    <row r="779" spans="51:54" ht="15.75" customHeight="1">
      <c r="AY779" s="12"/>
      <c r="BA779" s="12"/>
      <c r="BB779" s="12"/>
    </row>
    <row r="780" spans="51:54" ht="15.75" customHeight="1">
      <c r="AY780" s="12"/>
      <c r="BA780" s="12"/>
      <c r="BB780" s="12"/>
    </row>
    <row r="781" spans="51:54" ht="15.75" customHeight="1">
      <c r="AY781" s="12"/>
      <c r="BA781" s="12"/>
      <c r="BB781" s="12"/>
    </row>
    <row r="782" spans="51:54" ht="15.75" customHeight="1">
      <c r="AY782" s="12"/>
      <c r="BA782" s="12"/>
      <c r="BB782" s="12"/>
    </row>
    <row r="783" spans="51:54" ht="15.75" customHeight="1">
      <c r="AY783" s="12"/>
      <c r="BA783" s="12"/>
      <c r="BB783" s="12"/>
    </row>
    <row r="784" spans="51:54" ht="15.75" customHeight="1">
      <c r="AY784" s="12"/>
      <c r="BA784" s="12"/>
      <c r="BB784" s="12"/>
    </row>
    <row r="785" spans="51:54" ht="15.75" customHeight="1">
      <c r="AY785" s="12"/>
      <c r="BA785" s="12"/>
      <c r="BB785" s="12"/>
    </row>
    <row r="786" spans="51:54" ht="15.75" customHeight="1">
      <c r="AY786" s="12"/>
      <c r="BA786" s="12"/>
      <c r="BB786" s="12"/>
    </row>
    <row r="787" spans="51:54" ht="15.75" customHeight="1">
      <c r="AY787" s="12"/>
      <c r="BA787" s="12"/>
      <c r="BB787" s="12"/>
    </row>
    <row r="788" spans="51:54" ht="15.75" customHeight="1">
      <c r="AY788" s="12"/>
      <c r="BA788" s="12"/>
      <c r="BB788" s="12"/>
    </row>
    <row r="789" spans="51:54" ht="15.75" customHeight="1">
      <c r="AY789" s="12"/>
      <c r="BA789" s="12"/>
      <c r="BB789" s="12"/>
    </row>
    <row r="790" spans="51:54" ht="15.75" customHeight="1">
      <c r="AY790" s="12"/>
      <c r="BA790" s="12"/>
      <c r="BB790" s="12"/>
    </row>
    <row r="791" spans="51:54" ht="15.75" customHeight="1">
      <c r="AY791" s="12"/>
      <c r="BA791" s="12"/>
      <c r="BB791" s="12"/>
    </row>
    <row r="792" spans="51:54" ht="15.75" customHeight="1">
      <c r="AY792" s="12"/>
      <c r="BA792" s="12"/>
      <c r="BB792" s="12"/>
    </row>
    <row r="793" spans="51:54" ht="15.75" customHeight="1">
      <c r="AY793" s="12"/>
      <c r="BA793" s="12"/>
      <c r="BB793" s="12"/>
    </row>
    <row r="794" spans="51:54" ht="15.75" customHeight="1">
      <c r="AY794" s="12"/>
      <c r="BA794" s="12"/>
      <c r="BB794" s="12"/>
    </row>
    <row r="795" spans="51:54" ht="15.75" customHeight="1">
      <c r="AY795" s="12"/>
      <c r="BA795" s="12"/>
      <c r="BB795" s="12"/>
    </row>
    <row r="796" spans="51:54" ht="15.75" customHeight="1">
      <c r="AY796" s="12"/>
      <c r="BA796" s="12"/>
      <c r="BB796" s="12"/>
    </row>
    <row r="797" spans="51:54" ht="15.75" customHeight="1">
      <c r="AY797" s="12"/>
      <c r="BA797" s="12"/>
      <c r="BB797" s="12"/>
    </row>
    <row r="798" spans="51:54" ht="15.75" customHeight="1">
      <c r="AY798" s="12"/>
      <c r="BA798" s="12"/>
      <c r="BB798" s="12"/>
    </row>
    <row r="799" spans="51:54" ht="15.75" customHeight="1">
      <c r="AY799" s="12"/>
      <c r="BA799" s="12"/>
      <c r="BB799" s="12"/>
    </row>
    <row r="800" spans="51:54" ht="15.75" customHeight="1">
      <c r="AY800" s="12"/>
      <c r="BA800" s="12"/>
      <c r="BB800" s="12"/>
    </row>
    <row r="801" spans="51:54" ht="15.75" customHeight="1">
      <c r="AY801" s="12"/>
      <c r="BA801" s="12"/>
      <c r="BB801" s="12"/>
    </row>
    <row r="802" spans="51:54" ht="15.75" customHeight="1">
      <c r="AY802" s="12"/>
      <c r="BA802" s="12"/>
      <c r="BB802" s="12"/>
    </row>
    <row r="803" spans="51:54" ht="15.75" customHeight="1">
      <c r="AY803" s="12"/>
      <c r="BA803" s="12"/>
      <c r="BB803" s="12"/>
    </row>
    <row r="804" spans="51:54" ht="15.75" customHeight="1">
      <c r="AY804" s="12"/>
      <c r="BA804" s="12"/>
      <c r="BB804" s="12"/>
    </row>
    <row r="805" spans="51:54" ht="15.75" customHeight="1">
      <c r="AY805" s="12"/>
      <c r="BA805" s="12"/>
      <c r="BB805" s="12"/>
    </row>
    <row r="806" spans="51:54" ht="15.75" customHeight="1">
      <c r="AY806" s="12"/>
      <c r="BA806" s="12"/>
      <c r="BB806" s="12"/>
    </row>
    <row r="807" spans="51:54" ht="15.75" customHeight="1">
      <c r="AY807" s="12"/>
      <c r="BA807" s="12"/>
      <c r="BB807" s="12"/>
    </row>
    <row r="808" spans="51:54" ht="15.75" customHeight="1">
      <c r="AY808" s="12"/>
      <c r="BA808" s="12"/>
      <c r="BB808" s="12"/>
    </row>
    <row r="809" spans="51:54" ht="15.75" customHeight="1">
      <c r="AY809" s="12"/>
      <c r="BA809" s="12"/>
      <c r="BB809" s="12"/>
    </row>
    <row r="810" spans="51:54" ht="15.75" customHeight="1">
      <c r="AY810" s="12"/>
      <c r="BA810" s="12"/>
      <c r="BB810" s="12"/>
    </row>
    <row r="811" spans="51:54" ht="15.75" customHeight="1">
      <c r="AY811" s="12"/>
      <c r="BA811" s="12"/>
      <c r="BB811" s="12"/>
    </row>
    <row r="812" spans="51:54" ht="15.75" customHeight="1">
      <c r="AY812" s="12"/>
      <c r="BA812" s="12"/>
      <c r="BB812" s="12"/>
    </row>
    <row r="813" spans="51:54" ht="15.75" customHeight="1">
      <c r="AY813" s="12"/>
      <c r="BA813" s="12"/>
      <c r="BB813" s="12"/>
    </row>
    <row r="814" spans="51:54" ht="15.75" customHeight="1">
      <c r="AY814" s="12"/>
      <c r="BA814" s="12"/>
      <c r="BB814" s="12"/>
    </row>
    <row r="815" spans="51:54" ht="15.75" customHeight="1">
      <c r="AY815" s="12"/>
      <c r="BA815" s="12"/>
      <c r="BB815" s="12"/>
    </row>
    <row r="816" spans="51:54" ht="15.75" customHeight="1">
      <c r="AY816" s="12"/>
      <c r="BA816" s="12"/>
      <c r="BB816" s="12"/>
    </row>
    <row r="817" spans="51:54" ht="15.75" customHeight="1">
      <c r="AY817" s="12"/>
      <c r="BA817" s="12"/>
      <c r="BB817" s="12"/>
    </row>
    <row r="818" spans="51:54" ht="15.75" customHeight="1">
      <c r="AY818" s="12"/>
      <c r="BA818" s="12"/>
      <c r="BB818" s="12"/>
    </row>
    <row r="819" spans="51:54" ht="15.75" customHeight="1">
      <c r="AY819" s="12"/>
      <c r="BA819" s="12"/>
      <c r="BB819" s="12"/>
    </row>
    <row r="820" spans="51:54" ht="15.75" customHeight="1">
      <c r="AY820" s="12"/>
      <c r="BA820" s="12"/>
      <c r="BB820" s="12"/>
    </row>
    <row r="821" spans="51:54" ht="15.75" customHeight="1">
      <c r="AY821" s="12"/>
      <c r="BA821" s="12"/>
      <c r="BB821" s="12"/>
    </row>
    <row r="822" spans="51:54" ht="15.75" customHeight="1">
      <c r="AY822" s="12"/>
      <c r="BA822" s="12"/>
      <c r="BB822" s="12"/>
    </row>
    <row r="823" spans="51:54" ht="15.75" customHeight="1">
      <c r="AY823" s="12"/>
      <c r="BA823" s="12"/>
      <c r="BB823" s="12"/>
    </row>
    <row r="824" spans="51:54" ht="15.75" customHeight="1">
      <c r="AY824" s="12"/>
      <c r="BA824" s="12"/>
      <c r="BB824" s="12"/>
    </row>
    <row r="825" spans="51:54" ht="15.75" customHeight="1">
      <c r="AY825" s="12"/>
      <c r="BA825" s="12"/>
      <c r="BB825" s="12"/>
    </row>
    <row r="826" spans="51:54" ht="15.75" customHeight="1">
      <c r="AY826" s="12"/>
      <c r="BA826" s="12"/>
      <c r="BB826" s="12"/>
    </row>
    <row r="827" spans="51:54" ht="15.75" customHeight="1">
      <c r="AY827" s="12"/>
      <c r="BA827" s="12"/>
      <c r="BB827" s="12"/>
    </row>
    <row r="828" spans="51:54" ht="15.75" customHeight="1">
      <c r="AY828" s="12"/>
      <c r="BA828" s="12"/>
      <c r="BB828" s="12"/>
    </row>
    <row r="829" spans="51:54" ht="15.75" customHeight="1">
      <c r="AY829" s="12"/>
      <c r="BA829" s="12"/>
      <c r="BB829" s="12"/>
    </row>
    <row r="830" spans="51:54" ht="15.75" customHeight="1">
      <c r="AY830" s="12"/>
      <c r="BA830" s="12"/>
      <c r="BB830" s="12"/>
    </row>
    <row r="831" spans="51:54" ht="15.75" customHeight="1">
      <c r="AY831" s="12"/>
      <c r="BA831" s="12"/>
      <c r="BB831" s="12"/>
    </row>
    <row r="832" spans="51:54" ht="15.75" customHeight="1">
      <c r="AY832" s="12"/>
      <c r="BA832" s="12"/>
      <c r="BB832" s="12"/>
    </row>
    <row r="833" spans="51:54" ht="15.75" customHeight="1">
      <c r="AY833" s="12"/>
      <c r="BA833" s="12"/>
      <c r="BB833" s="12"/>
    </row>
    <row r="834" spans="51:54" ht="15.75" customHeight="1">
      <c r="AY834" s="12"/>
      <c r="BA834" s="12"/>
      <c r="BB834" s="12"/>
    </row>
    <row r="835" spans="51:54" ht="15.75" customHeight="1">
      <c r="AY835" s="12"/>
      <c r="BA835" s="12"/>
      <c r="BB835" s="12"/>
    </row>
    <row r="836" spans="51:54" ht="15.75" customHeight="1">
      <c r="AY836" s="12"/>
      <c r="BA836" s="12"/>
      <c r="BB836" s="12"/>
    </row>
    <row r="837" spans="51:54" ht="15.75" customHeight="1">
      <c r="AY837" s="12"/>
      <c r="BA837" s="12"/>
      <c r="BB837" s="12"/>
    </row>
    <row r="838" spans="51:54" ht="15.75" customHeight="1">
      <c r="AY838" s="12"/>
      <c r="BA838" s="12"/>
      <c r="BB838" s="12"/>
    </row>
    <row r="839" spans="51:54" ht="15.75" customHeight="1">
      <c r="AY839" s="12"/>
      <c r="BA839" s="12"/>
      <c r="BB839" s="12"/>
    </row>
    <row r="840" spans="51:54" ht="15.75" customHeight="1">
      <c r="AY840" s="12"/>
      <c r="BA840" s="12"/>
      <c r="BB840" s="12"/>
    </row>
    <row r="841" spans="51:54" ht="15.75" customHeight="1">
      <c r="AY841" s="12"/>
      <c r="BA841" s="12"/>
      <c r="BB841" s="12"/>
    </row>
    <row r="842" spans="51:54" ht="15.75" customHeight="1">
      <c r="AY842" s="12"/>
      <c r="BA842" s="12"/>
      <c r="BB842" s="12"/>
    </row>
    <row r="843" spans="51:54" ht="15.75" customHeight="1">
      <c r="AY843" s="12"/>
      <c r="BA843" s="12"/>
      <c r="BB843" s="12"/>
    </row>
    <row r="844" spans="51:54" ht="15.75" customHeight="1">
      <c r="AY844" s="12"/>
      <c r="BA844" s="12"/>
      <c r="BB844" s="12"/>
    </row>
    <row r="845" spans="51:54" ht="15.75" customHeight="1">
      <c r="AY845" s="12"/>
      <c r="BA845" s="12"/>
      <c r="BB845" s="12"/>
    </row>
    <row r="846" spans="51:54" ht="15.75" customHeight="1">
      <c r="AY846" s="12"/>
      <c r="BA846" s="12"/>
      <c r="BB846" s="12"/>
    </row>
    <row r="847" spans="51:54" ht="15.75" customHeight="1">
      <c r="AY847" s="12"/>
      <c r="BA847" s="12"/>
      <c r="BB847" s="12"/>
    </row>
    <row r="848" spans="51:54" ht="15.75" customHeight="1">
      <c r="AY848" s="12"/>
      <c r="BA848" s="12"/>
      <c r="BB848" s="12"/>
    </row>
    <row r="849" spans="51:54" ht="15.75" customHeight="1">
      <c r="AY849" s="12"/>
      <c r="BA849" s="12"/>
      <c r="BB849" s="12"/>
    </row>
    <row r="850" spans="51:54" ht="15.75" customHeight="1">
      <c r="AY850" s="12"/>
      <c r="BA850" s="12"/>
      <c r="BB850" s="12"/>
    </row>
    <row r="851" spans="51:54" ht="15.75" customHeight="1">
      <c r="AY851" s="12"/>
      <c r="BA851" s="12"/>
      <c r="BB851" s="12"/>
    </row>
    <row r="852" spans="51:54" ht="15.75" customHeight="1">
      <c r="AY852" s="12"/>
      <c r="BA852" s="12"/>
      <c r="BB852" s="12"/>
    </row>
    <row r="853" spans="51:54" ht="15.75" customHeight="1">
      <c r="AY853" s="12"/>
      <c r="BA853" s="12"/>
      <c r="BB853" s="12"/>
    </row>
    <row r="854" spans="51:54" ht="15.75" customHeight="1">
      <c r="AY854" s="12"/>
      <c r="BA854" s="12"/>
      <c r="BB854" s="12"/>
    </row>
    <row r="855" spans="51:54" ht="15.75" customHeight="1">
      <c r="AY855" s="12"/>
      <c r="BA855" s="12"/>
      <c r="BB855" s="12"/>
    </row>
    <row r="856" spans="51:54" ht="15.75" customHeight="1">
      <c r="AY856" s="12"/>
      <c r="BA856" s="12"/>
      <c r="BB856" s="12"/>
    </row>
    <row r="857" spans="51:54" ht="15.75" customHeight="1">
      <c r="AY857" s="12"/>
      <c r="BA857" s="12"/>
      <c r="BB857" s="12"/>
    </row>
    <row r="858" spans="51:54" ht="15.75" customHeight="1">
      <c r="AY858" s="12"/>
      <c r="BA858" s="12"/>
      <c r="BB858" s="12"/>
    </row>
    <row r="859" spans="51:54" ht="15.75" customHeight="1">
      <c r="AY859" s="12"/>
      <c r="BA859" s="12"/>
      <c r="BB859" s="12"/>
    </row>
    <row r="860" spans="51:54" ht="15.75" customHeight="1">
      <c r="AY860" s="12"/>
      <c r="BA860" s="12"/>
      <c r="BB860" s="12"/>
    </row>
    <row r="861" spans="51:54" ht="15.75" customHeight="1">
      <c r="AY861" s="12"/>
      <c r="BA861" s="12"/>
      <c r="BB861" s="12"/>
    </row>
    <row r="862" spans="51:54" ht="15.75" customHeight="1">
      <c r="AY862" s="12"/>
      <c r="BA862" s="12"/>
      <c r="BB862" s="12"/>
    </row>
    <row r="863" spans="51:54" ht="15.75" customHeight="1">
      <c r="AY863" s="12"/>
      <c r="BA863" s="12"/>
      <c r="BB863" s="12"/>
    </row>
    <row r="864" spans="51:54" ht="15.75" customHeight="1">
      <c r="AY864" s="12"/>
      <c r="BA864" s="12"/>
      <c r="BB864" s="12"/>
    </row>
    <row r="865" spans="51:54" ht="15.75" customHeight="1">
      <c r="AY865" s="12"/>
      <c r="BA865" s="12"/>
      <c r="BB865" s="12"/>
    </row>
    <row r="866" spans="51:54" ht="15.75" customHeight="1">
      <c r="AY866" s="12"/>
      <c r="BA866" s="12"/>
      <c r="BB866" s="12"/>
    </row>
    <row r="867" spans="51:54" ht="15.75" customHeight="1">
      <c r="AY867" s="12"/>
      <c r="BA867" s="12"/>
      <c r="BB867" s="12"/>
    </row>
    <row r="868" spans="51:54" ht="15.75" customHeight="1">
      <c r="AY868" s="12"/>
      <c r="BA868" s="12"/>
      <c r="BB868" s="12"/>
    </row>
    <row r="869" spans="51:54" ht="15.75" customHeight="1">
      <c r="AY869" s="12"/>
      <c r="BA869" s="12"/>
      <c r="BB869" s="12"/>
    </row>
    <row r="870" spans="51:54" ht="15.75" customHeight="1">
      <c r="AY870" s="12"/>
      <c r="BA870" s="12"/>
      <c r="BB870" s="12"/>
    </row>
    <row r="871" spans="51:54" ht="15.75" customHeight="1">
      <c r="AY871" s="12"/>
      <c r="BA871" s="12"/>
      <c r="BB871" s="12"/>
    </row>
    <row r="872" spans="51:54" ht="15.75" customHeight="1">
      <c r="AY872" s="12"/>
      <c r="BA872" s="12"/>
      <c r="BB872" s="12"/>
    </row>
    <row r="873" spans="51:54" ht="15.75" customHeight="1">
      <c r="AY873" s="12"/>
      <c r="BA873" s="12"/>
      <c r="BB873" s="12"/>
    </row>
    <row r="874" spans="51:54" ht="15.75" customHeight="1">
      <c r="AY874" s="12"/>
      <c r="BA874" s="12"/>
      <c r="BB874" s="12"/>
    </row>
    <row r="875" spans="51:54" ht="15.75" customHeight="1">
      <c r="AY875" s="12"/>
      <c r="BA875" s="12"/>
      <c r="BB875" s="12"/>
    </row>
    <row r="876" spans="51:54" ht="15.75" customHeight="1">
      <c r="AY876" s="12"/>
      <c r="BA876" s="12"/>
      <c r="BB876" s="12"/>
    </row>
    <row r="877" spans="51:54" ht="15.75" customHeight="1">
      <c r="AY877" s="12"/>
      <c r="BA877" s="12"/>
      <c r="BB877" s="12"/>
    </row>
    <row r="878" spans="51:54" ht="15.75" customHeight="1">
      <c r="AY878" s="12"/>
      <c r="BA878" s="12"/>
      <c r="BB878" s="12"/>
    </row>
    <row r="879" spans="51:54" ht="15.75" customHeight="1">
      <c r="AY879" s="12"/>
      <c r="BA879" s="12"/>
      <c r="BB879" s="12"/>
    </row>
    <row r="880" spans="51:54" ht="15.75" customHeight="1">
      <c r="AY880" s="12"/>
      <c r="BA880" s="12"/>
      <c r="BB880" s="12"/>
    </row>
    <row r="881" spans="51:54" ht="15.75" customHeight="1">
      <c r="AY881" s="12"/>
      <c r="BA881" s="12"/>
      <c r="BB881" s="12"/>
    </row>
    <row r="882" spans="51:54" ht="15.75" customHeight="1">
      <c r="AY882" s="12"/>
      <c r="BA882" s="12"/>
      <c r="BB882" s="12"/>
    </row>
    <row r="883" spans="51:54" ht="15.75" customHeight="1">
      <c r="AY883" s="12"/>
      <c r="BA883" s="12"/>
      <c r="BB883" s="12"/>
    </row>
    <row r="884" spans="51:54" ht="15.75" customHeight="1">
      <c r="AY884" s="12"/>
      <c r="BA884" s="12"/>
      <c r="BB884" s="12"/>
    </row>
    <row r="885" spans="51:54" ht="15.75" customHeight="1">
      <c r="AY885" s="12"/>
      <c r="BA885" s="12"/>
      <c r="BB885" s="12"/>
    </row>
    <row r="886" spans="51:54" ht="15.75" customHeight="1">
      <c r="AY886" s="12"/>
      <c r="BA886" s="12"/>
      <c r="BB886" s="12"/>
    </row>
    <row r="887" spans="51:54" ht="15.75" customHeight="1">
      <c r="AY887" s="12"/>
      <c r="BA887" s="12"/>
      <c r="BB887" s="12"/>
    </row>
    <row r="888" spans="51:54" ht="15.75" customHeight="1">
      <c r="AY888" s="12"/>
      <c r="BA888" s="12"/>
      <c r="BB888" s="12"/>
    </row>
    <row r="889" spans="51:54" ht="15.75" customHeight="1">
      <c r="AY889" s="12"/>
      <c r="BA889" s="12"/>
      <c r="BB889" s="12"/>
    </row>
    <row r="890" spans="51:54" ht="15.75" customHeight="1">
      <c r="AY890" s="12"/>
      <c r="BA890" s="12"/>
      <c r="BB890" s="12"/>
    </row>
    <row r="891" spans="51:54" ht="15.75" customHeight="1">
      <c r="AY891" s="12"/>
      <c r="BA891" s="12"/>
      <c r="BB891" s="12"/>
    </row>
    <row r="892" spans="51:54" ht="15.75" customHeight="1">
      <c r="AY892" s="12"/>
      <c r="BA892" s="12"/>
      <c r="BB892" s="12"/>
    </row>
    <row r="893" spans="51:54" ht="15.75" customHeight="1">
      <c r="AY893" s="12"/>
      <c r="BA893" s="12"/>
      <c r="BB893" s="12"/>
    </row>
    <row r="894" spans="51:54" ht="15.75" customHeight="1">
      <c r="AY894" s="12"/>
      <c r="BA894" s="12"/>
      <c r="BB894" s="12"/>
    </row>
    <row r="895" spans="51:54" ht="15.75" customHeight="1">
      <c r="AY895" s="12"/>
      <c r="BA895" s="12"/>
      <c r="BB895" s="12"/>
    </row>
    <row r="896" spans="51:54" ht="15.75" customHeight="1">
      <c r="AY896" s="12"/>
      <c r="BA896" s="12"/>
      <c r="BB896" s="12"/>
    </row>
    <row r="897" spans="51:54" ht="15.75" customHeight="1">
      <c r="AY897" s="12"/>
      <c r="BA897" s="12"/>
      <c r="BB897" s="12"/>
    </row>
    <row r="898" spans="51:54" ht="15.75" customHeight="1">
      <c r="AY898" s="12"/>
      <c r="BA898" s="12"/>
      <c r="BB898" s="12"/>
    </row>
    <row r="899" spans="51:54" ht="15.75" customHeight="1">
      <c r="AY899" s="12"/>
      <c r="BA899" s="12"/>
      <c r="BB899" s="12"/>
    </row>
    <row r="900" spans="51:54" ht="15.75" customHeight="1">
      <c r="AY900" s="12"/>
      <c r="BA900" s="12"/>
      <c r="BB900" s="12"/>
    </row>
    <row r="901" spans="51:54" ht="15.75" customHeight="1">
      <c r="AY901" s="12"/>
      <c r="BA901" s="12"/>
      <c r="BB901" s="12"/>
    </row>
    <row r="902" spans="51:54" ht="15.75" customHeight="1">
      <c r="AY902" s="12"/>
      <c r="BA902" s="12"/>
      <c r="BB902" s="12"/>
    </row>
    <row r="903" spans="51:54" ht="15.75" customHeight="1">
      <c r="AY903" s="12"/>
      <c r="BA903" s="12"/>
      <c r="BB903" s="12"/>
    </row>
    <row r="904" spans="51:54" ht="15.75" customHeight="1">
      <c r="AY904" s="12"/>
      <c r="BA904" s="12"/>
      <c r="BB904" s="12"/>
    </row>
    <row r="905" spans="51:54" ht="15.75" customHeight="1">
      <c r="AY905" s="12"/>
      <c r="BA905" s="12"/>
      <c r="BB905" s="12"/>
    </row>
    <row r="906" spans="51:54" ht="15.75" customHeight="1">
      <c r="AY906" s="12"/>
      <c r="BA906" s="12"/>
      <c r="BB906" s="12"/>
    </row>
    <row r="907" spans="51:54" ht="15.75" customHeight="1">
      <c r="AY907" s="12"/>
      <c r="BA907" s="12"/>
      <c r="BB907" s="12"/>
    </row>
    <row r="908" spans="51:54" ht="15.75" customHeight="1">
      <c r="AY908" s="12"/>
      <c r="BA908" s="12"/>
      <c r="BB908" s="12"/>
    </row>
    <row r="909" spans="51:54" ht="15.75" customHeight="1">
      <c r="AY909" s="12"/>
      <c r="BA909" s="12"/>
      <c r="BB909" s="12"/>
    </row>
    <row r="910" spans="51:54" ht="15.75" customHeight="1">
      <c r="AY910" s="12"/>
      <c r="BA910" s="12"/>
      <c r="BB910" s="12"/>
    </row>
    <row r="911" spans="51:54" ht="15.75" customHeight="1">
      <c r="AY911" s="12"/>
      <c r="BA911" s="12"/>
      <c r="BB911" s="12"/>
    </row>
    <row r="912" spans="51:54" ht="15.75" customHeight="1">
      <c r="AY912" s="12"/>
      <c r="BA912" s="12"/>
      <c r="BB912" s="12"/>
    </row>
    <row r="913" spans="51:54" ht="15.75" customHeight="1">
      <c r="AY913" s="12"/>
      <c r="BA913" s="12"/>
      <c r="BB913" s="12"/>
    </row>
    <row r="914" spans="51:54" ht="15.75" customHeight="1">
      <c r="AY914" s="12"/>
      <c r="BA914" s="12"/>
      <c r="BB914" s="12"/>
    </row>
    <row r="915" spans="51:54" ht="15.75" customHeight="1">
      <c r="AY915" s="12"/>
      <c r="BA915" s="12"/>
      <c r="BB915" s="12"/>
    </row>
    <row r="916" spans="51:54" ht="15.75" customHeight="1">
      <c r="AY916" s="12"/>
      <c r="BA916" s="12"/>
      <c r="BB916" s="12"/>
    </row>
    <row r="917" spans="51:54" ht="15.75" customHeight="1">
      <c r="AY917" s="12"/>
      <c r="BA917" s="12"/>
      <c r="BB917" s="12"/>
    </row>
    <row r="918" spans="51:54" ht="15.75" customHeight="1">
      <c r="AY918" s="12"/>
      <c r="BA918" s="12"/>
      <c r="BB918" s="12"/>
    </row>
    <row r="919" spans="51:54" ht="15.75" customHeight="1">
      <c r="AY919" s="12"/>
      <c r="BA919" s="12"/>
      <c r="BB919" s="12"/>
    </row>
    <row r="920" spans="51:54" ht="15.75" customHeight="1">
      <c r="AY920" s="12"/>
      <c r="BA920" s="12"/>
      <c r="BB920" s="12"/>
    </row>
    <row r="921" spans="51:54" ht="15.75" customHeight="1">
      <c r="AY921" s="12"/>
      <c r="BA921" s="12"/>
      <c r="BB921" s="12"/>
    </row>
    <row r="922" spans="51:54" ht="15.75" customHeight="1">
      <c r="AY922" s="12"/>
      <c r="BA922" s="12"/>
      <c r="BB922" s="12"/>
    </row>
    <row r="923" spans="51:54" ht="15.75" customHeight="1">
      <c r="AY923" s="12"/>
      <c r="BA923" s="12"/>
      <c r="BB923" s="12"/>
    </row>
    <row r="924" spans="51:54" ht="15.75" customHeight="1">
      <c r="AY924" s="12"/>
      <c r="BA924" s="12"/>
      <c r="BB924" s="12"/>
    </row>
    <row r="925" spans="51:54" ht="15.75" customHeight="1">
      <c r="AY925" s="12"/>
      <c r="BA925" s="12"/>
      <c r="BB925" s="12"/>
    </row>
    <row r="926" spans="51:54" ht="15.75" customHeight="1">
      <c r="AY926" s="12"/>
      <c r="BA926" s="12"/>
      <c r="BB926" s="12"/>
    </row>
    <row r="927" spans="51:54" ht="15.75" customHeight="1">
      <c r="AY927" s="12"/>
      <c r="BA927" s="12"/>
      <c r="BB927" s="12"/>
    </row>
    <row r="928" spans="51:54" ht="15.75" customHeight="1">
      <c r="AY928" s="12"/>
      <c r="BA928" s="12"/>
      <c r="BB928" s="12"/>
    </row>
    <row r="929" spans="51:54" ht="15.75" customHeight="1">
      <c r="AY929" s="12"/>
      <c r="BA929" s="12"/>
      <c r="BB929" s="12"/>
    </row>
    <row r="930" spans="51:54" ht="15.75" customHeight="1">
      <c r="AY930" s="12"/>
      <c r="BA930" s="12"/>
      <c r="BB930" s="12"/>
    </row>
    <row r="931" spans="51:54" ht="15.75" customHeight="1">
      <c r="AY931" s="12"/>
      <c r="BA931" s="12"/>
      <c r="BB931" s="12"/>
    </row>
    <row r="932" spans="51:54" ht="15.75" customHeight="1">
      <c r="AY932" s="12"/>
      <c r="BA932" s="12"/>
      <c r="BB932" s="12"/>
    </row>
    <row r="933" spans="51:54" ht="15.75" customHeight="1">
      <c r="AY933" s="12"/>
      <c r="BA933" s="12"/>
      <c r="BB933" s="12"/>
    </row>
    <row r="934" spans="51:54" ht="15.75" customHeight="1">
      <c r="AY934" s="12"/>
      <c r="BA934" s="12"/>
      <c r="BB934" s="12"/>
    </row>
    <row r="935" spans="51:54" ht="15.75" customHeight="1">
      <c r="AY935" s="12"/>
      <c r="BA935" s="12"/>
      <c r="BB935" s="12"/>
    </row>
    <row r="936" spans="51:54" ht="15.75" customHeight="1">
      <c r="AY936" s="12"/>
      <c r="BA936" s="12"/>
      <c r="BB936" s="12"/>
    </row>
    <row r="937" spans="51:54" ht="15.75" customHeight="1">
      <c r="AY937" s="12"/>
      <c r="BA937" s="12"/>
      <c r="BB937" s="12"/>
    </row>
    <row r="938" spans="51:54" ht="15.75" customHeight="1">
      <c r="AY938" s="12"/>
      <c r="BA938" s="12"/>
      <c r="BB938" s="12"/>
    </row>
    <row r="939" spans="51:54" ht="15.75" customHeight="1">
      <c r="AY939" s="12"/>
      <c r="BA939" s="12"/>
      <c r="BB939" s="12"/>
    </row>
    <row r="940" spans="51:54" ht="15.75" customHeight="1">
      <c r="AY940" s="12"/>
      <c r="BA940" s="12"/>
      <c r="BB940" s="12"/>
    </row>
    <row r="941" spans="51:54" ht="15.75" customHeight="1">
      <c r="AY941" s="12"/>
      <c r="BA941" s="12"/>
      <c r="BB941" s="12"/>
    </row>
    <row r="942" spans="51:54" ht="15.75" customHeight="1">
      <c r="AY942" s="12"/>
      <c r="BA942" s="12"/>
      <c r="BB942" s="12"/>
    </row>
    <row r="943" spans="51:54" ht="15.75" customHeight="1">
      <c r="AY943" s="12"/>
      <c r="BA943" s="12"/>
      <c r="BB943" s="12"/>
    </row>
    <row r="944" spans="51:54" ht="15.75" customHeight="1">
      <c r="AY944" s="12"/>
      <c r="BA944" s="12"/>
      <c r="BB944" s="12"/>
    </row>
    <row r="945" spans="51:54" ht="15.75" customHeight="1">
      <c r="AY945" s="12"/>
      <c r="BA945" s="12"/>
      <c r="BB945" s="12"/>
    </row>
    <row r="946" spans="51:54" ht="15.75" customHeight="1">
      <c r="AY946" s="12"/>
      <c r="BA946" s="12"/>
      <c r="BB946" s="12"/>
    </row>
    <row r="947" spans="51:54" ht="15.75" customHeight="1">
      <c r="AY947" s="12"/>
      <c r="BA947" s="12"/>
      <c r="BB947" s="12"/>
    </row>
    <row r="948" spans="51:54" ht="15.75" customHeight="1">
      <c r="AY948" s="12"/>
      <c r="BA948" s="12"/>
      <c r="BB948" s="12"/>
    </row>
    <row r="949" spans="51:54" ht="15.75" customHeight="1">
      <c r="AY949" s="12"/>
      <c r="BA949" s="12"/>
      <c r="BB949" s="12"/>
    </row>
    <row r="950" spans="51:54" ht="15.75" customHeight="1">
      <c r="AY950" s="12"/>
      <c r="BA950" s="12"/>
      <c r="BB950" s="12"/>
    </row>
    <row r="951" spans="51:54" ht="15.75" customHeight="1">
      <c r="AY951" s="12"/>
      <c r="BA951" s="12"/>
      <c r="BB951" s="12"/>
    </row>
    <row r="952" spans="51:54" ht="15.75" customHeight="1">
      <c r="AY952" s="12"/>
      <c r="BA952" s="12"/>
      <c r="BB952" s="12"/>
    </row>
    <row r="953" spans="51:54" ht="15.75" customHeight="1">
      <c r="AY953" s="12"/>
      <c r="BA953" s="12"/>
      <c r="BB953" s="12"/>
    </row>
    <row r="954" spans="51:54" ht="15.75" customHeight="1">
      <c r="AY954" s="12"/>
      <c r="BA954" s="12"/>
      <c r="BB954" s="12"/>
    </row>
    <row r="955" spans="51:54" ht="15.75" customHeight="1">
      <c r="AY955" s="12"/>
      <c r="BA955" s="12"/>
      <c r="BB955" s="12"/>
    </row>
    <row r="956" spans="51:54" ht="15.75" customHeight="1">
      <c r="AY956" s="12"/>
      <c r="BA956" s="12"/>
      <c r="BB956" s="12"/>
    </row>
    <row r="957" spans="51:54" ht="15.75" customHeight="1">
      <c r="AY957" s="12"/>
      <c r="BA957" s="12"/>
      <c r="BB957" s="12"/>
    </row>
    <row r="958" spans="51:54" ht="15.75" customHeight="1">
      <c r="AY958" s="12"/>
      <c r="BA958" s="12"/>
      <c r="BB958" s="12"/>
    </row>
    <row r="959" spans="51:54" ht="15.75" customHeight="1">
      <c r="AY959" s="12"/>
      <c r="BA959" s="12"/>
      <c r="BB959" s="12"/>
    </row>
    <row r="960" spans="51:54" ht="15.75" customHeight="1">
      <c r="AY960" s="12"/>
      <c r="BA960" s="12"/>
      <c r="BB960" s="12"/>
    </row>
    <row r="961" spans="51:54" ht="15.75" customHeight="1">
      <c r="AY961" s="12"/>
      <c r="BA961" s="12"/>
      <c r="BB961" s="12"/>
    </row>
    <row r="962" spans="51:54" ht="15.75" customHeight="1">
      <c r="AY962" s="12"/>
      <c r="BA962" s="12"/>
      <c r="BB962" s="12"/>
    </row>
    <row r="963" spans="51:54" ht="15.75" customHeight="1">
      <c r="AY963" s="12"/>
      <c r="BA963" s="12"/>
      <c r="BB963" s="12"/>
    </row>
    <row r="964" spans="51:54" ht="15.75" customHeight="1">
      <c r="AY964" s="12"/>
      <c r="BA964" s="12"/>
      <c r="BB964" s="12"/>
    </row>
    <row r="965" spans="51:54" ht="15.75" customHeight="1">
      <c r="AY965" s="12"/>
      <c r="BA965" s="12"/>
      <c r="BB965" s="12"/>
    </row>
    <row r="966" spans="51:54" ht="15.75" customHeight="1">
      <c r="AY966" s="12"/>
      <c r="BA966" s="12"/>
      <c r="BB966" s="12"/>
    </row>
    <row r="967" spans="51:54" ht="15.75" customHeight="1">
      <c r="AY967" s="12"/>
      <c r="BA967" s="12"/>
      <c r="BB967" s="12"/>
    </row>
    <row r="968" spans="51:54" ht="15.75" customHeight="1">
      <c r="AY968" s="12"/>
      <c r="BA968" s="12"/>
      <c r="BB968" s="12"/>
    </row>
    <row r="969" spans="51:54" ht="15.75" customHeight="1">
      <c r="AY969" s="12"/>
      <c r="BA969" s="12"/>
      <c r="BB969" s="12"/>
    </row>
    <row r="970" spans="51:54" ht="15.75" customHeight="1">
      <c r="AY970" s="12"/>
      <c r="BA970" s="12"/>
      <c r="BB970" s="12"/>
    </row>
    <row r="971" spans="51:54" ht="15.75" customHeight="1">
      <c r="AY971" s="12"/>
      <c r="BA971" s="12"/>
      <c r="BB971" s="12"/>
    </row>
    <row r="972" spans="51:54" ht="15.75" customHeight="1">
      <c r="AY972" s="12"/>
      <c r="BA972" s="12"/>
      <c r="BB972" s="12"/>
    </row>
    <row r="973" spans="51:54" ht="15.75" customHeight="1">
      <c r="AY973" s="12"/>
      <c r="BA973" s="12"/>
      <c r="BB973" s="12"/>
    </row>
    <row r="974" spans="51:54" ht="15.75" customHeight="1">
      <c r="AY974" s="12"/>
      <c r="BA974" s="12"/>
      <c r="BB974" s="12"/>
    </row>
    <row r="975" spans="51:54" ht="15.75" customHeight="1">
      <c r="AY975" s="12"/>
      <c r="BA975" s="12"/>
      <c r="BB975" s="12"/>
    </row>
    <row r="976" spans="51:54" ht="15.75" customHeight="1">
      <c r="AY976" s="12"/>
      <c r="BA976" s="12"/>
      <c r="BB976" s="12"/>
    </row>
    <row r="977" spans="51:54" ht="15.75" customHeight="1">
      <c r="AY977" s="12"/>
      <c r="BA977" s="12"/>
      <c r="BB977" s="12"/>
    </row>
    <row r="978" spans="51:54" ht="15.75" customHeight="1">
      <c r="AY978" s="12"/>
      <c r="BA978" s="12"/>
      <c r="BB978" s="12"/>
    </row>
    <row r="979" spans="51:54" ht="15.75" customHeight="1">
      <c r="AY979" s="12"/>
      <c r="BA979" s="12"/>
      <c r="BB979" s="12"/>
    </row>
    <row r="980" spans="51:54" ht="15.75" customHeight="1">
      <c r="AY980" s="12"/>
      <c r="BA980" s="12"/>
      <c r="BB980" s="12"/>
    </row>
    <row r="981" spans="51:54" ht="15.75" customHeight="1">
      <c r="AY981" s="12"/>
      <c r="BA981" s="12"/>
      <c r="BB981" s="12"/>
    </row>
    <row r="982" spans="51:54" ht="15.75" customHeight="1">
      <c r="AY982" s="12"/>
      <c r="BA982" s="12"/>
      <c r="BB982" s="12"/>
    </row>
    <row r="983" spans="51:54" ht="15.75" customHeight="1">
      <c r="AY983" s="12"/>
      <c r="BA983" s="12"/>
      <c r="BB983" s="12"/>
    </row>
    <row r="984" spans="51:54" ht="15.75" customHeight="1">
      <c r="AY984" s="12"/>
      <c r="BA984" s="12"/>
      <c r="BB984" s="12"/>
    </row>
    <row r="985" spans="51:54" ht="15.75" customHeight="1">
      <c r="AY985" s="12"/>
      <c r="BA985" s="12"/>
      <c r="BB985" s="12"/>
    </row>
    <row r="986" spans="51:54" ht="15.75" customHeight="1">
      <c r="AY986" s="12"/>
      <c r="BA986" s="12"/>
      <c r="BB986" s="12"/>
    </row>
    <row r="987" spans="51:54" ht="15.75" customHeight="1">
      <c r="AY987" s="12"/>
      <c r="BA987" s="12"/>
      <c r="BB987" s="12"/>
    </row>
    <row r="988" spans="51:54" ht="15.75" customHeight="1">
      <c r="AY988" s="12"/>
      <c r="BA988" s="12"/>
      <c r="BB988" s="12"/>
    </row>
    <row r="989" spans="51:54" ht="15.75" customHeight="1">
      <c r="AY989" s="12"/>
      <c r="BA989" s="12"/>
      <c r="BB989" s="12"/>
    </row>
    <row r="990" spans="51:54" ht="15.75" customHeight="1">
      <c r="AY990" s="12"/>
      <c r="BA990" s="12"/>
      <c r="BB990" s="12"/>
    </row>
    <row r="991" spans="51:54" ht="15.75" customHeight="1">
      <c r="AY991" s="12"/>
      <c r="BA991" s="12"/>
      <c r="BB991" s="12"/>
    </row>
    <row r="992" spans="51:54" ht="15.75" customHeight="1">
      <c r="AY992" s="12"/>
      <c r="BA992" s="12"/>
      <c r="BB992" s="12"/>
    </row>
    <row r="993" spans="51:54" ht="15.75" customHeight="1">
      <c r="AY993" s="12"/>
      <c r="BA993" s="12"/>
      <c r="BB993" s="12"/>
    </row>
    <row r="994" spans="51:54" ht="15.75" customHeight="1">
      <c r="AY994" s="12"/>
      <c r="BA994" s="12"/>
      <c r="BB994" s="12"/>
    </row>
    <row r="995" spans="51:54" ht="15.75" customHeight="1">
      <c r="AY995" s="12"/>
      <c r="BA995" s="12"/>
      <c r="BB995" s="12"/>
    </row>
    <row r="996" spans="51:54" ht="15.75" customHeight="1">
      <c r="AY996" s="12"/>
      <c r="BA996" s="12"/>
      <c r="BB996" s="12"/>
    </row>
    <row r="997" spans="51:54" ht="15.75" customHeight="1">
      <c r="AY997" s="12"/>
      <c r="BA997" s="12"/>
      <c r="BB997" s="12"/>
    </row>
    <row r="998" spans="51:54" ht="15.75" customHeight="1">
      <c r="AY998" s="12"/>
      <c r="BA998" s="12"/>
      <c r="BB998" s="12"/>
    </row>
    <row r="999" spans="51:54" ht="15.75" customHeight="1">
      <c r="AY999" s="12"/>
      <c r="BA999" s="12"/>
      <c r="BB999" s="12"/>
    </row>
    <row r="1000" spans="51:54" ht="15.75" customHeight="1">
      <c r="AY1000" s="12"/>
      <c r="BA1000" s="12"/>
      <c r="BB1000" s="12"/>
    </row>
  </sheetData>
  <mergeCells count="440">
    <mergeCell ref="AG8:AH109"/>
    <mergeCell ref="CA8:CJ109"/>
    <mergeCell ref="FK118:FK119"/>
    <mergeCell ref="B114:C115"/>
    <mergeCell ref="D114:G115"/>
    <mergeCell ref="D120:G122"/>
    <mergeCell ref="B118:C119"/>
    <mergeCell ref="D118:G119"/>
    <mergeCell ref="A1:D4"/>
    <mergeCell ref="B111:G113"/>
    <mergeCell ref="B116:C117"/>
    <mergeCell ref="D116:G117"/>
    <mergeCell ref="FC111:FC114"/>
    <mergeCell ref="FC115:FC117"/>
    <mergeCell ref="FD111:FD114"/>
    <mergeCell ref="FD115:FD117"/>
    <mergeCell ref="FE111:FE114"/>
    <mergeCell ref="FE115:FE117"/>
    <mergeCell ref="FF111:FF114"/>
    <mergeCell ref="FF115:FF117"/>
    <mergeCell ref="FG111:FG114"/>
    <mergeCell ref="FG115:FG117"/>
    <mergeCell ref="EX111:EX114"/>
    <mergeCell ref="EX115:EX117"/>
    <mergeCell ref="EY111:EY114"/>
    <mergeCell ref="EY115:EY117"/>
    <mergeCell ref="EZ111:EZ114"/>
    <mergeCell ref="EZ115:EZ117"/>
    <mergeCell ref="FA111:FA114"/>
    <mergeCell ref="FA115:FA117"/>
    <mergeCell ref="FB111:FB114"/>
    <mergeCell ref="FB115:FB117"/>
    <mergeCell ref="ES111:ES114"/>
    <mergeCell ref="ES115:ES117"/>
    <mergeCell ref="ET111:ET114"/>
    <mergeCell ref="ET115:ET117"/>
    <mergeCell ref="EU111:EU114"/>
    <mergeCell ref="EU115:EU117"/>
    <mergeCell ref="EV111:EV114"/>
    <mergeCell ref="EV115:EV117"/>
    <mergeCell ref="EW111:EW114"/>
    <mergeCell ref="EW115:EW117"/>
    <mergeCell ref="FI118:FJ118"/>
    <mergeCell ref="I119:Q119"/>
    <mergeCell ref="S119:AA119"/>
    <mergeCell ref="AB119:AK119"/>
    <mergeCell ref="AL119:AV119"/>
    <mergeCell ref="AW119:BF119"/>
    <mergeCell ref="BG119:BP119"/>
    <mergeCell ref="BQ119:BZ119"/>
    <mergeCell ref="CA119:CJ119"/>
    <mergeCell ref="CK119:CT119"/>
    <mergeCell ref="CU119:DD119"/>
    <mergeCell ref="DE119:DN119"/>
    <mergeCell ref="DO119:DX119"/>
    <mergeCell ref="DY119:EH119"/>
    <mergeCell ref="EI119:ER119"/>
    <mergeCell ref="FI119:FJ119"/>
    <mergeCell ref="DV118:DX118"/>
    <mergeCell ref="DY118:DZ118"/>
    <mergeCell ref="EA118:EC118"/>
    <mergeCell ref="ED118:EE118"/>
    <mergeCell ref="EF118:EH118"/>
    <mergeCell ref="EI118:EJ118"/>
    <mergeCell ref="EK118:EM118"/>
    <mergeCell ref="EN118:EO118"/>
    <mergeCell ref="EP118:ER118"/>
    <mergeCell ref="CZ118:DA118"/>
    <mergeCell ref="DB118:DD118"/>
    <mergeCell ref="DE118:DF118"/>
    <mergeCell ref="DG118:DI118"/>
    <mergeCell ref="DJ118:DK118"/>
    <mergeCell ref="DL118:DN118"/>
    <mergeCell ref="DO118:DP118"/>
    <mergeCell ref="DQ118:DS118"/>
    <mergeCell ref="DT118:DU118"/>
    <mergeCell ref="CC118:CE118"/>
    <mergeCell ref="CF118:CG118"/>
    <mergeCell ref="CH118:CJ118"/>
    <mergeCell ref="CK118:CL118"/>
    <mergeCell ref="CM118:CN118"/>
    <mergeCell ref="CP118:CQ118"/>
    <mergeCell ref="CR118:CT118"/>
    <mergeCell ref="CU118:CV118"/>
    <mergeCell ref="CW118:CY118"/>
    <mergeCell ref="BD118:BF118"/>
    <mergeCell ref="BG118:BH118"/>
    <mergeCell ref="BI118:BK118"/>
    <mergeCell ref="BL118:BM118"/>
    <mergeCell ref="BN118:BP118"/>
    <mergeCell ref="BQ118:BR118"/>
    <mergeCell ref="BS118:BU118"/>
    <mergeCell ref="BW118:BY118"/>
    <mergeCell ref="CA118:CB118"/>
    <mergeCell ref="AG118:AH118"/>
    <mergeCell ref="AI118:AK118"/>
    <mergeCell ref="AM118:AN118"/>
    <mergeCell ref="AO118:AQ118"/>
    <mergeCell ref="AR118:AS118"/>
    <mergeCell ref="AT118:AV118"/>
    <mergeCell ref="AW118:AX118"/>
    <mergeCell ref="AY118:BA118"/>
    <mergeCell ref="BB118:BC118"/>
    <mergeCell ref="I118:J118"/>
    <mergeCell ref="K118:M118"/>
    <mergeCell ref="N118:O118"/>
    <mergeCell ref="P118:R118"/>
    <mergeCell ref="T118:V118"/>
    <mergeCell ref="W118:X118"/>
    <mergeCell ref="Y118:AA118"/>
    <mergeCell ref="AB118:AC118"/>
    <mergeCell ref="AD118:AF118"/>
    <mergeCell ref="DF117:DH117"/>
    <mergeCell ref="DK117:DM117"/>
    <mergeCell ref="DP117:DR117"/>
    <mergeCell ref="DU117:DW117"/>
    <mergeCell ref="DZ117:EB117"/>
    <mergeCell ref="EE117:EG117"/>
    <mergeCell ref="EJ117:EL117"/>
    <mergeCell ref="EO117:EQ117"/>
    <mergeCell ref="FH117:FK117"/>
    <mergeCell ref="EI116:EL116"/>
    <mergeCell ref="EN116:EQ116"/>
    <mergeCell ref="FH116:FJ116"/>
    <mergeCell ref="J117:L117"/>
    <mergeCell ref="O117:Q117"/>
    <mergeCell ref="T117:V117"/>
    <mergeCell ref="Y117:AA117"/>
    <mergeCell ref="AD117:AF117"/>
    <mergeCell ref="AI117:AK117"/>
    <mergeCell ref="AM117:AN117"/>
    <mergeCell ref="AO117:AQ117"/>
    <mergeCell ref="AS117:AU117"/>
    <mergeCell ref="AX117:AZ117"/>
    <mergeCell ref="BC117:BE117"/>
    <mergeCell ref="BH117:BJ117"/>
    <mergeCell ref="BM117:BO117"/>
    <mergeCell ref="BR117:BT117"/>
    <mergeCell ref="BW117:BY117"/>
    <mergeCell ref="CB117:CD117"/>
    <mergeCell ref="CG117:CI117"/>
    <mergeCell ref="CL117:CN117"/>
    <mergeCell ref="CQ117:CS117"/>
    <mergeCell ref="CV117:CX117"/>
    <mergeCell ref="DA117:DC117"/>
    <mergeCell ref="CP116:CS116"/>
    <mergeCell ref="CU116:CX116"/>
    <mergeCell ref="CZ116:DC116"/>
    <mergeCell ref="DE116:DH116"/>
    <mergeCell ref="DJ116:DM116"/>
    <mergeCell ref="DO116:DR116"/>
    <mergeCell ref="DT116:DW116"/>
    <mergeCell ref="DY116:EB116"/>
    <mergeCell ref="ED116:EG116"/>
    <mergeCell ref="DO115:DR115"/>
    <mergeCell ref="DT115:DW115"/>
    <mergeCell ref="DY115:EB115"/>
    <mergeCell ref="ED115:EG115"/>
    <mergeCell ref="EI115:EL115"/>
    <mergeCell ref="EN115:EQ115"/>
    <mergeCell ref="FH115:FJ115"/>
    <mergeCell ref="I116:L116"/>
    <mergeCell ref="N116:Q116"/>
    <mergeCell ref="S116:V116"/>
    <mergeCell ref="X116:AA116"/>
    <mergeCell ref="AC116:AF116"/>
    <mergeCell ref="AH116:AK116"/>
    <mergeCell ref="AM116:AP116"/>
    <mergeCell ref="AR116:AU116"/>
    <mergeCell ref="AW116:AZ116"/>
    <mergeCell ref="BB116:BE116"/>
    <mergeCell ref="BG116:BJ116"/>
    <mergeCell ref="BL116:BO116"/>
    <mergeCell ref="BQ116:BT116"/>
    <mergeCell ref="BV116:BY116"/>
    <mergeCell ref="CA116:CD116"/>
    <mergeCell ref="CF116:CI116"/>
    <mergeCell ref="CK116:CN116"/>
    <mergeCell ref="EN114:EQ114"/>
    <mergeCell ref="FH114:FJ114"/>
    <mergeCell ref="I115:L115"/>
    <mergeCell ref="N115:Q115"/>
    <mergeCell ref="S115:V115"/>
    <mergeCell ref="X115:AA115"/>
    <mergeCell ref="AC115:AF115"/>
    <mergeCell ref="AH115:AK115"/>
    <mergeCell ref="AM115:AP115"/>
    <mergeCell ref="AR115:AU115"/>
    <mergeCell ref="AW115:AZ115"/>
    <mergeCell ref="BB115:BE115"/>
    <mergeCell ref="BG115:BJ115"/>
    <mergeCell ref="BL115:BO115"/>
    <mergeCell ref="BQ115:BT115"/>
    <mergeCell ref="BV115:BY115"/>
    <mergeCell ref="CA115:CD115"/>
    <mergeCell ref="CF115:CI115"/>
    <mergeCell ref="CK115:CN115"/>
    <mergeCell ref="CP115:CS115"/>
    <mergeCell ref="CU115:CX115"/>
    <mergeCell ref="CZ115:DC115"/>
    <mergeCell ref="DE115:DH115"/>
    <mergeCell ref="DJ115:DM115"/>
    <mergeCell ref="CU114:CX114"/>
    <mergeCell ref="CZ114:DC114"/>
    <mergeCell ref="DE114:DH114"/>
    <mergeCell ref="DJ114:DM114"/>
    <mergeCell ref="DO114:DR114"/>
    <mergeCell ref="DT114:DW114"/>
    <mergeCell ref="DY114:EB114"/>
    <mergeCell ref="ED114:EG114"/>
    <mergeCell ref="EI114:EL114"/>
    <mergeCell ref="DT113:DW113"/>
    <mergeCell ref="DY113:EB113"/>
    <mergeCell ref="ED113:EG113"/>
    <mergeCell ref="EI113:EL113"/>
    <mergeCell ref="EN113:EQ113"/>
    <mergeCell ref="FH113:FK113"/>
    <mergeCell ref="I114:L114"/>
    <mergeCell ref="N114:Q114"/>
    <mergeCell ref="S114:V114"/>
    <mergeCell ref="X114:AA114"/>
    <mergeCell ref="AC114:AF114"/>
    <mergeCell ref="AH114:AK114"/>
    <mergeCell ref="AM114:AP114"/>
    <mergeCell ref="AR114:AU114"/>
    <mergeCell ref="AW114:AZ114"/>
    <mergeCell ref="BB114:BE114"/>
    <mergeCell ref="BG114:BJ114"/>
    <mergeCell ref="BL114:BO114"/>
    <mergeCell ref="BQ114:BT114"/>
    <mergeCell ref="BV114:BY114"/>
    <mergeCell ref="CA114:CD114"/>
    <mergeCell ref="CF114:CI114"/>
    <mergeCell ref="CK114:CN114"/>
    <mergeCell ref="CP114:CS114"/>
    <mergeCell ref="FH112:FJ112"/>
    <mergeCell ref="I113:L113"/>
    <mergeCell ref="N113:Q113"/>
    <mergeCell ref="S113:V113"/>
    <mergeCell ref="X113:AA113"/>
    <mergeCell ref="AC113:AF113"/>
    <mergeCell ref="AH113:AK113"/>
    <mergeCell ref="AM113:AP113"/>
    <mergeCell ref="AR113:AU113"/>
    <mergeCell ref="AW113:AZ113"/>
    <mergeCell ref="BB113:BE113"/>
    <mergeCell ref="BG113:BJ113"/>
    <mergeCell ref="BL113:BO113"/>
    <mergeCell ref="BQ113:BT113"/>
    <mergeCell ref="BV113:BY113"/>
    <mergeCell ref="CA113:CD113"/>
    <mergeCell ref="CF113:CI113"/>
    <mergeCell ref="CK113:CN113"/>
    <mergeCell ref="CP113:CS113"/>
    <mergeCell ref="CU113:CX113"/>
    <mergeCell ref="CZ113:DC113"/>
    <mergeCell ref="DE113:DH113"/>
    <mergeCell ref="DJ113:DM113"/>
    <mergeCell ref="DO113:DR113"/>
    <mergeCell ref="CZ112:DC112"/>
    <mergeCell ref="DE112:DH112"/>
    <mergeCell ref="DJ112:DM112"/>
    <mergeCell ref="DO112:DR112"/>
    <mergeCell ref="DT112:DW112"/>
    <mergeCell ref="DY112:EB112"/>
    <mergeCell ref="ED112:EG112"/>
    <mergeCell ref="EI112:EL112"/>
    <mergeCell ref="EN112:EQ112"/>
    <mergeCell ref="DT111:DW111"/>
    <mergeCell ref="DY111:EB111"/>
    <mergeCell ref="ED111:EG111"/>
    <mergeCell ref="EI111:EL111"/>
    <mergeCell ref="EN111:EQ111"/>
    <mergeCell ref="I112:L112"/>
    <mergeCell ref="N112:Q112"/>
    <mergeCell ref="S112:V112"/>
    <mergeCell ref="X112:AA112"/>
    <mergeCell ref="AC112:AF112"/>
    <mergeCell ref="AH112:AK112"/>
    <mergeCell ref="AM112:AP112"/>
    <mergeCell ref="AR112:AU112"/>
    <mergeCell ref="AW112:AZ112"/>
    <mergeCell ref="BB112:BE112"/>
    <mergeCell ref="BG112:BJ112"/>
    <mergeCell ref="BL112:BO112"/>
    <mergeCell ref="BQ112:BT112"/>
    <mergeCell ref="BV112:BY112"/>
    <mergeCell ref="CA112:CD112"/>
    <mergeCell ref="CF112:CI112"/>
    <mergeCell ref="CK112:CN112"/>
    <mergeCell ref="CP112:CS112"/>
    <mergeCell ref="CU112:CX112"/>
    <mergeCell ref="CA111:CD111"/>
    <mergeCell ref="CF111:CI111"/>
    <mergeCell ref="CK111:CN111"/>
    <mergeCell ref="CP111:CS111"/>
    <mergeCell ref="CU111:CX111"/>
    <mergeCell ref="CZ111:DC111"/>
    <mergeCell ref="DE111:DH111"/>
    <mergeCell ref="DJ111:DM111"/>
    <mergeCell ref="DO111:DR111"/>
    <mergeCell ref="AH111:AK111"/>
    <mergeCell ref="AM111:AP111"/>
    <mergeCell ref="AR111:AU111"/>
    <mergeCell ref="AW111:AZ111"/>
    <mergeCell ref="BB111:BE111"/>
    <mergeCell ref="BG111:BJ111"/>
    <mergeCell ref="BL111:BO111"/>
    <mergeCell ref="BQ111:BT111"/>
    <mergeCell ref="BV111:BY111"/>
    <mergeCell ref="G106:H106"/>
    <mergeCell ref="G107:H107"/>
    <mergeCell ref="G108:H108"/>
    <mergeCell ref="G109:H109"/>
    <mergeCell ref="I111:L111"/>
    <mergeCell ref="N111:Q111"/>
    <mergeCell ref="S111:V111"/>
    <mergeCell ref="X111:AA111"/>
    <mergeCell ref="AC111:AF111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E1:FK1"/>
    <mergeCell ref="E2:FK2"/>
    <mergeCell ref="E3:FK3"/>
    <mergeCell ref="E4:FK4"/>
    <mergeCell ref="C5:X5"/>
    <mergeCell ref="Y5:FK5"/>
    <mergeCell ref="G6:H6"/>
    <mergeCell ref="I6:R6"/>
    <mergeCell ref="S6:AB6"/>
    <mergeCell ref="AC6:AL6"/>
    <mergeCell ref="AM6:AV6"/>
    <mergeCell ref="AW6:BF6"/>
    <mergeCell ref="BG6:BP6"/>
    <mergeCell ref="BQ6:BZ6"/>
    <mergeCell ref="CA6:CJ6"/>
    <mergeCell ref="CK6:CT6"/>
    <mergeCell ref="CU6:DD6"/>
    <mergeCell ref="DE6:DN6"/>
    <mergeCell ref="DO6:DX6"/>
    <mergeCell ref="DY6:EH6"/>
    <mergeCell ref="EI6:ER6"/>
    <mergeCell ref="ES6:FF6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1000"/>
  <sheetViews>
    <sheetView topLeftCell="A57" zoomScaleNormal="100" workbookViewId="0">
      <selection activeCell="D60" sqref="D60:D71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7.7109375" customWidth="1"/>
    <col min="4" max="4" width="36.140625" customWidth="1"/>
    <col min="5" max="5" width="10.28515625" customWidth="1"/>
    <col min="6" max="6" width="6.140625" customWidth="1"/>
    <col min="7" max="7" width="5.140625" customWidth="1"/>
    <col min="8" max="8" width="7" customWidth="1"/>
    <col min="9" max="9" width="2.28515625" customWidth="1"/>
    <col min="10" max="13" width="1.85546875" customWidth="1"/>
    <col min="14" max="14" width="2.28515625" customWidth="1"/>
    <col min="15" max="16" width="2.140625" customWidth="1"/>
    <col min="17" max="18" width="2.28515625" customWidth="1"/>
    <col min="19" max="19" width="3" customWidth="1"/>
    <col min="20" max="20" width="2.28515625" customWidth="1"/>
    <col min="21" max="21" width="2.42578125" customWidth="1"/>
    <col min="22" max="22" width="2.28515625" customWidth="1"/>
    <col min="23" max="23" width="2.140625" customWidth="1"/>
    <col min="24" max="24" width="2.7109375" customWidth="1"/>
    <col min="25" max="25" width="2.42578125" customWidth="1"/>
    <col min="26" max="26" width="2.5703125" customWidth="1"/>
    <col min="27" max="27" width="2.42578125" customWidth="1"/>
    <col min="28" max="28" width="2.7109375" customWidth="1"/>
    <col min="29" max="29" width="2.42578125" customWidth="1"/>
    <col min="30" max="30" width="2.140625" customWidth="1"/>
    <col min="31" max="31" width="2.28515625" customWidth="1"/>
    <col min="32" max="32" width="2.5703125" customWidth="1"/>
    <col min="33" max="33" width="2.42578125" customWidth="1"/>
    <col min="34" max="34" width="2.5703125" customWidth="1"/>
    <col min="35" max="35" width="2.140625" customWidth="1"/>
    <col min="36" max="36" width="2.7109375" customWidth="1"/>
    <col min="37" max="37" width="2.42578125" customWidth="1"/>
    <col min="38" max="38" width="2.28515625" customWidth="1"/>
    <col min="39" max="40" width="2" customWidth="1"/>
    <col min="41" max="41" width="1.85546875" customWidth="1"/>
    <col min="42" max="43" width="2.140625" customWidth="1"/>
    <col min="44" max="44" width="2" customWidth="1"/>
    <col min="45" max="45" width="2.42578125" customWidth="1"/>
    <col min="46" max="46" width="2.28515625" customWidth="1"/>
    <col min="47" max="47" width="2.140625" customWidth="1"/>
    <col min="48" max="48" width="2.42578125" customWidth="1"/>
    <col min="49" max="51" width="1.85546875" customWidth="1"/>
    <col min="52" max="52" width="2.28515625" customWidth="1"/>
    <col min="53" max="53" width="2.140625" customWidth="1"/>
    <col min="54" max="54" width="2.28515625" customWidth="1"/>
    <col min="55" max="55" width="2.7109375" customWidth="1"/>
    <col min="56" max="56" width="2.42578125" customWidth="1"/>
    <col min="57" max="57" width="2.28515625" customWidth="1"/>
    <col min="58" max="58" width="2.42578125" customWidth="1"/>
    <col min="59" max="60" width="2" customWidth="1"/>
    <col min="61" max="61" width="2.42578125" customWidth="1"/>
    <col min="62" max="62" width="2.140625" customWidth="1"/>
    <col min="63" max="63" width="2.7109375" customWidth="1"/>
    <col min="64" max="67" width="2.28515625" customWidth="1"/>
    <col min="68" max="68" width="2.5703125" customWidth="1"/>
    <col min="69" max="70" width="2.28515625" customWidth="1"/>
    <col min="71" max="71" width="2.140625" customWidth="1"/>
    <col min="72" max="72" width="2.7109375" customWidth="1"/>
    <col min="73" max="74" width="2.42578125" customWidth="1"/>
    <col min="75" max="75" width="2.140625" customWidth="1"/>
    <col min="76" max="76" width="2.42578125" customWidth="1"/>
    <col min="77" max="77" width="2.5703125" customWidth="1"/>
    <col min="78" max="79" width="2.42578125" customWidth="1"/>
    <col min="80" max="80" width="2.7109375" customWidth="1"/>
    <col min="81" max="81" width="2" customWidth="1"/>
    <col min="82" max="82" width="2.140625" customWidth="1"/>
    <col min="83" max="83" width="1.85546875" customWidth="1"/>
    <col min="84" max="84" width="2.42578125" customWidth="1"/>
    <col min="85" max="86" width="2.140625" customWidth="1"/>
    <col min="87" max="88" width="2.28515625" customWidth="1"/>
    <col min="89" max="89" width="2.5703125" customWidth="1"/>
    <col min="90" max="90" width="2" customWidth="1"/>
    <col min="91" max="91" width="2.140625" customWidth="1"/>
    <col min="92" max="92" width="2.42578125" customWidth="1"/>
    <col min="93" max="94" width="2" customWidth="1"/>
    <col min="95" max="95" width="1.85546875" customWidth="1"/>
    <col min="96" max="96" width="2.42578125" customWidth="1"/>
    <col min="97" max="97" width="2.140625" customWidth="1"/>
    <col min="98" max="98" width="2.5703125" customWidth="1"/>
    <col min="99" max="99" width="2.42578125" customWidth="1"/>
    <col min="100" max="100" width="3" customWidth="1"/>
    <col min="101" max="101" width="2.7109375" customWidth="1"/>
    <col min="102" max="102" width="2.28515625" customWidth="1"/>
    <col min="103" max="105" width="2.140625" customWidth="1"/>
    <col min="106" max="106" width="2" customWidth="1"/>
    <col min="107" max="107" width="2.140625" customWidth="1"/>
    <col min="108" max="108" width="2.28515625" customWidth="1"/>
    <col min="109" max="109" width="2.42578125" customWidth="1"/>
    <col min="110" max="110" width="2.5703125" customWidth="1"/>
    <col min="111" max="111" width="2.28515625" customWidth="1"/>
    <col min="112" max="112" width="2.140625" customWidth="1"/>
    <col min="113" max="115" width="2" customWidth="1"/>
    <col min="116" max="116" width="2.28515625" customWidth="1"/>
    <col min="117" max="118" width="2.7109375" customWidth="1"/>
    <col min="119" max="119" width="2.28515625" customWidth="1"/>
    <col min="120" max="120" width="2" customWidth="1"/>
    <col min="121" max="121" width="1.85546875" customWidth="1"/>
    <col min="122" max="122" width="2" customWidth="1"/>
    <col min="123" max="123" width="2.28515625" customWidth="1"/>
    <col min="124" max="124" width="2.5703125" customWidth="1"/>
    <col min="125" max="125" width="2" customWidth="1"/>
    <col min="126" max="126" width="2.42578125" customWidth="1"/>
    <col min="127" max="127" width="2.5703125" customWidth="1"/>
    <col min="128" max="128" width="3.140625" customWidth="1"/>
    <col min="129" max="129" width="2.42578125" customWidth="1"/>
    <col min="130" max="130" width="1.85546875" customWidth="1"/>
    <col min="131" max="131" width="2.42578125" customWidth="1"/>
    <col min="132" max="132" width="1.85546875" customWidth="1"/>
    <col min="133" max="133" width="2.140625" customWidth="1"/>
    <col min="134" max="134" width="2" customWidth="1"/>
    <col min="135" max="135" width="2.28515625" customWidth="1"/>
    <col min="136" max="136" width="2.5703125" customWidth="1"/>
    <col min="137" max="137" width="1.85546875" customWidth="1"/>
    <col min="138" max="138" width="2.28515625" customWidth="1"/>
    <col min="139" max="139" width="3" customWidth="1"/>
    <col min="140" max="140" width="2.42578125" customWidth="1"/>
    <col min="141" max="141" width="2.140625" customWidth="1"/>
    <col min="142" max="142" width="2" customWidth="1"/>
    <col min="143" max="143" width="2.5703125" customWidth="1"/>
    <col min="144" max="144" width="2.28515625" customWidth="1"/>
    <col min="145" max="146" width="2.140625" customWidth="1"/>
    <col min="147" max="147" width="2.28515625" customWidth="1"/>
    <col min="148" max="148" width="2.140625" customWidth="1"/>
    <col min="149" max="150" width="3.5703125" customWidth="1"/>
    <col min="151" max="151" width="2.85546875" customWidth="1"/>
    <col min="152" max="152" width="2.5703125" customWidth="1"/>
    <col min="153" max="153" width="2.85546875" customWidth="1"/>
    <col min="154" max="154" width="2.5703125" customWidth="1"/>
    <col min="155" max="155" width="2.7109375" customWidth="1"/>
    <col min="156" max="156" width="2.85546875" customWidth="1"/>
    <col min="157" max="158" width="3" customWidth="1"/>
    <col min="159" max="159" width="2.7109375" customWidth="1"/>
    <col min="160" max="160" width="3" customWidth="1"/>
    <col min="161" max="162" width="2.7109375" customWidth="1"/>
    <col min="163" max="163" width="5.7109375" customWidth="1"/>
    <col min="164" max="164" width="9.140625" customWidth="1"/>
    <col min="165" max="165" width="6.42578125" customWidth="1"/>
    <col min="166" max="166" width="8.5703125" customWidth="1"/>
    <col min="167" max="167" width="3.42578125" customWidth="1"/>
  </cols>
  <sheetData>
    <row r="1" spans="1:167" ht="53.25" customHeight="1">
      <c r="A1" s="549" t="s">
        <v>142</v>
      </c>
      <c r="B1" s="449"/>
      <c r="C1" s="449"/>
      <c r="D1" s="449"/>
      <c r="E1" s="448" t="s">
        <v>0</v>
      </c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U1" s="449"/>
      <c r="CV1" s="449"/>
      <c r="CW1" s="449"/>
      <c r="CX1" s="449"/>
      <c r="CY1" s="449"/>
      <c r="CZ1" s="449"/>
      <c r="DA1" s="449"/>
      <c r="DB1" s="449"/>
      <c r="DC1" s="449"/>
      <c r="DD1" s="449"/>
      <c r="DE1" s="449"/>
      <c r="DF1" s="449"/>
      <c r="DG1" s="449"/>
      <c r="DH1" s="449"/>
      <c r="DI1" s="449"/>
      <c r="DJ1" s="449"/>
      <c r="DK1" s="449"/>
      <c r="DL1" s="449"/>
      <c r="DM1" s="449"/>
      <c r="DN1" s="449"/>
      <c r="DO1" s="449"/>
      <c r="DP1" s="449"/>
      <c r="DQ1" s="449"/>
      <c r="DR1" s="449"/>
      <c r="DS1" s="449"/>
      <c r="DT1" s="449"/>
      <c r="DU1" s="449"/>
      <c r="DV1" s="449"/>
      <c r="DW1" s="449"/>
      <c r="DX1" s="449"/>
      <c r="DY1" s="449"/>
      <c r="DZ1" s="449"/>
      <c r="EA1" s="449"/>
      <c r="EB1" s="449"/>
      <c r="EC1" s="449"/>
      <c r="ED1" s="449"/>
      <c r="EE1" s="449"/>
      <c r="EF1" s="449"/>
      <c r="EG1" s="449"/>
      <c r="EH1" s="449"/>
      <c r="EI1" s="449"/>
      <c r="EJ1" s="449"/>
      <c r="EK1" s="449"/>
      <c r="EL1" s="449"/>
      <c r="EM1" s="449"/>
      <c r="EN1" s="449"/>
      <c r="EO1" s="449"/>
      <c r="EP1" s="449"/>
      <c r="EQ1" s="449"/>
      <c r="ER1" s="449"/>
      <c r="ES1" s="449"/>
      <c r="ET1" s="449"/>
      <c r="EU1" s="449"/>
      <c r="EV1" s="449"/>
      <c r="EW1" s="449"/>
      <c r="EX1" s="449"/>
      <c r="EY1" s="449"/>
      <c r="EZ1" s="449"/>
      <c r="FA1" s="449"/>
      <c r="FB1" s="449"/>
      <c r="FC1" s="449"/>
      <c r="FD1" s="449"/>
      <c r="FE1" s="449"/>
      <c r="FF1" s="449"/>
      <c r="FG1" s="449"/>
      <c r="FH1" s="449"/>
      <c r="FI1" s="449"/>
      <c r="FJ1" s="449"/>
      <c r="FK1" s="450"/>
    </row>
    <row r="2" spans="1:167" ht="21.75" customHeight="1">
      <c r="A2" s="551"/>
      <c r="B2" s="548"/>
      <c r="C2" s="548"/>
      <c r="D2" s="548"/>
      <c r="E2" s="599" t="s">
        <v>1</v>
      </c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  <c r="U2" s="600"/>
      <c r="V2" s="600"/>
      <c r="W2" s="600"/>
      <c r="X2" s="600"/>
      <c r="Y2" s="600"/>
      <c r="Z2" s="600"/>
      <c r="AA2" s="600"/>
      <c r="AB2" s="600"/>
      <c r="AC2" s="600"/>
      <c r="AD2" s="600"/>
      <c r="AE2" s="600"/>
      <c r="AF2" s="600"/>
      <c r="AG2" s="600"/>
      <c r="AH2" s="600"/>
      <c r="AI2" s="600"/>
      <c r="AJ2" s="600"/>
      <c r="AK2" s="600"/>
      <c r="AL2" s="600"/>
      <c r="AM2" s="600"/>
      <c r="AN2" s="600"/>
      <c r="AO2" s="600"/>
      <c r="AP2" s="600"/>
      <c r="AQ2" s="600"/>
      <c r="AR2" s="600"/>
      <c r="AS2" s="600"/>
      <c r="AT2" s="600"/>
      <c r="AU2" s="600"/>
      <c r="AV2" s="600"/>
      <c r="AW2" s="600"/>
      <c r="AX2" s="600"/>
      <c r="AY2" s="600"/>
      <c r="AZ2" s="600"/>
      <c r="BA2" s="600"/>
      <c r="BB2" s="600"/>
      <c r="BC2" s="600"/>
      <c r="BD2" s="600"/>
      <c r="BE2" s="600"/>
      <c r="BF2" s="600"/>
      <c r="BG2" s="600"/>
      <c r="BH2" s="600"/>
      <c r="BI2" s="600"/>
      <c r="BJ2" s="600"/>
      <c r="BK2" s="600"/>
      <c r="BL2" s="600"/>
      <c r="BM2" s="600"/>
      <c r="BN2" s="600"/>
      <c r="BO2" s="600"/>
      <c r="BP2" s="600"/>
      <c r="BQ2" s="600"/>
      <c r="BR2" s="600"/>
      <c r="BS2" s="600"/>
      <c r="BT2" s="600"/>
      <c r="BU2" s="600"/>
      <c r="BV2" s="600"/>
      <c r="BW2" s="600"/>
      <c r="BX2" s="600"/>
      <c r="BY2" s="600"/>
      <c r="BZ2" s="600"/>
      <c r="CA2" s="600"/>
      <c r="CB2" s="600"/>
      <c r="CC2" s="600"/>
      <c r="CD2" s="600"/>
      <c r="CE2" s="600"/>
      <c r="CF2" s="600"/>
      <c r="CG2" s="600"/>
      <c r="CH2" s="600"/>
      <c r="CI2" s="600"/>
      <c r="CJ2" s="600"/>
      <c r="CK2" s="600"/>
      <c r="CL2" s="600"/>
      <c r="CM2" s="600"/>
      <c r="CN2" s="600"/>
      <c r="CO2" s="600"/>
      <c r="CP2" s="600"/>
      <c r="CQ2" s="600"/>
      <c r="CR2" s="600"/>
      <c r="CS2" s="600"/>
      <c r="CT2" s="600"/>
      <c r="CU2" s="600"/>
      <c r="CV2" s="600"/>
      <c r="CW2" s="600"/>
      <c r="CX2" s="600"/>
      <c r="CY2" s="600"/>
      <c r="CZ2" s="600"/>
      <c r="DA2" s="600"/>
      <c r="DB2" s="600"/>
      <c r="DC2" s="600"/>
      <c r="DD2" s="600"/>
      <c r="DE2" s="600"/>
      <c r="DF2" s="600"/>
      <c r="DG2" s="600"/>
      <c r="DH2" s="600"/>
      <c r="DI2" s="600"/>
      <c r="DJ2" s="600"/>
      <c r="DK2" s="600"/>
      <c r="DL2" s="600"/>
      <c r="DM2" s="600"/>
      <c r="DN2" s="600"/>
      <c r="DO2" s="600"/>
      <c r="DP2" s="600"/>
      <c r="DQ2" s="600"/>
      <c r="DR2" s="600"/>
      <c r="DS2" s="600"/>
      <c r="DT2" s="600"/>
      <c r="DU2" s="600"/>
      <c r="DV2" s="600"/>
      <c r="DW2" s="600"/>
      <c r="DX2" s="600"/>
      <c r="DY2" s="600"/>
      <c r="DZ2" s="600"/>
      <c r="EA2" s="600"/>
      <c r="EB2" s="600"/>
      <c r="EC2" s="600"/>
      <c r="ED2" s="600"/>
      <c r="EE2" s="600"/>
      <c r="EF2" s="600"/>
      <c r="EG2" s="600"/>
      <c r="EH2" s="600"/>
      <c r="EI2" s="600"/>
      <c r="EJ2" s="600"/>
      <c r="EK2" s="600"/>
      <c r="EL2" s="600"/>
      <c r="EM2" s="600"/>
      <c r="EN2" s="600"/>
      <c r="EO2" s="600"/>
      <c r="EP2" s="600"/>
      <c r="EQ2" s="600"/>
      <c r="ER2" s="600"/>
      <c r="ES2" s="600"/>
      <c r="ET2" s="600"/>
      <c r="EU2" s="600"/>
      <c r="EV2" s="600"/>
      <c r="EW2" s="600"/>
      <c r="EX2" s="600"/>
      <c r="EY2" s="600"/>
      <c r="EZ2" s="600"/>
      <c r="FA2" s="600"/>
      <c r="FB2" s="600"/>
      <c r="FC2" s="600"/>
      <c r="FD2" s="600"/>
      <c r="FE2" s="600"/>
      <c r="FF2" s="600"/>
      <c r="FG2" s="600"/>
      <c r="FH2" s="600"/>
      <c r="FI2" s="600"/>
      <c r="FJ2" s="600"/>
      <c r="FK2" s="601"/>
    </row>
    <row r="3" spans="1:167" ht="21.75" customHeight="1">
      <c r="A3" s="551"/>
      <c r="B3" s="548"/>
      <c r="C3" s="548"/>
      <c r="D3" s="548"/>
      <c r="E3" s="454" t="s">
        <v>2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  <c r="BJ3" s="452"/>
      <c r="BK3" s="452"/>
      <c r="BL3" s="452"/>
      <c r="BM3" s="452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  <c r="BY3" s="452"/>
      <c r="BZ3" s="452"/>
      <c r="CA3" s="452"/>
      <c r="CB3" s="452"/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  <c r="DJ3" s="452"/>
      <c r="DK3" s="452"/>
      <c r="DL3" s="452"/>
      <c r="DM3" s="452"/>
      <c r="DN3" s="452"/>
      <c r="DO3" s="452"/>
      <c r="DP3" s="452"/>
      <c r="DQ3" s="452"/>
      <c r="DR3" s="452"/>
      <c r="DS3" s="452"/>
      <c r="DT3" s="452"/>
      <c r="DU3" s="452"/>
      <c r="DV3" s="452"/>
      <c r="DW3" s="452"/>
      <c r="DX3" s="452"/>
      <c r="DY3" s="452"/>
      <c r="DZ3" s="452"/>
      <c r="EA3" s="452"/>
      <c r="EB3" s="452"/>
      <c r="EC3" s="452"/>
      <c r="ED3" s="452"/>
      <c r="EE3" s="452"/>
      <c r="EF3" s="452"/>
      <c r="EG3" s="452"/>
      <c r="EH3" s="452"/>
      <c r="EI3" s="452"/>
      <c r="EJ3" s="452"/>
      <c r="EK3" s="452"/>
      <c r="EL3" s="452"/>
      <c r="EM3" s="452"/>
      <c r="EN3" s="452"/>
      <c r="EO3" s="452"/>
      <c r="EP3" s="452"/>
      <c r="EQ3" s="452"/>
      <c r="ER3" s="452"/>
      <c r="ES3" s="452"/>
      <c r="ET3" s="452"/>
      <c r="EU3" s="452"/>
      <c r="EV3" s="452"/>
      <c r="EW3" s="452"/>
      <c r="EX3" s="452"/>
      <c r="EY3" s="452"/>
      <c r="EZ3" s="452"/>
      <c r="FA3" s="452"/>
      <c r="FB3" s="452"/>
      <c r="FC3" s="452"/>
      <c r="FD3" s="452"/>
      <c r="FE3" s="452"/>
      <c r="FF3" s="452"/>
      <c r="FG3" s="452"/>
      <c r="FH3" s="452"/>
      <c r="FI3" s="452"/>
      <c r="FJ3" s="452"/>
      <c r="FK3" s="453"/>
    </row>
    <row r="4" spans="1:167" ht="35.25" customHeight="1">
      <c r="A4" s="551"/>
      <c r="B4" s="548"/>
      <c r="C4" s="548"/>
      <c r="D4" s="548"/>
      <c r="E4" s="602" t="s">
        <v>3</v>
      </c>
      <c r="F4" s="603"/>
      <c r="G4" s="603"/>
      <c r="H4" s="603"/>
      <c r="I4" s="603"/>
      <c r="J4" s="603"/>
      <c r="K4" s="603"/>
      <c r="L4" s="603"/>
      <c r="M4" s="603"/>
      <c r="N4" s="603"/>
      <c r="O4" s="603"/>
      <c r="P4" s="603"/>
      <c r="Q4" s="603"/>
      <c r="R4" s="603"/>
      <c r="S4" s="603"/>
      <c r="T4" s="603"/>
      <c r="U4" s="603"/>
      <c r="V4" s="603"/>
      <c r="W4" s="603"/>
      <c r="X4" s="603"/>
      <c r="Y4" s="603"/>
      <c r="Z4" s="603"/>
      <c r="AA4" s="603"/>
      <c r="AB4" s="603"/>
      <c r="AC4" s="603"/>
      <c r="AD4" s="603"/>
      <c r="AE4" s="603"/>
      <c r="AF4" s="603"/>
      <c r="AG4" s="603"/>
      <c r="AH4" s="603"/>
      <c r="AI4" s="603"/>
      <c r="AJ4" s="603"/>
      <c r="AK4" s="603"/>
      <c r="AL4" s="603"/>
      <c r="AM4" s="603"/>
      <c r="AN4" s="603"/>
      <c r="AO4" s="603"/>
      <c r="AP4" s="603"/>
      <c r="AQ4" s="603"/>
      <c r="AR4" s="603"/>
      <c r="AS4" s="603"/>
      <c r="AT4" s="603"/>
      <c r="AU4" s="603"/>
      <c r="AV4" s="603"/>
      <c r="AW4" s="603"/>
      <c r="AX4" s="603"/>
      <c r="AY4" s="603"/>
      <c r="AZ4" s="603"/>
      <c r="BA4" s="603"/>
      <c r="BB4" s="603"/>
      <c r="BC4" s="603"/>
      <c r="BD4" s="603"/>
      <c r="BE4" s="603"/>
      <c r="BF4" s="603"/>
      <c r="BG4" s="603"/>
      <c r="BH4" s="603"/>
      <c r="BI4" s="603"/>
      <c r="BJ4" s="603"/>
      <c r="BK4" s="603"/>
      <c r="BL4" s="603"/>
      <c r="BM4" s="603"/>
      <c r="BN4" s="603"/>
      <c r="BO4" s="603"/>
      <c r="BP4" s="603"/>
      <c r="BQ4" s="603"/>
      <c r="BR4" s="603"/>
      <c r="BS4" s="603"/>
      <c r="BT4" s="603"/>
      <c r="BU4" s="603"/>
      <c r="BV4" s="603"/>
      <c r="BW4" s="603"/>
      <c r="BX4" s="603"/>
      <c r="BY4" s="603"/>
      <c r="BZ4" s="603"/>
      <c r="CA4" s="603"/>
      <c r="CB4" s="603"/>
      <c r="CC4" s="603"/>
      <c r="CD4" s="603"/>
      <c r="CE4" s="603"/>
      <c r="CF4" s="603"/>
      <c r="CG4" s="603"/>
      <c r="CH4" s="603"/>
      <c r="CI4" s="603"/>
      <c r="CJ4" s="603"/>
      <c r="CK4" s="603"/>
      <c r="CL4" s="603"/>
      <c r="CM4" s="603"/>
      <c r="CN4" s="603"/>
      <c r="CO4" s="603"/>
      <c r="CP4" s="603"/>
      <c r="CQ4" s="603"/>
      <c r="CR4" s="603"/>
      <c r="CS4" s="603"/>
      <c r="CT4" s="603"/>
      <c r="CU4" s="603"/>
      <c r="CV4" s="603"/>
      <c r="CW4" s="603"/>
      <c r="CX4" s="603"/>
      <c r="CY4" s="603"/>
      <c r="CZ4" s="603"/>
      <c r="DA4" s="603"/>
      <c r="DB4" s="603"/>
      <c r="DC4" s="603"/>
      <c r="DD4" s="603"/>
      <c r="DE4" s="603"/>
      <c r="DF4" s="603"/>
      <c r="DG4" s="603"/>
      <c r="DH4" s="603"/>
      <c r="DI4" s="603"/>
      <c r="DJ4" s="603"/>
      <c r="DK4" s="603"/>
      <c r="DL4" s="603"/>
      <c r="DM4" s="603"/>
      <c r="DN4" s="603"/>
      <c r="DO4" s="603"/>
      <c r="DP4" s="603"/>
      <c r="DQ4" s="603"/>
      <c r="DR4" s="603"/>
      <c r="DS4" s="603"/>
      <c r="DT4" s="603"/>
      <c r="DU4" s="603"/>
      <c r="DV4" s="603"/>
      <c r="DW4" s="603"/>
      <c r="DX4" s="603"/>
      <c r="DY4" s="603"/>
      <c r="DZ4" s="603"/>
      <c r="EA4" s="603"/>
      <c r="EB4" s="603"/>
      <c r="EC4" s="603"/>
      <c r="ED4" s="603"/>
      <c r="EE4" s="603"/>
      <c r="EF4" s="603"/>
      <c r="EG4" s="603"/>
      <c r="EH4" s="603"/>
      <c r="EI4" s="603"/>
      <c r="EJ4" s="603"/>
      <c r="EK4" s="603"/>
      <c r="EL4" s="603"/>
      <c r="EM4" s="603"/>
      <c r="EN4" s="603"/>
      <c r="EO4" s="603"/>
      <c r="EP4" s="603"/>
      <c r="EQ4" s="603"/>
      <c r="ER4" s="603"/>
      <c r="ES4" s="603"/>
      <c r="ET4" s="603"/>
      <c r="EU4" s="603"/>
      <c r="EV4" s="603"/>
      <c r="EW4" s="603"/>
      <c r="EX4" s="603"/>
      <c r="EY4" s="603"/>
      <c r="EZ4" s="603"/>
      <c r="FA4" s="603"/>
      <c r="FB4" s="603"/>
      <c r="FC4" s="603"/>
      <c r="FD4" s="603"/>
      <c r="FE4" s="603"/>
      <c r="FF4" s="603"/>
      <c r="FG4" s="603"/>
      <c r="FH4" s="603"/>
      <c r="FI4" s="603"/>
      <c r="FJ4" s="603"/>
      <c r="FK4" s="604"/>
    </row>
    <row r="5" spans="1:167" ht="19.5" customHeight="1" thickBot="1">
      <c r="A5" s="1"/>
      <c r="B5" s="169"/>
      <c r="C5" s="458" t="s">
        <v>143</v>
      </c>
      <c r="D5" s="459"/>
      <c r="E5" s="459"/>
      <c r="F5" s="459"/>
      <c r="G5" s="459"/>
      <c r="H5" s="459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65"/>
      <c r="Y5" s="605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4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4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4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4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4"/>
      <c r="ET5" s="464"/>
      <c r="EU5" s="464"/>
      <c r="EV5" s="464"/>
      <c r="EW5" s="464"/>
      <c r="EX5" s="464"/>
      <c r="EY5" s="464"/>
      <c r="EZ5" s="464"/>
      <c r="FA5" s="464"/>
      <c r="FB5" s="464"/>
      <c r="FC5" s="464"/>
      <c r="FD5" s="464"/>
      <c r="FE5" s="464"/>
      <c r="FF5" s="464"/>
      <c r="FG5" s="459"/>
      <c r="FH5" s="459"/>
      <c r="FI5" s="459"/>
      <c r="FJ5" s="459"/>
      <c r="FK5" s="460"/>
    </row>
    <row r="6" spans="1:167" ht="45" customHeight="1">
      <c r="A6" s="1"/>
      <c r="B6" s="159" t="s">
        <v>4</v>
      </c>
      <c r="C6" s="160" t="s">
        <v>5</v>
      </c>
      <c r="D6" s="161" t="s">
        <v>144</v>
      </c>
      <c r="E6" s="162" t="s">
        <v>7</v>
      </c>
      <c r="F6" s="163" t="s">
        <v>8</v>
      </c>
      <c r="G6" s="462" t="s">
        <v>9</v>
      </c>
      <c r="H6" s="459"/>
      <c r="I6" s="606" t="s">
        <v>10</v>
      </c>
      <c r="J6" s="607"/>
      <c r="K6" s="607"/>
      <c r="L6" s="607"/>
      <c r="M6" s="607"/>
      <c r="N6" s="607"/>
      <c r="O6" s="607"/>
      <c r="P6" s="607"/>
      <c r="Q6" s="607"/>
      <c r="R6" s="608"/>
      <c r="S6" s="609" t="s">
        <v>188</v>
      </c>
      <c r="T6" s="607"/>
      <c r="U6" s="607"/>
      <c r="V6" s="607"/>
      <c r="W6" s="607"/>
      <c r="X6" s="607"/>
      <c r="Y6" s="607"/>
      <c r="Z6" s="607"/>
      <c r="AA6" s="607"/>
      <c r="AB6" s="608"/>
      <c r="AC6" s="610" t="s">
        <v>11</v>
      </c>
      <c r="AD6" s="611"/>
      <c r="AE6" s="611"/>
      <c r="AF6" s="611"/>
      <c r="AG6" s="611"/>
      <c r="AH6" s="611"/>
      <c r="AI6" s="611"/>
      <c r="AJ6" s="611"/>
      <c r="AK6" s="611"/>
      <c r="AL6" s="611"/>
      <c r="AM6" s="610" t="s">
        <v>12</v>
      </c>
      <c r="AN6" s="611"/>
      <c r="AO6" s="611"/>
      <c r="AP6" s="611"/>
      <c r="AQ6" s="611"/>
      <c r="AR6" s="611"/>
      <c r="AS6" s="611"/>
      <c r="AT6" s="611"/>
      <c r="AU6" s="611"/>
      <c r="AV6" s="611"/>
      <c r="AW6" s="612" t="s">
        <v>189</v>
      </c>
      <c r="AX6" s="611"/>
      <c r="AY6" s="611"/>
      <c r="AZ6" s="611"/>
      <c r="BA6" s="611"/>
      <c r="BB6" s="611"/>
      <c r="BC6" s="611"/>
      <c r="BD6" s="611"/>
      <c r="BE6" s="611"/>
      <c r="BF6" s="613"/>
      <c r="BG6" s="614" t="s">
        <v>190</v>
      </c>
      <c r="BH6" s="615"/>
      <c r="BI6" s="615"/>
      <c r="BJ6" s="615"/>
      <c r="BK6" s="615"/>
      <c r="BL6" s="615"/>
      <c r="BM6" s="615"/>
      <c r="BN6" s="615"/>
      <c r="BO6" s="615"/>
      <c r="BP6" s="616"/>
      <c r="BQ6" s="617" t="s">
        <v>191</v>
      </c>
      <c r="BR6" s="618"/>
      <c r="BS6" s="618"/>
      <c r="BT6" s="618"/>
      <c r="BU6" s="618"/>
      <c r="BV6" s="618"/>
      <c r="BW6" s="618"/>
      <c r="BX6" s="618"/>
      <c r="BY6" s="618"/>
      <c r="BZ6" s="619"/>
      <c r="CA6" s="606" t="s">
        <v>192</v>
      </c>
      <c r="CB6" s="607"/>
      <c r="CC6" s="607"/>
      <c r="CD6" s="607"/>
      <c r="CE6" s="607"/>
      <c r="CF6" s="607"/>
      <c r="CG6" s="607"/>
      <c r="CH6" s="607"/>
      <c r="CI6" s="607"/>
      <c r="CJ6" s="607"/>
      <c r="CK6" s="620" t="s">
        <v>193</v>
      </c>
      <c r="CL6" s="621"/>
      <c r="CM6" s="621"/>
      <c r="CN6" s="621"/>
      <c r="CO6" s="621"/>
      <c r="CP6" s="621"/>
      <c r="CQ6" s="621"/>
      <c r="CR6" s="621"/>
      <c r="CS6" s="621"/>
      <c r="CT6" s="622"/>
      <c r="CU6" s="623" t="s">
        <v>194</v>
      </c>
      <c r="CV6" s="624"/>
      <c r="CW6" s="624"/>
      <c r="CX6" s="624"/>
      <c r="CY6" s="624"/>
      <c r="CZ6" s="624"/>
      <c r="DA6" s="624"/>
      <c r="DB6" s="624"/>
      <c r="DC6" s="624"/>
      <c r="DD6" s="625"/>
      <c r="DE6" s="620" t="s">
        <v>195</v>
      </c>
      <c r="DF6" s="621"/>
      <c r="DG6" s="621"/>
      <c r="DH6" s="621"/>
      <c r="DI6" s="621"/>
      <c r="DJ6" s="621"/>
      <c r="DK6" s="621"/>
      <c r="DL6" s="621"/>
      <c r="DM6" s="621"/>
      <c r="DN6" s="622"/>
      <c r="DO6" s="623" t="s">
        <v>196</v>
      </c>
      <c r="DP6" s="624"/>
      <c r="DQ6" s="624"/>
      <c r="DR6" s="624"/>
      <c r="DS6" s="624"/>
      <c r="DT6" s="624"/>
      <c r="DU6" s="624"/>
      <c r="DV6" s="624"/>
      <c r="DW6" s="624"/>
      <c r="DX6" s="625"/>
      <c r="DY6" s="606" t="s">
        <v>197</v>
      </c>
      <c r="DZ6" s="607"/>
      <c r="EA6" s="607"/>
      <c r="EB6" s="607"/>
      <c r="EC6" s="607"/>
      <c r="ED6" s="607"/>
      <c r="EE6" s="607"/>
      <c r="EF6" s="607"/>
      <c r="EG6" s="607"/>
      <c r="EH6" s="608"/>
      <c r="EI6" s="606" t="s">
        <v>198</v>
      </c>
      <c r="EJ6" s="607"/>
      <c r="EK6" s="607"/>
      <c r="EL6" s="607"/>
      <c r="EM6" s="607"/>
      <c r="EN6" s="607"/>
      <c r="EO6" s="607"/>
      <c r="EP6" s="607"/>
      <c r="EQ6" s="607"/>
      <c r="ER6" s="608"/>
      <c r="ES6" s="626" t="s">
        <v>20</v>
      </c>
      <c r="ET6" s="611"/>
      <c r="EU6" s="611"/>
      <c r="EV6" s="611"/>
      <c r="EW6" s="611"/>
      <c r="EX6" s="611"/>
      <c r="EY6" s="611"/>
      <c r="EZ6" s="611"/>
      <c r="FA6" s="611"/>
      <c r="FB6" s="611"/>
      <c r="FC6" s="611"/>
      <c r="FD6" s="611"/>
      <c r="FE6" s="611"/>
      <c r="FF6" s="613"/>
      <c r="FG6" s="164" t="s">
        <v>5</v>
      </c>
      <c r="FH6" s="168" t="s">
        <v>199</v>
      </c>
      <c r="FI6" s="167" t="s">
        <v>22</v>
      </c>
      <c r="FJ6" s="166" t="s">
        <v>23</v>
      </c>
      <c r="FK6" s="6"/>
    </row>
    <row r="7" spans="1:167" ht="18" customHeight="1">
      <c r="A7" s="2"/>
      <c r="B7" s="180"/>
      <c r="C7" s="181"/>
      <c r="D7" s="179" t="s">
        <v>24</v>
      </c>
      <c r="E7" s="19"/>
      <c r="F7" s="20"/>
      <c r="G7" s="569"/>
      <c r="H7" s="627"/>
      <c r="I7" s="27">
        <v>1</v>
      </c>
      <c r="J7" s="22">
        <v>1</v>
      </c>
      <c r="K7" s="22">
        <v>1</v>
      </c>
      <c r="L7" s="22">
        <v>1</v>
      </c>
      <c r="M7" s="22">
        <v>1</v>
      </c>
      <c r="N7" s="22">
        <v>1</v>
      </c>
      <c r="O7" s="22">
        <v>1</v>
      </c>
      <c r="P7" s="22">
        <v>1</v>
      </c>
      <c r="Q7" s="22">
        <v>1</v>
      </c>
      <c r="R7" s="28">
        <v>1</v>
      </c>
      <c r="S7" s="27">
        <v>1</v>
      </c>
      <c r="T7" s="22">
        <v>1</v>
      </c>
      <c r="U7" s="22">
        <v>1</v>
      </c>
      <c r="V7" s="22">
        <v>1</v>
      </c>
      <c r="W7" s="22">
        <v>1</v>
      </c>
      <c r="X7" s="22">
        <v>1</v>
      </c>
      <c r="Y7" s="22">
        <v>1</v>
      </c>
      <c r="Z7" s="22">
        <v>1</v>
      </c>
      <c r="AA7" s="22">
        <v>1</v>
      </c>
      <c r="AB7" s="28">
        <v>1</v>
      </c>
      <c r="AC7" s="27">
        <v>1</v>
      </c>
      <c r="AD7" s="22">
        <v>1</v>
      </c>
      <c r="AE7" s="22">
        <v>1</v>
      </c>
      <c r="AF7" s="22">
        <v>1</v>
      </c>
      <c r="AG7" s="21"/>
      <c r="AH7" s="21"/>
      <c r="AI7" s="21">
        <v>1</v>
      </c>
      <c r="AJ7" s="21">
        <v>1</v>
      </c>
      <c r="AK7" s="21">
        <v>1</v>
      </c>
      <c r="AL7" s="32">
        <v>1</v>
      </c>
      <c r="AM7" s="33">
        <v>1</v>
      </c>
      <c r="AN7" s="21">
        <v>1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32">
        <v>1</v>
      </c>
      <c r="AW7" s="33">
        <v>1</v>
      </c>
      <c r="AX7" s="21">
        <v>1</v>
      </c>
      <c r="AY7" s="21">
        <v>1</v>
      </c>
      <c r="AZ7" s="21">
        <v>1</v>
      </c>
      <c r="BA7" s="21">
        <v>1</v>
      </c>
      <c r="BB7" s="21">
        <v>1</v>
      </c>
      <c r="BC7" s="21">
        <v>1</v>
      </c>
      <c r="BD7" s="21">
        <v>1</v>
      </c>
      <c r="BE7" s="21">
        <v>1</v>
      </c>
      <c r="BF7" s="31">
        <v>1</v>
      </c>
      <c r="BG7" s="33">
        <v>1</v>
      </c>
      <c r="BH7" s="21">
        <v>1</v>
      </c>
      <c r="BI7" s="21">
        <v>1</v>
      </c>
      <c r="BJ7" s="21">
        <v>1</v>
      </c>
      <c r="BK7" s="21">
        <v>1</v>
      </c>
      <c r="BL7" s="21">
        <v>1</v>
      </c>
      <c r="BM7" s="21">
        <v>1</v>
      </c>
      <c r="BN7" s="21">
        <v>1</v>
      </c>
      <c r="BO7" s="21">
        <v>1</v>
      </c>
      <c r="BP7" s="31">
        <v>1</v>
      </c>
      <c r="BQ7" s="27">
        <v>1</v>
      </c>
      <c r="BR7" s="21">
        <v>1</v>
      </c>
      <c r="BS7" s="21">
        <v>1</v>
      </c>
      <c r="BT7" s="21">
        <v>1</v>
      </c>
      <c r="BU7" s="21">
        <v>1</v>
      </c>
      <c r="BV7" s="21">
        <v>1</v>
      </c>
      <c r="BW7" s="21">
        <v>1</v>
      </c>
      <c r="BX7" s="21">
        <v>1</v>
      </c>
      <c r="BY7" s="21">
        <v>1</v>
      </c>
      <c r="BZ7" s="31">
        <v>1</v>
      </c>
      <c r="CA7" s="27"/>
      <c r="CB7" s="22"/>
      <c r="CC7" s="22"/>
      <c r="CD7" s="22"/>
      <c r="CE7" s="22"/>
      <c r="CF7" s="22"/>
      <c r="CG7" s="22"/>
      <c r="CH7" s="22"/>
      <c r="CI7" s="22"/>
      <c r="CJ7" s="34"/>
      <c r="CK7" s="27">
        <v>1</v>
      </c>
      <c r="CL7" s="22">
        <v>1</v>
      </c>
      <c r="CM7" s="22">
        <v>1</v>
      </c>
      <c r="CN7" s="22">
        <v>1</v>
      </c>
      <c r="CO7" s="22">
        <v>1</v>
      </c>
      <c r="CP7" s="22">
        <v>1</v>
      </c>
      <c r="CQ7" s="22">
        <v>1</v>
      </c>
      <c r="CR7" s="22">
        <v>1</v>
      </c>
      <c r="CS7" s="22">
        <v>1</v>
      </c>
      <c r="CT7" s="28">
        <v>1</v>
      </c>
      <c r="CU7" s="27">
        <v>1</v>
      </c>
      <c r="CV7" s="22">
        <v>1</v>
      </c>
      <c r="CW7" s="22">
        <v>1</v>
      </c>
      <c r="CX7" s="22">
        <v>1</v>
      </c>
      <c r="CY7" s="22">
        <v>1</v>
      </c>
      <c r="CZ7" s="22">
        <v>1</v>
      </c>
      <c r="DA7" s="22">
        <v>1</v>
      </c>
      <c r="DB7" s="22">
        <v>1</v>
      </c>
      <c r="DC7" s="22">
        <v>1</v>
      </c>
      <c r="DD7" s="28">
        <v>1</v>
      </c>
      <c r="DE7" s="27">
        <v>1</v>
      </c>
      <c r="DF7" s="22">
        <v>1</v>
      </c>
      <c r="DG7" s="22">
        <v>1</v>
      </c>
      <c r="DH7" s="22">
        <v>1</v>
      </c>
      <c r="DI7" s="22">
        <v>1</v>
      </c>
      <c r="DJ7" s="22">
        <v>1</v>
      </c>
      <c r="DK7" s="22">
        <v>1</v>
      </c>
      <c r="DL7" s="22">
        <v>1</v>
      </c>
      <c r="DM7" s="22">
        <v>1</v>
      </c>
      <c r="DN7" s="28">
        <v>1</v>
      </c>
      <c r="DO7" s="27">
        <v>1</v>
      </c>
      <c r="DP7" s="22">
        <v>1</v>
      </c>
      <c r="DQ7" s="22">
        <v>1</v>
      </c>
      <c r="DR7" s="22">
        <v>1</v>
      </c>
      <c r="DS7" s="22">
        <v>1</v>
      </c>
      <c r="DT7" s="22">
        <v>1</v>
      </c>
      <c r="DU7" s="22">
        <v>1</v>
      </c>
      <c r="DV7" s="22">
        <v>1</v>
      </c>
      <c r="DW7" s="22">
        <v>1</v>
      </c>
      <c r="DX7" s="28">
        <v>1</v>
      </c>
      <c r="DY7" s="27">
        <v>1</v>
      </c>
      <c r="DZ7" s="22">
        <v>1</v>
      </c>
      <c r="EA7" s="22">
        <v>1</v>
      </c>
      <c r="EB7" s="22">
        <v>1</v>
      </c>
      <c r="EC7" s="22">
        <v>1</v>
      </c>
      <c r="ED7" s="22">
        <v>1</v>
      </c>
      <c r="EE7" s="22">
        <v>1</v>
      </c>
      <c r="EF7" s="22">
        <v>1</v>
      </c>
      <c r="EG7" s="22">
        <v>1</v>
      </c>
      <c r="EH7" s="28">
        <v>1</v>
      </c>
      <c r="EI7" s="27">
        <v>1</v>
      </c>
      <c r="EJ7" s="22">
        <v>1</v>
      </c>
      <c r="EK7" s="22">
        <v>1</v>
      </c>
      <c r="EL7" s="22">
        <v>1</v>
      </c>
      <c r="EM7" s="22">
        <v>1</v>
      </c>
      <c r="EN7" s="22">
        <v>1</v>
      </c>
      <c r="EO7" s="22">
        <v>1</v>
      </c>
      <c r="EP7" s="23">
        <v>1</v>
      </c>
      <c r="EQ7" s="23">
        <v>1</v>
      </c>
      <c r="ER7" s="28">
        <v>1</v>
      </c>
      <c r="ES7" s="171"/>
      <c r="ET7" s="172"/>
      <c r="EU7" s="172"/>
      <c r="EV7" s="172"/>
      <c r="EW7" s="172"/>
      <c r="EX7" s="172"/>
      <c r="EY7" s="172"/>
      <c r="EZ7" s="172"/>
      <c r="FA7" s="173"/>
      <c r="FB7" s="173"/>
      <c r="FC7" s="173"/>
      <c r="FD7" s="173"/>
      <c r="FE7" s="173"/>
      <c r="FF7" s="174"/>
      <c r="FG7" s="35"/>
      <c r="FH7" s="25"/>
      <c r="FI7" s="24"/>
      <c r="FJ7" s="26"/>
      <c r="FK7" s="7"/>
    </row>
    <row r="8" spans="1:167" ht="15" customHeight="1">
      <c r="A8" s="2"/>
      <c r="B8" s="3">
        <f t="shared" ref="B8:B57" si="0">IF(ISTEXT(D8),1,0)</f>
        <v>1</v>
      </c>
      <c r="C8" s="182">
        <f>ROW(D1)</f>
        <v>1</v>
      </c>
      <c r="D8" s="183" t="s">
        <v>145</v>
      </c>
      <c r="E8" s="177"/>
      <c r="F8" s="177">
        <v>16</v>
      </c>
      <c r="G8" s="628">
        <v>45915</v>
      </c>
      <c r="H8" s="629"/>
      <c r="I8" s="93">
        <v>0</v>
      </c>
      <c r="J8" s="94">
        <v>0</v>
      </c>
      <c r="K8" s="94">
        <v>1</v>
      </c>
      <c r="L8" s="94">
        <v>1</v>
      </c>
      <c r="M8" s="94">
        <v>1</v>
      </c>
      <c r="N8" s="94">
        <v>1</v>
      </c>
      <c r="O8" s="94">
        <v>1</v>
      </c>
      <c r="P8" s="94">
        <v>1</v>
      </c>
      <c r="Q8" s="94">
        <v>1</v>
      </c>
      <c r="R8" s="95">
        <v>1</v>
      </c>
      <c r="S8" s="112">
        <v>1</v>
      </c>
      <c r="T8" s="113">
        <v>1</v>
      </c>
      <c r="U8" s="113">
        <v>1</v>
      </c>
      <c r="V8" s="113">
        <v>1</v>
      </c>
      <c r="W8" s="113">
        <v>1</v>
      </c>
      <c r="X8" s="113">
        <v>1</v>
      </c>
      <c r="Y8" s="113">
        <v>1</v>
      </c>
      <c r="Z8" s="113">
        <v>1</v>
      </c>
      <c r="AA8" s="113">
        <v>1</v>
      </c>
      <c r="AB8" s="114">
        <v>1</v>
      </c>
      <c r="AC8" s="86">
        <v>1</v>
      </c>
      <c r="AD8" s="87">
        <v>1</v>
      </c>
      <c r="AE8" s="87">
        <v>1</v>
      </c>
      <c r="AF8" s="87">
        <v>1</v>
      </c>
      <c r="AG8" s="590"/>
      <c r="AH8" s="591"/>
      <c r="AI8" s="87">
        <v>1</v>
      </c>
      <c r="AJ8" s="87">
        <v>1</v>
      </c>
      <c r="AK8" s="87">
        <v>1</v>
      </c>
      <c r="AL8" s="121">
        <v>1</v>
      </c>
      <c r="AM8" s="105">
        <v>1</v>
      </c>
      <c r="AN8" s="106">
        <v>1</v>
      </c>
      <c r="AO8" s="106">
        <v>1</v>
      </c>
      <c r="AP8" s="106">
        <v>1</v>
      </c>
      <c r="AQ8" s="106">
        <v>1</v>
      </c>
      <c r="AR8" s="106">
        <v>1</v>
      </c>
      <c r="AS8" s="106">
        <v>1</v>
      </c>
      <c r="AT8" s="106">
        <v>1</v>
      </c>
      <c r="AU8" s="106">
        <v>1</v>
      </c>
      <c r="AV8" s="130">
        <v>1</v>
      </c>
      <c r="AW8" s="124">
        <v>1</v>
      </c>
      <c r="AX8" s="125">
        <v>1</v>
      </c>
      <c r="AY8" s="125">
        <v>1</v>
      </c>
      <c r="AZ8" s="125">
        <v>1</v>
      </c>
      <c r="BA8" s="125">
        <v>1</v>
      </c>
      <c r="BB8" s="125">
        <v>1</v>
      </c>
      <c r="BC8" s="125">
        <v>1</v>
      </c>
      <c r="BD8" s="125">
        <v>1</v>
      </c>
      <c r="BE8" s="125">
        <v>1</v>
      </c>
      <c r="BF8" s="136">
        <v>1</v>
      </c>
      <c r="BG8" s="93">
        <v>1</v>
      </c>
      <c r="BH8" s="94">
        <v>1</v>
      </c>
      <c r="BI8" s="94">
        <v>0</v>
      </c>
      <c r="BJ8" s="94">
        <v>0</v>
      </c>
      <c r="BK8" s="94">
        <v>1</v>
      </c>
      <c r="BL8" s="139">
        <v>1</v>
      </c>
      <c r="BM8" s="139">
        <v>1</v>
      </c>
      <c r="BN8" s="139">
        <v>1</v>
      </c>
      <c r="BO8" s="139">
        <v>1</v>
      </c>
      <c r="BP8" s="140">
        <v>1</v>
      </c>
      <c r="BQ8" s="144">
        <v>1</v>
      </c>
      <c r="BR8" s="145">
        <v>1</v>
      </c>
      <c r="BS8" s="145">
        <v>1</v>
      </c>
      <c r="BT8" s="145">
        <v>1</v>
      </c>
      <c r="BU8" s="145">
        <v>1</v>
      </c>
      <c r="BV8" s="145">
        <v>1</v>
      </c>
      <c r="BW8" s="145">
        <v>1</v>
      </c>
      <c r="BX8" s="145">
        <v>1</v>
      </c>
      <c r="BY8" s="145">
        <v>1</v>
      </c>
      <c r="BZ8" s="146">
        <v>1</v>
      </c>
      <c r="CA8" s="596"/>
      <c r="CB8" s="587"/>
      <c r="CC8" s="587"/>
      <c r="CD8" s="587"/>
      <c r="CE8" s="587"/>
      <c r="CF8" s="587"/>
      <c r="CG8" s="587"/>
      <c r="CH8" s="587"/>
      <c r="CI8" s="587"/>
      <c r="CJ8" s="597"/>
      <c r="CK8" s="150">
        <v>1</v>
      </c>
      <c r="CL8" s="151">
        <v>1</v>
      </c>
      <c r="CM8" s="151">
        <v>1</v>
      </c>
      <c r="CN8" s="151">
        <v>1</v>
      </c>
      <c r="CO8" s="151">
        <v>0</v>
      </c>
      <c r="CP8" s="151">
        <v>0</v>
      </c>
      <c r="CQ8" s="151">
        <v>1</v>
      </c>
      <c r="CR8" s="151">
        <v>1</v>
      </c>
      <c r="CS8" s="151">
        <v>1</v>
      </c>
      <c r="CT8" s="152">
        <v>1</v>
      </c>
      <c r="CU8" s="147">
        <v>0</v>
      </c>
      <c r="CV8" s="148">
        <v>0</v>
      </c>
      <c r="CW8" s="148">
        <v>1</v>
      </c>
      <c r="CX8" s="148">
        <v>1</v>
      </c>
      <c r="CY8" s="148">
        <v>1</v>
      </c>
      <c r="CZ8" s="148">
        <v>1</v>
      </c>
      <c r="DA8" s="148">
        <v>1</v>
      </c>
      <c r="DB8" s="148">
        <v>1</v>
      </c>
      <c r="DC8" s="148">
        <v>1</v>
      </c>
      <c r="DD8" s="149">
        <v>1</v>
      </c>
      <c r="DE8" s="153">
        <v>1</v>
      </c>
      <c r="DF8" s="154">
        <v>1</v>
      </c>
      <c r="DG8" s="154">
        <v>1</v>
      </c>
      <c r="DH8" s="154">
        <v>1</v>
      </c>
      <c r="DI8" s="154">
        <v>1</v>
      </c>
      <c r="DJ8" s="154">
        <v>1</v>
      </c>
      <c r="DK8" s="154">
        <v>1</v>
      </c>
      <c r="DL8" s="154">
        <v>1</v>
      </c>
      <c r="DM8" s="154">
        <v>1</v>
      </c>
      <c r="DN8" s="155">
        <v>1</v>
      </c>
      <c r="DO8" s="144">
        <v>1</v>
      </c>
      <c r="DP8" s="145">
        <v>1</v>
      </c>
      <c r="DQ8" s="145">
        <v>1</v>
      </c>
      <c r="DR8" s="145">
        <v>1</v>
      </c>
      <c r="DS8" s="145">
        <v>1</v>
      </c>
      <c r="DT8" s="145">
        <v>1</v>
      </c>
      <c r="DU8" s="145">
        <v>1</v>
      </c>
      <c r="DV8" s="145">
        <v>1</v>
      </c>
      <c r="DW8" s="145">
        <v>1</v>
      </c>
      <c r="DX8" s="146">
        <v>1</v>
      </c>
      <c r="DY8" s="141">
        <v>1</v>
      </c>
      <c r="DZ8" s="142">
        <v>1</v>
      </c>
      <c r="EA8" s="142">
        <v>1</v>
      </c>
      <c r="EB8" s="142">
        <v>1</v>
      </c>
      <c r="EC8" s="142">
        <v>1</v>
      </c>
      <c r="ED8" s="142">
        <v>1</v>
      </c>
      <c r="EE8" s="142">
        <v>1</v>
      </c>
      <c r="EF8" s="142">
        <v>1</v>
      </c>
      <c r="EG8" s="142">
        <v>1</v>
      </c>
      <c r="EH8" s="143">
        <v>1</v>
      </c>
      <c r="EI8" s="150">
        <v>1</v>
      </c>
      <c r="EJ8" s="151">
        <v>1</v>
      </c>
      <c r="EK8" s="151">
        <v>1</v>
      </c>
      <c r="EL8" s="151">
        <v>1</v>
      </c>
      <c r="EM8" s="151">
        <v>1</v>
      </c>
      <c r="EN8" s="151">
        <v>1</v>
      </c>
      <c r="EO8" s="151">
        <v>1</v>
      </c>
      <c r="EP8" s="151">
        <v>1</v>
      </c>
      <c r="EQ8" s="151">
        <v>1</v>
      </c>
      <c r="ER8" s="170">
        <v>1</v>
      </c>
      <c r="ES8" s="175">
        <f t="shared" ref="ES8:ES56" si="1">SUM(I8:R8)</f>
        <v>8</v>
      </c>
      <c r="ET8" s="175">
        <f t="shared" ref="ET8:ET36" si="2">SUM(S8:AB8)</f>
        <v>10</v>
      </c>
      <c r="EU8" s="175">
        <f t="shared" ref="EU8:EU36" si="3">SUM(AC8:AL8)</f>
        <v>8</v>
      </c>
      <c r="EV8" s="188">
        <f t="shared" ref="EV8:EV36" si="4">SUM(AM8:AV8)</f>
        <v>10</v>
      </c>
      <c r="EW8" s="175">
        <f>SUM(BG8:BP8)</f>
        <v>8</v>
      </c>
      <c r="EX8" s="175">
        <f>SUM(BQ8:BZ8)</f>
        <v>10</v>
      </c>
      <c r="EY8" s="175">
        <f t="shared" ref="EY8:EY36" si="5">SUM(BQ8:BZ8)</f>
        <v>10</v>
      </c>
      <c r="EZ8" s="176">
        <f t="shared" ref="EZ8:EZ37" si="6">SUM(CA8:CJ8)</f>
        <v>0</v>
      </c>
      <c r="FA8" s="175">
        <f t="shared" ref="FA8:FA36" si="7">SUM(CK8:CT8)</f>
        <v>8</v>
      </c>
      <c r="FB8" s="175">
        <f t="shared" ref="FB8:FB36" si="8">SUM(CU8:DD8)</f>
        <v>8</v>
      </c>
      <c r="FC8" s="175">
        <f t="shared" ref="FC8:FC36" si="9">SUM(DE8:DN8)</f>
        <v>10</v>
      </c>
      <c r="FD8" s="175">
        <f t="shared" ref="FD8:FD36" si="10">SUM(DO8:DX8)</f>
        <v>10</v>
      </c>
      <c r="FE8" s="175">
        <f t="shared" ref="FE8:FE56" si="11">SUM(DY8:EH8)</f>
        <v>10</v>
      </c>
      <c r="FF8" s="175">
        <f t="shared" ref="FF8:FF71" si="12">SUM(EI8:ER8)</f>
        <v>10</v>
      </c>
      <c r="FG8" s="37">
        <v>1</v>
      </c>
      <c r="FH8" s="165">
        <f t="shared" ref="FH8:FH56" si="13">SUM(ES8:FF8)</f>
        <v>120</v>
      </c>
      <c r="FI8" s="165">
        <f>SUM(I7:ER7)-SUM(ES8:FF8)</f>
        <v>8</v>
      </c>
      <c r="FJ8" s="165">
        <f>SUM(I7:ER7)</f>
        <v>128</v>
      </c>
      <c r="FK8" s="7"/>
    </row>
    <row r="9" spans="1:167" ht="15" customHeight="1">
      <c r="A9" s="2"/>
      <c r="B9" s="3">
        <f t="shared" si="0"/>
        <v>1</v>
      </c>
      <c r="C9" s="182">
        <f>ROW(D2)</f>
        <v>2</v>
      </c>
      <c r="D9" s="183" t="s">
        <v>146</v>
      </c>
      <c r="E9" s="178"/>
      <c r="F9" s="177">
        <v>15</v>
      </c>
      <c r="G9" s="628">
        <v>45915</v>
      </c>
      <c r="H9" s="629"/>
      <c r="I9" s="96">
        <v>0</v>
      </c>
      <c r="J9" s="97">
        <v>0</v>
      </c>
      <c r="K9" s="97">
        <v>1</v>
      </c>
      <c r="L9" s="97">
        <v>1</v>
      </c>
      <c r="M9" s="97">
        <v>1</v>
      </c>
      <c r="N9" s="97">
        <v>1</v>
      </c>
      <c r="O9" s="97">
        <v>1</v>
      </c>
      <c r="P9" s="97">
        <v>1</v>
      </c>
      <c r="Q9" s="97">
        <v>1</v>
      </c>
      <c r="R9" s="98">
        <v>1</v>
      </c>
      <c r="S9" s="115">
        <v>1</v>
      </c>
      <c r="T9" s="116">
        <v>1</v>
      </c>
      <c r="U9" s="116">
        <v>1</v>
      </c>
      <c r="V9" s="116">
        <v>1</v>
      </c>
      <c r="W9" s="116">
        <v>1</v>
      </c>
      <c r="X9" s="116">
        <v>1</v>
      </c>
      <c r="Y9" s="116">
        <v>1</v>
      </c>
      <c r="Z9" s="116">
        <v>1</v>
      </c>
      <c r="AA9" s="116">
        <v>1</v>
      </c>
      <c r="AB9" s="117">
        <v>1</v>
      </c>
      <c r="AC9" s="88">
        <v>1</v>
      </c>
      <c r="AD9" s="89">
        <v>1</v>
      </c>
      <c r="AE9" s="89">
        <v>1</v>
      </c>
      <c r="AF9" s="89">
        <v>1</v>
      </c>
      <c r="AG9" s="592"/>
      <c r="AH9" s="593"/>
      <c r="AI9" s="89">
        <v>1</v>
      </c>
      <c r="AJ9" s="89">
        <v>1</v>
      </c>
      <c r="AK9" s="89">
        <v>1</v>
      </c>
      <c r="AL9" s="122">
        <v>1</v>
      </c>
      <c r="AM9" s="107">
        <v>1</v>
      </c>
      <c r="AN9" s="108">
        <v>1</v>
      </c>
      <c r="AO9" s="108">
        <v>1</v>
      </c>
      <c r="AP9" s="108">
        <v>1</v>
      </c>
      <c r="AQ9" s="108">
        <v>1</v>
      </c>
      <c r="AR9" s="108">
        <v>1</v>
      </c>
      <c r="AS9" s="108">
        <v>1</v>
      </c>
      <c r="AT9" s="108">
        <v>1</v>
      </c>
      <c r="AU9" s="108">
        <v>1</v>
      </c>
      <c r="AV9" s="131">
        <v>1</v>
      </c>
      <c r="AW9" s="126">
        <v>1</v>
      </c>
      <c r="AX9" s="127">
        <v>1</v>
      </c>
      <c r="AY9" s="127">
        <v>1</v>
      </c>
      <c r="AZ9" s="127">
        <v>1</v>
      </c>
      <c r="BA9" s="127">
        <v>1</v>
      </c>
      <c r="BB9" s="127">
        <v>1</v>
      </c>
      <c r="BC9" s="127">
        <v>1</v>
      </c>
      <c r="BD9" s="127">
        <v>1</v>
      </c>
      <c r="BE9" s="127">
        <v>1</v>
      </c>
      <c r="BF9" s="137">
        <v>1</v>
      </c>
      <c r="BG9" s="96">
        <v>1</v>
      </c>
      <c r="BH9" s="97">
        <v>1</v>
      </c>
      <c r="BI9" s="97">
        <v>1</v>
      </c>
      <c r="BJ9" s="97">
        <v>1</v>
      </c>
      <c r="BK9" s="97">
        <v>1</v>
      </c>
      <c r="BL9" s="100">
        <v>1</v>
      </c>
      <c r="BM9" s="100">
        <v>1</v>
      </c>
      <c r="BN9" s="100">
        <v>1</v>
      </c>
      <c r="BO9" s="100">
        <v>1</v>
      </c>
      <c r="BP9" s="101">
        <v>1</v>
      </c>
      <c r="BQ9" s="119">
        <v>1</v>
      </c>
      <c r="BR9" s="118">
        <v>1</v>
      </c>
      <c r="BS9" s="118">
        <v>1</v>
      </c>
      <c r="BT9" s="118">
        <v>1</v>
      </c>
      <c r="BU9" s="118">
        <v>1</v>
      </c>
      <c r="BV9" s="118">
        <v>1</v>
      </c>
      <c r="BW9" s="118">
        <v>1</v>
      </c>
      <c r="BX9" s="118">
        <v>1</v>
      </c>
      <c r="BY9" s="118">
        <v>1</v>
      </c>
      <c r="BZ9" s="120">
        <v>1</v>
      </c>
      <c r="CA9" s="537"/>
      <c r="CB9" s="538"/>
      <c r="CC9" s="538"/>
      <c r="CD9" s="538"/>
      <c r="CE9" s="538"/>
      <c r="CF9" s="538"/>
      <c r="CG9" s="538"/>
      <c r="CH9" s="538"/>
      <c r="CI9" s="538"/>
      <c r="CJ9" s="539"/>
      <c r="CK9" s="110">
        <v>1</v>
      </c>
      <c r="CL9" s="109">
        <v>1</v>
      </c>
      <c r="CM9" s="109">
        <v>1</v>
      </c>
      <c r="CN9" s="109">
        <v>1</v>
      </c>
      <c r="CO9" s="109">
        <v>1</v>
      </c>
      <c r="CP9" s="109">
        <v>1</v>
      </c>
      <c r="CQ9" s="109">
        <v>1</v>
      </c>
      <c r="CR9" s="109">
        <v>1</v>
      </c>
      <c r="CS9" s="109">
        <v>1</v>
      </c>
      <c r="CT9" s="111">
        <v>1</v>
      </c>
      <c r="CU9" s="128">
        <v>1</v>
      </c>
      <c r="CV9" s="129">
        <v>1</v>
      </c>
      <c r="CW9" s="129">
        <v>1</v>
      </c>
      <c r="CX9" s="129">
        <v>1</v>
      </c>
      <c r="CY9" s="129">
        <v>1</v>
      </c>
      <c r="CZ9" s="129">
        <v>1</v>
      </c>
      <c r="DA9" s="129">
        <v>1</v>
      </c>
      <c r="DB9" s="129">
        <v>1</v>
      </c>
      <c r="DC9" s="129">
        <v>1</v>
      </c>
      <c r="DD9" s="138">
        <v>1</v>
      </c>
      <c r="DE9" s="156">
        <v>1</v>
      </c>
      <c r="DF9" s="157">
        <v>1</v>
      </c>
      <c r="DG9" s="157">
        <v>1</v>
      </c>
      <c r="DH9" s="157">
        <v>1</v>
      </c>
      <c r="DI9" s="157">
        <v>1</v>
      </c>
      <c r="DJ9" s="157">
        <v>1</v>
      </c>
      <c r="DK9" s="157">
        <v>1</v>
      </c>
      <c r="DL9" s="157">
        <v>1</v>
      </c>
      <c r="DM9" s="157">
        <v>1</v>
      </c>
      <c r="DN9" s="158">
        <v>1</v>
      </c>
      <c r="DO9" s="119">
        <v>1</v>
      </c>
      <c r="DP9" s="118">
        <v>1</v>
      </c>
      <c r="DQ9" s="118">
        <v>1</v>
      </c>
      <c r="DR9" s="118">
        <v>1</v>
      </c>
      <c r="DS9" s="118">
        <v>1</v>
      </c>
      <c r="DT9" s="118">
        <v>1</v>
      </c>
      <c r="DU9" s="118">
        <v>1</v>
      </c>
      <c r="DV9" s="118">
        <v>1</v>
      </c>
      <c r="DW9" s="118">
        <v>1</v>
      </c>
      <c r="DX9" s="120">
        <v>1</v>
      </c>
      <c r="DY9" s="90">
        <v>1</v>
      </c>
      <c r="DZ9" s="91">
        <v>1</v>
      </c>
      <c r="EA9" s="91">
        <v>1</v>
      </c>
      <c r="EB9" s="91">
        <v>1</v>
      </c>
      <c r="EC9" s="91">
        <v>1</v>
      </c>
      <c r="ED9" s="91">
        <v>1</v>
      </c>
      <c r="EE9" s="91">
        <v>1</v>
      </c>
      <c r="EF9" s="91">
        <v>1</v>
      </c>
      <c r="EG9" s="91">
        <v>1</v>
      </c>
      <c r="EH9" s="92">
        <v>1</v>
      </c>
      <c r="EI9" s="110">
        <v>1</v>
      </c>
      <c r="EJ9" s="109">
        <v>1</v>
      </c>
      <c r="EK9" s="109">
        <v>1</v>
      </c>
      <c r="EL9" s="109">
        <v>1</v>
      </c>
      <c r="EM9" s="109">
        <v>1</v>
      </c>
      <c r="EN9" s="109">
        <v>1</v>
      </c>
      <c r="EO9" s="109">
        <v>1</v>
      </c>
      <c r="EP9" s="109">
        <v>1</v>
      </c>
      <c r="EQ9" s="109">
        <v>1</v>
      </c>
      <c r="ER9" s="132">
        <v>1</v>
      </c>
      <c r="ES9" s="175">
        <f t="shared" si="1"/>
        <v>8</v>
      </c>
      <c r="ET9" s="175">
        <f t="shared" si="2"/>
        <v>10</v>
      </c>
      <c r="EU9" s="175">
        <f t="shared" si="3"/>
        <v>8</v>
      </c>
      <c r="EV9" s="175">
        <f t="shared" si="4"/>
        <v>10</v>
      </c>
      <c r="EW9" s="175">
        <f t="shared" ref="EW9:EW36" si="14">SUM(BG9:BP9)</f>
        <v>10</v>
      </c>
      <c r="EX9" s="175">
        <f t="shared" ref="EX9:EX36" si="15">SUM(BQ9:BZ9)</f>
        <v>10</v>
      </c>
      <c r="EY9" s="175">
        <f t="shared" si="5"/>
        <v>10</v>
      </c>
      <c r="EZ9" s="176">
        <f t="shared" si="6"/>
        <v>0</v>
      </c>
      <c r="FA9" s="175">
        <f t="shared" si="7"/>
        <v>10</v>
      </c>
      <c r="FB9" s="175">
        <f t="shared" si="8"/>
        <v>10</v>
      </c>
      <c r="FC9" s="175">
        <f t="shared" si="9"/>
        <v>10</v>
      </c>
      <c r="FD9" s="175">
        <f t="shared" si="10"/>
        <v>10</v>
      </c>
      <c r="FE9" s="175">
        <f t="shared" si="11"/>
        <v>10</v>
      </c>
      <c r="FF9" s="175">
        <f t="shared" si="12"/>
        <v>10</v>
      </c>
      <c r="FG9" s="37">
        <v>2</v>
      </c>
      <c r="FH9" s="165">
        <f t="shared" si="13"/>
        <v>126</v>
      </c>
      <c r="FI9" s="165">
        <f>SUM(I7:ER7)-SUM(ES9:FF9)</f>
        <v>2</v>
      </c>
      <c r="FJ9" s="165">
        <f t="shared" ref="FJ9:FJ56" si="16">SUM(FH9:FI9)</f>
        <v>128</v>
      </c>
      <c r="FK9" s="7"/>
    </row>
    <row r="10" spans="1:167" ht="15" customHeight="1">
      <c r="A10" s="2"/>
      <c r="B10" s="3">
        <f t="shared" si="0"/>
        <v>1</v>
      </c>
      <c r="C10" s="182">
        <f>ROW(D3)</f>
        <v>3</v>
      </c>
      <c r="D10" s="183" t="s">
        <v>147</v>
      </c>
      <c r="E10" s="178"/>
      <c r="F10" s="177">
        <v>15</v>
      </c>
      <c r="G10" s="628">
        <v>45915</v>
      </c>
      <c r="H10" s="629"/>
      <c r="I10" s="96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98">
        <v>0</v>
      </c>
      <c r="S10" s="115">
        <v>1</v>
      </c>
      <c r="T10" s="116">
        <v>0</v>
      </c>
      <c r="U10" s="116">
        <v>0</v>
      </c>
      <c r="V10" s="116">
        <v>1</v>
      </c>
      <c r="W10" s="116">
        <v>0</v>
      </c>
      <c r="X10" s="116">
        <v>0</v>
      </c>
      <c r="Y10" s="116">
        <v>0</v>
      </c>
      <c r="Z10" s="116">
        <v>0</v>
      </c>
      <c r="AA10" s="116">
        <v>0</v>
      </c>
      <c r="AB10" s="117">
        <v>0</v>
      </c>
      <c r="AC10" s="88">
        <v>0</v>
      </c>
      <c r="AD10" s="89">
        <v>0</v>
      </c>
      <c r="AE10" s="89">
        <v>0</v>
      </c>
      <c r="AF10" s="89">
        <v>0</v>
      </c>
      <c r="AG10" s="592"/>
      <c r="AH10" s="593"/>
      <c r="AI10" s="89">
        <v>0</v>
      </c>
      <c r="AJ10" s="89">
        <v>0</v>
      </c>
      <c r="AK10" s="89">
        <v>0</v>
      </c>
      <c r="AL10" s="122">
        <v>0</v>
      </c>
      <c r="AM10" s="107">
        <v>0</v>
      </c>
      <c r="AN10" s="108">
        <v>0</v>
      </c>
      <c r="AO10" s="108">
        <v>0</v>
      </c>
      <c r="AP10" s="108">
        <v>0</v>
      </c>
      <c r="AQ10" s="108">
        <v>0</v>
      </c>
      <c r="AR10" s="108">
        <v>0</v>
      </c>
      <c r="AS10" s="108">
        <v>0</v>
      </c>
      <c r="AT10" s="108">
        <v>0</v>
      </c>
      <c r="AU10" s="108">
        <v>0</v>
      </c>
      <c r="AV10" s="131">
        <v>0</v>
      </c>
      <c r="AW10" s="126">
        <v>0</v>
      </c>
      <c r="AX10" s="127">
        <v>0</v>
      </c>
      <c r="AY10" s="127">
        <v>0</v>
      </c>
      <c r="AZ10" s="127">
        <v>0</v>
      </c>
      <c r="BA10" s="127">
        <v>0</v>
      </c>
      <c r="BB10" s="127">
        <v>0</v>
      </c>
      <c r="BC10" s="127">
        <v>0</v>
      </c>
      <c r="BD10" s="127">
        <v>0</v>
      </c>
      <c r="BE10" s="127">
        <v>0</v>
      </c>
      <c r="BF10" s="137">
        <v>0</v>
      </c>
      <c r="BG10" s="96">
        <v>0</v>
      </c>
      <c r="BH10" s="97">
        <v>0</v>
      </c>
      <c r="BI10" s="97">
        <v>0</v>
      </c>
      <c r="BJ10" s="97">
        <v>0</v>
      </c>
      <c r="BK10" s="97">
        <v>0</v>
      </c>
      <c r="BL10" s="100">
        <v>0</v>
      </c>
      <c r="BM10" s="100">
        <v>0</v>
      </c>
      <c r="BN10" s="100">
        <v>0</v>
      </c>
      <c r="BO10" s="100">
        <v>0</v>
      </c>
      <c r="BP10" s="101">
        <v>0</v>
      </c>
      <c r="BQ10" s="119">
        <v>0</v>
      </c>
      <c r="BR10" s="118">
        <v>0</v>
      </c>
      <c r="BS10" s="118">
        <v>0</v>
      </c>
      <c r="BT10" s="118">
        <v>0</v>
      </c>
      <c r="BU10" s="118">
        <v>0</v>
      </c>
      <c r="BV10" s="118">
        <v>0</v>
      </c>
      <c r="BW10" s="118">
        <v>0</v>
      </c>
      <c r="BX10" s="118">
        <v>0</v>
      </c>
      <c r="BY10" s="118">
        <v>0</v>
      </c>
      <c r="BZ10" s="120">
        <v>0</v>
      </c>
      <c r="CA10" s="537"/>
      <c r="CB10" s="538"/>
      <c r="CC10" s="538"/>
      <c r="CD10" s="538"/>
      <c r="CE10" s="538"/>
      <c r="CF10" s="538"/>
      <c r="CG10" s="538"/>
      <c r="CH10" s="538"/>
      <c r="CI10" s="538"/>
      <c r="CJ10" s="539"/>
      <c r="CK10" s="110">
        <v>0</v>
      </c>
      <c r="CL10" s="109">
        <v>0</v>
      </c>
      <c r="CM10" s="109">
        <v>0</v>
      </c>
      <c r="CN10" s="109">
        <v>0</v>
      </c>
      <c r="CO10" s="109">
        <v>0</v>
      </c>
      <c r="CP10" s="109">
        <v>0</v>
      </c>
      <c r="CQ10" s="109">
        <v>0</v>
      </c>
      <c r="CR10" s="109">
        <v>0</v>
      </c>
      <c r="CS10" s="109">
        <v>0</v>
      </c>
      <c r="CT10" s="111">
        <v>0</v>
      </c>
      <c r="CU10" s="128">
        <v>0</v>
      </c>
      <c r="CV10" s="129">
        <v>0</v>
      </c>
      <c r="CW10" s="129">
        <v>0</v>
      </c>
      <c r="CX10" s="129">
        <v>0</v>
      </c>
      <c r="CY10" s="129">
        <v>0</v>
      </c>
      <c r="CZ10" s="129">
        <v>0</v>
      </c>
      <c r="DA10" s="129">
        <v>0</v>
      </c>
      <c r="DB10" s="129">
        <v>0</v>
      </c>
      <c r="DC10" s="129">
        <v>0</v>
      </c>
      <c r="DD10" s="138">
        <v>0</v>
      </c>
      <c r="DE10" s="156">
        <v>0</v>
      </c>
      <c r="DF10" s="157">
        <v>0</v>
      </c>
      <c r="DG10" s="157">
        <v>0</v>
      </c>
      <c r="DH10" s="157">
        <v>0</v>
      </c>
      <c r="DI10" s="157">
        <v>0</v>
      </c>
      <c r="DJ10" s="157">
        <v>0</v>
      </c>
      <c r="DK10" s="157">
        <v>0</v>
      </c>
      <c r="DL10" s="157">
        <v>0</v>
      </c>
      <c r="DM10" s="157">
        <v>0</v>
      </c>
      <c r="DN10" s="158">
        <v>0</v>
      </c>
      <c r="DO10" s="119">
        <v>0</v>
      </c>
      <c r="DP10" s="118">
        <v>0</v>
      </c>
      <c r="DQ10" s="118">
        <v>0</v>
      </c>
      <c r="DR10" s="118">
        <v>0</v>
      </c>
      <c r="DS10" s="118">
        <v>0</v>
      </c>
      <c r="DT10" s="118">
        <v>0</v>
      </c>
      <c r="DU10" s="118">
        <v>0</v>
      </c>
      <c r="DV10" s="118">
        <v>0</v>
      </c>
      <c r="DW10" s="118">
        <v>0</v>
      </c>
      <c r="DX10" s="120">
        <v>0</v>
      </c>
      <c r="DY10" s="90">
        <v>0</v>
      </c>
      <c r="DZ10" s="91">
        <v>0</v>
      </c>
      <c r="EA10" s="91">
        <v>0</v>
      </c>
      <c r="EB10" s="91">
        <v>0</v>
      </c>
      <c r="EC10" s="91">
        <v>0</v>
      </c>
      <c r="ED10" s="91">
        <v>0</v>
      </c>
      <c r="EE10" s="91">
        <v>0</v>
      </c>
      <c r="EF10" s="91">
        <v>0</v>
      </c>
      <c r="EG10" s="91">
        <v>0</v>
      </c>
      <c r="EH10" s="92">
        <v>0</v>
      </c>
      <c r="EI10" s="110">
        <v>0</v>
      </c>
      <c r="EJ10" s="109">
        <v>0</v>
      </c>
      <c r="EK10" s="109">
        <v>0</v>
      </c>
      <c r="EL10" s="109">
        <v>0</v>
      </c>
      <c r="EM10" s="109">
        <v>0</v>
      </c>
      <c r="EN10" s="109">
        <v>0</v>
      </c>
      <c r="EO10" s="109">
        <v>0</v>
      </c>
      <c r="EP10" s="109">
        <v>0</v>
      </c>
      <c r="EQ10" s="109">
        <v>0</v>
      </c>
      <c r="ER10" s="132">
        <v>0</v>
      </c>
      <c r="ES10" s="175">
        <f t="shared" si="1"/>
        <v>0</v>
      </c>
      <c r="ET10" s="175">
        <f t="shared" si="2"/>
        <v>2</v>
      </c>
      <c r="EU10" s="175">
        <f t="shared" si="3"/>
        <v>0</v>
      </c>
      <c r="EV10" s="175">
        <f t="shared" si="4"/>
        <v>0</v>
      </c>
      <c r="EW10" s="175">
        <f t="shared" si="14"/>
        <v>0</v>
      </c>
      <c r="EX10" s="175">
        <f t="shared" si="15"/>
        <v>0</v>
      </c>
      <c r="EY10" s="175">
        <f t="shared" si="5"/>
        <v>0</v>
      </c>
      <c r="EZ10" s="176">
        <f t="shared" si="6"/>
        <v>0</v>
      </c>
      <c r="FA10" s="175">
        <f t="shared" si="7"/>
        <v>0</v>
      </c>
      <c r="FB10" s="175">
        <f t="shared" si="8"/>
        <v>0</v>
      </c>
      <c r="FC10" s="175">
        <f t="shared" si="9"/>
        <v>0</v>
      </c>
      <c r="FD10" s="175">
        <f t="shared" si="10"/>
        <v>0</v>
      </c>
      <c r="FE10" s="175">
        <f t="shared" si="11"/>
        <v>0</v>
      </c>
      <c r="FF10" s="175">
        <f t="shared" si="12"/>
        <v>0</v>
      </c>
      <c r="FG10" s="37">
        <v>3</v>
      </c>
      <c r="FH10" s="165">
        <f t="shared" si="13"/>
        <v>2</v>
      </c>
      <c r="FI10" s="165">
        <f>SUM(I7:ER7)-SUM(ES10:FF10)</f>
        <v>126</v>
      </c>
      <c r="FJ10" s="165">
        <f t="shared" si="16"/>
        <v>128</v>
      </c>
      <c r="FK10" s="7"/>
    </row>
    <row r="11" spans="1:167" ht="15" customHeight="1">
      <c r="A11" s="2"/>
      <c r="B11" s="3">
        <f t="shared" si="0"/>
        <v>1</v>
      </c>
      <c r="C11" s="182">
        <f>ROW(D4)</f>
        <v>4</v>
      </c>
      <c r="D11" s="183" t="s">
        <v>148</v>
      </c>
      <c r="E11" s="178"/>
      <c r="F11" s="177">
        <v>17</v>
      </c>
      <c r="G11" s="628">
        <v>45915</v>
      </c>
      <c r="H11" s="629"/>
      <c r="I11" s="96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1</v>
      </c>
      <c r="P11" s="97">
        <v>1</v>
      </c>
      <c r="Q11" s="97">
        <v>1</v>
      </c>
      <c r="R11" s="98">
        <v>1</v>
      </c>
      <c r="S11" s="115">
        <v>1</v>
      </c>
      <c r="T11" s="116">
        <v>1</v>
      </c>
      <c r="U11" s="116">
        <v>1</v>
      </c>
      <c r="V11" s="116">
        <v>1</v>
      </c>
      <c r="W11" s="116">
        <v>1</v>
      </c>
      <c r="X11" s="116">
        <v>1</v>
      </c>
      <c r="Y11" s="116">
        <v>1</v>
      </c>
      <c r="Z11" s="116">
        <v>1</v>
      </c>
      <c r="AA11" s="116">
        <v>1</v>
      </c>
      <c r="AB11" s="117">
        <v>1</v>
      </c>
      <c r="AC11" s="88">
        <v>1</v>
      </c>
      <c r="AD11" s="89">
        <v>1</v>
      </c>
      <c r="AE11" s="89">
        <v>1</v>
      </c>
      <c r="AF11" s="89">
        <v>1</v>
      </c>
      <c r="AG11" s="592"/>
      <c r="AH11" s="593"/>
      <c r="AI11" s="89">
        <v>1</v>
      </c>
      <c r="AJ11" s="89">
        <v>1</v>
      </c>
      <c r="AK11" s="89">
        <v>1</v>
      </c>
      <c r="AL11" s="122">
        <v>1</v>
      </c>
      <c r="AM11" s="107">
        <v>1</v>
      </c>
      <c r="AN11" s="108">
        <v>1</v>
      </c>
      <c r="AO11" s="108">
        <v>1</v>
      </c>
      <c r="AP11" s="108">
        <v>1</v>
      </c>
      <c r="AQ11" s="108">
        <v>1</v>
      </c>
      <c r="AR11" s="108">
        <v>1</v>
      </c>
      <c r="AS11" s="108">
        <v>1</v>
      </c>
      <c r="AT11" s="108">
        <v>1</v>
      </c>
      <c r="AU11" s="108">
        <v>1</v>
      </c>
      <c r="AV11" s="131">
        <v>1</v>
      </c>
      <c r="AW11" s="126">
        <v>1</v>
      </c>
      <c r="AX11" s="127">
        <v>1</v>
      </c>
      <c r="AY11" s="127">
        <v>1</v>
      </c>
      <c r="AZ11" s="127">
        <v>1</v>
      </c>
      <c r="BA11" s="127">
        <v>1</v>
      </c>
      <c r="BB11" s="127">
        <v>1</v>
      </c>
      <c r="BC11" s="127">
        <v>1</v>
      </c>
      <c r="BD11" s="127">
        <v>1</v>
      </c>
      <c r="BE11" s="127">
        <v>1</v>
      </c>
      <c r="BF11" s="137">
        <v>1</v>
      </c>
      <c r="BG11" s="96">
        <v>1</v>
      </c>
      <c r="BH11" s="97">
        <v>1</v>
      </c>
      <c r="BI11" s="97">
        <v>0</v>
      </c>
      <c r="BJ11" s="97">
        <v>0</v>
      </c>
      <c r="BK11" s="97">
        <v>1</v>
      </c>
      <c r="BL11" s="100">
        <v>1</v>
      </c>
      <c r="BM11" s="100">
        <v>1</v>
      </c>
      <c r="BN11" s="100">
        <v>1</v>
      </c>
      <c r="BO11" s="100">
        <v>1</v>
      </c>
      <c r="BP11" s="101">
        <v>1</v>
      </c>
      <c r="BQ11" s="119">
        <v>1</v>
      </c>
      <c r="BR11" s="118">
        <v>1</v>
      </c>
      <c r="BS11" s="118">
        <v>1</v>
      </c>
      <c r="BT11" s="118">
        <v>1</v>
      </c>
      <c r="BU11" s="118">
        <v>1</v>
      </c>
      <c r="BV11" s="118">
        <v>1</v>
      </c>
      <c r="BW11" s="118">
        <v>1</v>
      </c>
      <c r="BX11" s="118">
        <v>1</v>
      </c>
      <c r="BY11" s="118">
        <v>1</v>
      </c>
      <c r="BZ11" s="120">
        <v>1</v>
      </c>
      <c r="CA11" s="537"/>
      <c r="CB11" s="538"/>
      <c r="CC11" s="538"/>
      <c r="CD11" s="538"/>
      <c r="CE11" s="538"/>
      <c r="CF11" s="538"/>
      <c r="CG11" s="538"/>
      <c r="CH11" s="538"/>
      <c r="CI11" s="538"/>
      <c r="CJ11" s="539"/>
      <c r="CK11" s="110">
        <v>1</v>
      </c>
      <c r="CL11" s="109">
        <v>1</v>
      </c>
      <c r="CM11" s="109">
        <v>1</v>
      </c>
      <c r="CN11" s="109">
        <v>1</v>
      </c>
      <c r="CO11" s="109">
        <v>1</v>
      </c>
      <c r="CP11" s="109">
        <v>1</v>
      </c>
      <c r="CQ11" s="109">
        <v>1</v>
      </c>
      <c r="CR11" s="109">
        <v>1</v>
      </c>
      <c r="CS11" s="109">
        <v>1</v>
      </c>
      <c r="CT11" s="111">
        <v>1</v>
      </c>
      <c r="CU11" s="128">
        <v>1</v>
      </c>
      <c r="CV11" s="129">
        <v>1</v>
      </c>
      <c r="CW11" s="129">
        <v>1</v>
      </c>
      <c r="CX11" s="129">
        <v>1</v>
      </c>
      <c r="CY11" s="129">
        <v>1</v>
      </c>
      <c r="CZ11" s="129">
        <v>1</v>
      </c>
      <c r="DA11" s="129">
        <v>1</v>
      </c>
      <c r="DB11" s="129">
        <v>1</v>
      </c>
      <c r="DC11" s="129">
        <v>1</v>
      </c>
      <c r="DD11" s="138">
        <v>1</v>
      </c>
      <c r="DE11" s="156">
        <v>1</v>
      </c>
      <c r="DF11" s="157">
        <v>1</v>
      </c>
      <c r="DG11" s="157">
        <v>1</v>
      </c>
      <c r="DH11" s="157">
        <v>1</v>
      </c>
      <c r="DI11" s="157">
        <v>1</v>
      </c>
      <c r="DJ11" s="157">
        <v>1</v>
      </c>
      <c r="DK11" s="157">
        <v>1</v>
      </c>
      <c r="DL11" s="157">
        <v>1</v>
      </c>
      <c r="DM11" s="157">
        <v>1</v>
      </c>
      <c r="DN11" s="158">
        <v>1</v>
      </c>
      <c r="DO11" s="119">
        <v>1</v>
      </c>
      <c r="DP11" s="118">
        <v>1</v>
      </c>
      <c r="DQ11" s="118">
        <v>1</v>
      </c>
      <c r="DR11" s="118">
        <v>1</v>
      </c>
      <c r="DS11" s="118">
        <v>1</v>
      </c>
      <c r="DT11" s="118">
        <v>1</v>
      </c>
      <c r="DU11" s="118">
        <v>1</v>
      </c>
      <c r="DV11" s="118">
        <v>1</v>
      </c>
      <c r="DW11" s="118">
        <v>1</v>
      </c>
      <c r="DX11" s="120">
        <v>1</v>
      </c>
      <c r="DY11" s="90">
        <v>1</v>
      </c>
      <c r="DZ11" s="91">
        <v>1</v>
      </c>
      <c r="EA11" s="91">
        <v>1</v>
      </c>
      <c r="EB11" s="91">
        <v>1</v>
      </c>
      <c r="EC11" s="91">
        <v>1</v>
      </c>
      <c r="ED11" s="91">
        <v>1</v>
      </c>
      <c r="EE11" s="91">
        <v>1</v>
      </c>
      <c r="EF11" s="91">
        <v>1</v>
      </c>
      <c r="EG11" s="91">
        <v>1</v>
      </c>
      <c r="EH11" s="92">
        <v>1</v>
      </c>
      <c r="EI11" s="110">
        <v>1</v>
      </c>
      <c r="EJ11" s="109">
        <v>1</v>
      </c>
      <c r="EK11" s="109">
        <v>1</v>
      </c>
      <c r="EL11" s="109">
        <v>1</v>
      </c>
      <c r="EM11" s="109">
        <v>1</v>
      </c>
      <c r="EN11" s="109">
        <v>1</v>
      </c>
      <c r="EO11" s="109">
        <v>1</v>
      </c>
      <c r="EP11" s="109">
        <v>1</v>
      </c>
      <c r="EQ11" s="109">
        <v>1</v>
      </c>
      <c r="ER11" s="132">
        <v>1</v>
      </c>
      <c r="ES11" s="175">
        <f t="shared" si="1"/>
        <v>4</v>
      </c>
      <c r="ET11" s="175">
        <f t="shared" si="2"/>
        <v>10</v>
      </c>
      <c r="EU11" s="175">
        <f t="shared" si="3"/>
        <v>8</v>
      </c>
      <c r="EV11" s="175">
        <f t="shared" si="4"/>
        <v>10</v>
      </c>
      <c r="EW11" s="175">
        <f t="shared" si="14"/>
        <v>8</v>
      </c>
      <c r="EX11" s="175">
        <f t="shared" si="15"/>
        <v>10</v>
      </c>
      <c r="EY11" s="175">
        <f t="shared" si="5"/>
        <v>10</v>
      </c>
      <c r="EZ11" s="176">
        <f t="shared" si="6"/>
        <v>0</v>
      </c>
      <c r="FA11" s="175">
        <f t="shared" si="7"/>
        <v>10</v>
      </c>
      <c r="FB11" s="175">
        <f t="shared" si="8"/>
        <v>10</v>
      </c>
      <c r="FC11" s="175">
        <f t="shared" si="9"/>
        <v>10</v>
      </c>
      <c r="FD11" s="175">
        <f t="shared" si="10"/>
        <v>10</v>
      </c>
      <c r="FE11" s="175">
        <f t="shared" si="11"/>
        <v>10</v>
      </c>
      <c r="FF11" s="175">
        <f t="shared" si="12"/>
        <v>10</v>
      </c>
      <c r="FG11" s="37">
        <f t="shared" ref="FG11:FG56" si="17">ROW(FG9)</f>
        <v>9</v>
      </c>
      <c r="FH11" s="165">
        <f t="shared" si="13"/>
        <v>120</v>
      </c>
      <c r="FI11" s="165">
        <f>SUM(I7:ER7)-SUM(ES11:FF11)</f>
        <v>8</v>
      </c>
      <c r="FJ11" s="165">
        <f t="shared" si="16"/>
        <v>128</v>
      </c>
      <c r="FK11" s="7"/>
    </row>
    <row r="12" spans="1:167" ht="15" customHeight="1">
      <c r="A12" s="2"/>
      <c r="B12" s="3">
        <f t="shared" si="0"/>
        <v>1</v>
      </c>
      <c r="C12" s="182">
        <f>ROW(D5)</f>
        <v>5</v>
      </c>
      <c r="D12" s="183" t="s">
        <v>149</v>
      </c>
      <c r="E12" s="178"/>
      <c r="F12" s="177">
        <v>15</v>
      </c>
      <c r="G12" s="628">
        <v>45915</v>
      </c>
      <c r="H12" s="629"/>
      <c r="I12" s="96">
        <v>1</v>
      </c>
      <c r="J12" s="97">
        <v>1</v>
      </c>
      <c r="K12" s="97">
        <v>1</v>
      </c>
      <c r="L12" s="97">
        <v>1</v>
      </c>
      <c r="M12" s="97">
        <v>1</v>
      </c>
      <c r="N12" s="97">
        <v>1</v>
      </c>
      <c r="O12" s="97">
        <v>1</v>
      </c>
      <c r="P12" s="97">
        <v>1</v>
      </c>
      <c r="Q12" s="97">
        <v>1</v>
      </c>
      <c r="R12" s="98">
        <v>1</v>
      </c>
      <c r="S12" s="115">
        <v>1</v>
      </c>
      <c r="T12" s="116">
        <v>1</v>
      </c>
      <c r="U12" s="116">
        <v>1</v>
      </c>
      <c r="V12" s="116">
        <v>1</v>
      </c>
      <c r="W12" s="116">
        <v>1</v>
      </c>
      <c r="X12" s="116">
        <v>1</v>
      </c>
      <c r="Y12" s="116">
        <v>1</v>
      </c>
      <c r="Z12" s="116">
        <v>1</v>
      </c>
      <c r="AA12" s="116">
        <v>1</v>
      </c>
      <c r="AB12" s="117">
        <v>1</v>
      </c>
      <c r="AC12" s="88">
        <v>1</v>
      </c>
      <c r="AD12" s="89">
        <v>1</v>
      </c>
      <c r="AE12" s="89">
        <v>1</v>
      </c>
      <c r="AF12" s="89">
        <v>1</v>
      </c>
      <c r="AG12" s="592"/>
      <c r="AH12" s="593"/>
      <c r="AI12" s="89">
        <v>1</v>
      </c>
      <c r="AJ12" s="89">
        <v>1</v>
      </c>
      <c r="AK12" s="89">
        <v>1</v>
      </c>
      <c r="AL12" s="122">
        <v>1</v>
      </c>
      <c r="AM12" s="107">
        <v>1</v>
      </c>
      <c r="AN12" s="108">
        <v>1</v>
      </c>
      <c r="AO12" s="108">
        <v>1</v>
      </c>
      <c r="AP12" s="108">
        <v>1</v>
      </c>
      <c r="AQ12" s="108">
        <v>1</v>
      </c>
      <c r="AR12" s="108">
        <v>1</v>
      </c>
      <c r="AS12" s="108">
        <v>1</v>
      </c>
      <c r="AT12" s="108">
        <v>1</v>
      </c>
      <c r="AU12" s="108">
        <v>1</v>
      </c>
      <c r="AV12" s="131">
        <v>1</v>
      </c>
      <c r="AW12" s="126">
        <v>1</v>
      </c>
      <c r="AX12" s="127">
        <v>1</v>
      </c>
      <c r="AY12" s="127">
        <v>1</v>
      </c>
      <c r="AZ12" s="127">
        <v>1</v>
      </c>
      <c r="BA12" s="127">
        <v>1</v>
      </c>
      <c r="BB12" s="127">
        <v>1</v>
      </c>
      <c r="BC12" s="127">
        <v>1</v>
      </c>
      <c r="BD12" s="127">
        <v>1</v>
      </c>
      <c r="BE12" s="127">
        <v>1</v>
      </c>
      <c r="BF12" s="137">
        <v>1</v>
      </c>
      <c r="BG12" s="96">
        <v>1</v>
      </c>
      <c r="BH12" s="97">
        <v>1</v>
      </c>
      <c r="BI12" s="97">
        <v>1</v>
      </c>
      <c r="BJ12" s="97">
        <v>1</v>
      </c>
      <c r="BK12" s="97">
        <v>1</v>
      </c>
      <c r="BL12" s="100">
        <v>1</v>
      </c>
      <c r="BM12" s="100">
        <v>1</v>
      </c>
      <c r="BN12" s="100">
        <v>1</v>
      </c>
      <c r="BO12" s="100">
        <v>1</v>
      </c>
      <c r="BP12" s="101">
        <v>1</v>
      </c>
      <c r="BQ12" s="119">
        <v>1</v>
      </c>
      <c r="BR12" s="118">
        <v>1</v>
      </c>
      <c r="BS12" s="118">
        <v>1</v>
      </c>
      <c r="BT12" s="118">
        <v>1</v>
      </c>
      <c r="BU12" s="118">
        <v>1</v>
      </c>
      <c r="BV12" s="118">
        <v>1</v>
      </c>
      <c r="BW12" s="118">
        <v>1</v>
      </c>
      <c r="BX12" s="118">
        <v>1</v>
      </c>
      <c r="BY12" s="118">
        <v>1</v>
      </c>
      <c r="BZ12" s="120">
        <v>1</v>
      </c>
      <c r="CA12" s="537"/>
      <c r="CB12" s="538"/>
      <c r="CC12" s="538"/>
      <c r="CD12" s="538"/>
      <c r="CE12" s="538"/>
      <c r="CF12" s="538"/>
      <c r="CG12" s="538"/>
      <c r="CH12" s="538"/>
      <c r="CI12" s="538"/>
      <c r="CJ12" s="539"/>
      <c r="CK12" s="110">
        <v>1</v>
      </c>
      <c r="CL12" s="109">
        <v>1</v>
      </c>
      <c r="CM12" s="109">
        <v>1</v>
      </c>
      <c r="CN12" s="109">
        <v>1</v>
      </c>
      <c r="CO12" s="109">
        <v>1</v>
      </c>
      <c r="CP12" s="109">
        <v>1</v>
      </c>
      <c r="CQ12" s="109">
        <v>0</v>
      </c>
      <c r="CR12" s="109">
        <v>0</v>
      </c>
      <c r="CS12" s="109">
        <v>1</v>
      </c>
      <c r="CT12" s="111">
        <v>1</v>
      </c>
      <c r="CU12" s="128">
        <v>1</v>
      </c>
      <c r="CV12" s="129">
        <v>1</v>
      </c>
      <c r="CW12" s="129">
        <v>1</v>
      </c>
      <c r="CX12" s="129">
        <v>1</v>
      </c>
      <c r="CY12" s="129">
        <v>1</v>
      </c>
      <c r="CZ12" s="129">
        <v>1</v>
      </c>
      <c r="DA12" s="129">
        <v>1</v>
      </c>
      <c r="DB12" s="129">
        <v>1</v>
      </c>
      <c r="DC12" s="129">
        <v>1</v>
      </c>
      <c r="DD12" s="138">
        <v>1</v>
      </c>
      <c r="DE12" s="156">
        <v>1</v>
      </c>
      <c r="DF12" s="157">
        <v>1</v>
      </c>
      <c r="DG12" s="157">
        <v>1</v>
      </c>
      <c r="DH12" s="157">
        <v>1</v>
      </c>
      <c r="DI12" s="157">
        <v>1</v>
      </c>
      <c r="DJ12" s="157">
        <v>1</v>
      </c>
      <c r="DK12" s="157">
        <v>1</v>
      </c>
      <c r="DL12" s="157">
        <v>1</v>
      </c>
      <c r="DM12" s="157">
        <v>1</v>
      </c>
      <c r="DN12" s="158">
        <v>1</v>
      </c>
      <c r="DO12" s="119">
        <v>1</v>
      </c>
      <c r="DP12" s="118">
        <v>1</v>
      </c>
      <c r="DQ12" s="118">
        <v>1</v>
      </c>
      <c r="DR12" s="118">
        <v>1</v>
      </c>
      <c r="DS12" s="118">
        <v>1</v>
      </c>
      <c r="DT12" s="118">
        <v>1</v>
      </c>
      <c r="DU12" s="118">
        <v>1</v>
      </c>
      <c r="DV12" s="118">
        <v>1</v>
      </c>
      <c r="DW12" s="118">
        <v>1</v>
      </c>
      <c r="DX12" s="120">
        <v>1</v>
      </c>
      <c r="DY12" s="90">
        <v>1</v>
      </c>
      <c r="DZ12" s="91">
        <v>1</v>
      </c>
      <c r="EA12" s="91">
        <v>1</v>
      </c>
      <c r="EB12" s="91">
        <v>1</v>
      </c>
      <c r="EC12" s="91">
        <v>1</v>
      </c>
      <c r="ED12" s="91">
        <v>1</v>
      </c>
      <c r="EE12" s="91">
        <v>1</v>
      </c>
      <c r="EF12" s="91">
        <v>1</v>
      </c>
      <c r="EG12" s="91">
        <v>1</v>
      </c>
      <c r="EH12" s="92">
        <v>1</v>
      </c>
      <c r="EI12" s="110">
        <v>1</v>
      </c>
      <c r="EJ12" s="109">
        <v>1</v>
      </c>
      <c r="EK12" s="109">
        <v>1</v>
      </c>
      <c r="EL12" s="109">
        <v>1</v>
      </c>
      <c r="EM12" s="109">
        <v>1</v>
      </c>
      <c r="EN12" s="109">
        <v>1</v>
      </c>
      <c r="EO12" s="109">
        <v>1</v>
      </c>
      <c r="EP12" s="109">
        <v>1</v>
      </c>
      <c r="EQ12" s="109">
        <v>1</v>
      </c>
      <c r="ER12" s="132">
        <v>1</v>
      </c>
      <c r="ES12" s="175">
        <f t="shared" si="1"/>
        <v>10</v>
      </c>
      <c r="ET12" s="175">
        <f t="shared" si="2"/>
        <v>10</v>
      </c>
      <c r="EU12" s="175">
        <f t="shared" si="3"/>
        <v>8</v>
      </c>
      <c r="EV12" s="175">
        <f t="shared" si="4"/>
        <v>10</v>
      </c>
      <c r="EW12" s="175">
        <f t="shared" si="14"/>
        <v>10</v>
      </c>
      <c r="EX12" s="175">
        <f t="shared" si="15"/>
        <v>10</v>
      </c>
      <c r="EY12" s="175">
        <f t="shared" si="5"/>
        <v>10</v>
      </c>
      <c r="EZ12" s="176">
        <f t="shared" si="6"/>
        <v>0</v>
      </c>
      <c r="FA12" s="175">
        <f t="shared" si="7"/>
        <v>8</v>
      </c>
      <c r="FB12" s="175">
        <f t="shared" si="8"/>
        <v>10</v>
      </c>
      <c r="FC12" s="175">
        <f t="shared" si="9"/>
        <v>10</v>
      </c>
      <c r="FD12" s="175">
        <f t="shared" si="10"/>
        <v>10</v>
      </c>
      <c r="FE12" s="175">
        <f t="shared" si="11"/>
        <v>10</v>
      </c>
      <c r="FF12" s="175">
        <f t="shared" si="12"/>
        <v>10</v>
      </c>
      <c r="FG12" s="37">
        <f t="shared" si="17"/>
        <v>10</v>
      </c>
      <c r="FH12" s="165">
        <f t="shared" si="13"/>
        <v>126</v>
      </c>
      <c r="FI12" s="165">
        <f>SUM(I7:ER7)-SUM(ES12:FF12)</f>
        <v>2</v>
      </c>
      <c r="FJ12" s="165">
        <f t="shared" si="16"/>
        <v>128</v>
      </c>
      <c r="FK12" s="7"/>
    </row>
    <row r="13" spans="1:167" ht="15" customHeight="1">
      <c r="A13" s="2"/>
      <c r="B13" s="3">
        <f t="shared" si="0"/>
        <v>1</v>
      </c>
      <c r="C13" s="182">
        <v>6</v>
      </c>
      <c r="D13" s="183" t="s">
        <v>150</v>
      </c>
      <c r="E13" s="178"/>
      <c r="F13" s="177">
        <v>15</v>
      </c>
      <c r="G13" s="628">
        <v>45915</v>
      </c>
      <c r="H13" s="629"/>
      <c r="I13" s="96">
        <v>0</v>
      </c>
      <c r="J13" s="97">
        <v>0</v>
      </c>
      <c r="K13" s="97">
        <v>1</v>
      </c>
      <c r="L13" s="97">
        <v>1</v>
      </c>
      <c r="M13" s="97">
        <v>1</v>
      </c>
      <c r="N13" s="97">
        <v>1</v>
      </c>
      <c r="O13" s="97">
        <v>1</v>
      </c>
      <c r="P13" s="97">
        <v>1</v>
      </c>
      <c r="Q13" s="97">
        <v>1</v>
      </c>
      <c r="R13" s="98">
        <v>1</v>
      </c>
      <c r="S13" s="115">
        <v>1</v>
      </c>
      <c r="T13" s="116">
        <v>1</v>
      </c>
      <c r="U13" s="116">
        <v>1</v>
      </c>
      <c r="V13" s="116">
        <v>1</v>
      </c>
      <c r="W13" s="116">
        <v>1</v>
      </c>
      <c r="X13" s="116">
        <v>1</v>
      </c>
      <c r="Y13" s="116">
        <v>1</v>
      </c>
      <c r="Z13" s="116">
        <v>1</v>
      </c>
      <c r="AA13" s="116">
        <v>1</v>
      </c>
      <c r="AB13" s="117">
        <v>1</v>
      </c>
      <c r="AC13" s="88">
        <v>0</v>
      </c>
      <c r="AD13" s="89">
        <v>0</v>
      </c>
      <c r="AE13" s="89">
        <v>0</v>
      </c>
      <c r="AF13" s="89">
        <v>0</v>
      </c>
      <c r="AG13" s="592"/>
      <c r="AH13" s="593"/>
      <c r="AI13" s="89">
        <v>0</v>
      </c>
      <c r="AJ13" s="89">
        <v>0</v>
      </c>
      <c r="AK13" s="89">
        <v>0</v>
      </c>
      <c r="AL13" s="122">
        <v>0</v>
      </c>
      <c r="AM13" s="107">
        <v>0</v>
      </c>
      <c r="AN13" s="108">
        <v>0</v>
      </c>
      <c r="AO13" s="108">
        <v>1</v>
      </c>
      <c r="AP13" s="108">
        <v>1</v>
      </c>
      <c r="AQ13" s="108">
        <v>0</v>
      </c>
      <c r="AR13" s="108">
        <v>0</v>
      </c>
      <c r="AS13" s="108">
        <v>0</v>
      </c>
      <c r="AT13" s="108">
        <v>0</v>
      </c>
      <c r="AU13" s="108">
        <v>1</v>
      </c>
      <c r="AV13" s="131">
        <v>1</v>
      </c>
      <c r="AW13" s="126">
        <v>1</v>
      </c>
      <c r="AX13" s="127">
        <v>1</v>
      </c>
      <c r="AY13" s="127">
        <v>1</v>
      </c>
      <c r="AZ13" s="127">
        <v>1</v>
      </c>
      <c r="BA13" s="127">
        <v>1</v>
      </c>
      <c r="BB13" s="127">
        <v>1</v>
      </c>
      <c r="BC13" s="127">
        <v>1</v>
      </c>
      <c r="BD13" s="127">
        <v>1</v>
      </c>
      <c r="BE13" s="127">
        <v>1</v>
      </c>
      <c r="BF13" s="137">
        <v>1</v>
      </c>
      <c r="BG13" s="96">
        <v>1</v>
      </c>
      <c r="BH13" s="97">
        <v>1</v>
      </c>
      <c r="BI13" s="97">
        <v>1</v>
      </c>
      <c r="BJ13" s="97">
        <v>1</v>
      </c>
      <c r="BK13" s="97">
        <v>0</v>
      </c>
      <c r="BL13" s="100">
        <v>0</v>
      </c>
      <c r="BM13" s="100">
        <v>1</v>
      </c>
      <c r="BN13" s="100">
        <v>1</v>
      </c>
      <c r="BO13" s="100">
        <v>1</v>
      </c>
      <c r="BP13" s="101">
        <v>1</v>
      </c>
      <c r="BQ13" s="119">
        <v>1</v>
      </c>
      <c r="BR13" s="118">
        <v>1</v>
      </c>
      <c r="BS13" s="118">
        <v>1</v>
      </c>
      <c r="BT13" s="118">
        <v>1</v>
      </c>
      <c r="BU13" s="118">
        <v>1</v>
      </c>
      <c r="BV13" s="118">
        <v>1</v>
      </c>
      <c r="BW13" s="118">
        <v>1</v>
      </c>
      <c r="BX13" s="118">
        <v>1</v>
      </c>
      <c r="BY13" s="118">
        <v>1</v>
      </c>
      <c r="BZ13" s="120">
        <v>1</v>
      </c>
      <c r="CA13" s="537"/>
      <c r="CB13" s="538"/>
      <c r="CC13" s="538"/>
      <c r="CD13" s="538"/>
      <c r="CE13" s="538"/>
      <c r="CF13" s="538"/>
      <c r="CG13" s="538"/>
      <c r="CH13" s="538"/>
      <c r="CI13" s="538"/>
      <c r="CJ13" s="539"/>
      <c r="CK13" s="110">
        <v>1</v>
      </c>
      <c r="CL13" s="109">
        <v>1</v>
      </c>
      <c r="CM13" s="109">
        <v>1</v>
      </c>
      <c r="CN13" s="109">
        <v>1</v>
      </c>
      <c r="CO13" s="109">
        <v>1</v>
      </c>
      <c r="CP13" s="109">
        <v>1</v>
      </c>
      <c r="CQ13" s="109">
        <v>1</v>
      </c>
      <c r="CR13" s="109">
        <v>1</v>
      </c>
      <c r="CS13" s="109">
        <v>1</v>
      </c>
      <c r="CT13" s="111">
        <v>1</v>
      </c>
      <c r="CU13" s="128">
        <v>1</v>
      </c>
      <c r="CV13" s="129">
        <v>1</v>
      </c>
      <c r="CW13" s="129">
        <v>1</v>
      </c>
      <c r="CX13" s="129">
        <v>1</v>
      </c>
      <c r="CY13" s="129">
        <v>1</v>
      </c>
      <c r="CZ13" s="129">
        <v>1</v>
      </c>
      <c r="DA13" s="129">
        <v>1</v>
      </c>
      <c r="DB13" s="129">
        <v>1</v>
      </c>
      <c r="DC13" s="129">
        <v>1</v>
      </c>
      <c r="DD13" s="138">
        <v>1</v>
      </c>
      <c r="DE13" s="156">
        <v>1</v>
      </c>
      <c r="DF13" s="157">
        <v>1</v>
      </c>
      <c r="DG13" s="157">
        <v>1</v>
      </c>
      <c r="DH13" s="157">
        <v>1</v>
      </c>
      <c r="DI13" s="157">
        <v>1</v>
      </c>
      <c r="DJ13" s="157">
        <v>1</v>
      </c>
      <c r="DK13" s="157">
        <v>1</v>
      </c>
      <c r="DL13" s="157">
        <v>1</v>
      </c>
      <c r="DM13" s="157">
        <v>1</v>
      </c>
      <c r="DN13" s="158">
        <v>1</v>
      </c>
      <c r="DO13" s="119">
        <v>1</v>
      </c>
      <c r="DP13" s="118">
        <v>1</v>
      </c>
      <c r="DQ13" s="118">
        <v>1</v>
      </c>
      <c r="DR13" s="118">
        <v>1</v>
      </c>
      <c r="DS13" s="118">
        <v>1</v>
      </c>
      <c r="DT13" s="118">
        <v>1</v>
      </c>
      <c r="DU13" s="118">
        <v>1</v>
      </c>
      <c r="DV13" s="118">
        <v>1</v>
      </c>
      <c r="DW13" s="118">
        <v>1</v>
      </c>
      <c r="DX13" s="120">
        <v>1</v>
      </c>
      <c r="DY13" s="90">
        <v>1</v>
      </c>
      <c r="DZ13" s="91">
        <v>1</v>
      </c>
      <c r="EA13" s="91">
        <v>1</v>
      </c>
      <c r="EB13" s="91">
        <v>1</v>
      </c>
      <c r="EC13" s="91">
        <v>1</v>
      </c>
      <c r="ED13" s="91">
        <v>1</v>
      </c>
      <c r="EE13" s="91">
        <v>1</v>
      </c>
      <c r="EF13" s="91">
        <v>1</v>
      </c>
      <c r="EG13" s="91">
        <v>1</v>
      </c>
      <c r="EH13" s="92">
        <v>1</v>
      </c>
      <c r="EI13" s="110">
        <v>1</v>
      </c>
      <c r="EJ13" s="109">
        <v>1</v>
      </c>
      <c r="EK13" s="109">
        <v>1</v>
      </c>
      <c r="EL13" s="109">
        <v>1</v>
      </c>
      <c r="EM13" s="109">
        <v>1</v>
      </c>
      <c r="EN13" s="109">
        <v>1</v>
      </c>
      <c r="EO13" s="109">
        <v>1</v>
      </c>
      <c r="EP13" s="109">
        <v>1</v>
      </c>
      <c r="EQ13" s="109">
        <v>1</v>
      </c>
      <c r="ER13" s="132">
        <v>1</v>
      </c>
      <c r="ES13" s="175">
        <f t="shared" si="1"/>
        <v>8</v>
      </c>
      <c r="ET13" s="175">
        <f t="shared" si="2"/>
        <v>10</v>
      </c>
      <c r="EU13" s="175">
        <f t="shared" si="3"/>
        <v>0</v>
      </c>
      <c r="EV13" s="175">
        <f t="shared" si="4"/>
        <v>4</v>
      </c>
      <c r="EW13" s="175">
        <f t="shared" si="14"/>
        <v>8</v>
      </c>
      <c r="EX13" s="175">
        <f t="shared" si="15"/>
        <v>10</v>
      </c>
      <c r="EY13" s="175">
        <f t="shared" si="5"/>
        <v>10</v>
      </c>
      <c r="EZ13" s="176">
        <f t="shared" si="6"/>
        <v>0</v>
      </c>
      <c r="FA13" s="175">
        <f t="shared" si="7"/>
        <v>10</v>
      </c>
      <c r="FB13" s="175">
        <f t="shared" si="8"/>
        <v>10</v>
      </c>
      <c r="FC13" s="175">
        <f t="shared" si="9"/>
        <v>10</v>
      </c>
      <c r="FD13" s="175">
        <f t="shared" si="10"/>
        <v>10</v>
      </c>
      <c r="FE13" s="175">
        <f t="shared" si="11"/>
        <v>10</v>
      </c>
      <c r="FF13" s="175">
        <f t="shared" si="12"/>
        <v>10</v>
      </c>
      <c r="FG13" s="37">
        <f t="shared" si="17"/>
        <v>11</v>
      </c>
      <c r="FH13" s="165">
        <f t="shared" si="13"/>
        <v>110</v>
      </c>
      <c r="FI13" s="165">
        <f>SUM(I7:ER7)-SUM(ES13:FF13)</f>
        <v>18</v>
      </c>
      <c r="FJ13" s="165">
        <f t="shared" si="16"/>
        <v>128</v>
      </c>
      <c r="FK13" s="7"/>
    </row>
    <row r="14" spans="1:167" ht="15" customHeight="1">
      <c r="A14" s="2"/>
      <c r="B14" s="3">
        <f t="shared" si="0"/>
        <v>1</v>
      </c>
      <c r="C14" s="182">
        <f t="shared" ref="C14:C57" si="18">ROW(D7)</f>
        <v>7</v>
      </c>
      <c r="D14" s="183" t="s">
        <v>151</v>
      </c>
      <c r="E14" s="178"/>
      <c r="F14" s="177">
        <v>16</v>
      </c>
      <c r="G14" s="628">
        <v>45915</v>
      </c>
      <c r="H14" s="629"/>
      <c r="I14" s="96">
        <v>1</v>
      </c>
      <c r="J14" s="97">
        <v>1</v>
      </c>
      <c r="K14" s="97">
        <v>1</v>
      </c>
      <c r="L14" s="97">
        <v>1</v>
      </c>
      <c r="M14" s="97">
        <v>0</v>
      </c>
      <c r="N14" s="97">
        <v>0</v>
      </c>
      <c r="O14" s="97">
        <v>1</v>
      </c>
      <c r="P14" s="97">
        <v>1</v>
      </c>
      <c r="Q14" s="97">
        <v>1</v>
      </c>
      <c r="R14" s="98">
        <v>1</v>
      </c>
      <c r="S14" s="115">
        <v>1</v>
      </c>
      <c r="T14" s="116">
        <v>1</v>
      </c>
      <c r="U14" s="116">
        <v>1</v>
      </c>
      <c r="V14" s="116">
        <v>1</v>
      </c>
      <c r="W14" s="116">
        <v>1</v>
      </c>
      <c r="X14" s="116">
        <v>1</v>
      </c>
      <c r="Y14" s="116">
        <v>1</v>
      </c>
      <c r="Z14" s="116">
        <v>1</v>
      </c>
      <c r="AA14" s="116">
        <v>1</v>
      </c>
      <c r="AB14" s="117">
        <v>1</v>
      </c>
      <c r="AC14" s="88">
        <v>1</v>
      </c>
      <c r="AD14" s="89">
        <v>1</v>
      </c>
      <c r="AE14" s="89">
        <v>0</v>
      </c>
      <c r="AF14" s="89">
        <v>0</v>
      </c>
      <c r="AG14" s="592"/>
      <c r="AH14" s="593"/>
      <c r="AI14" s="89">
        <v>1</v>
      </c>
      <c r="AJ14" s="89">
        <v>1</v>
      </c>
      <c r="AK14" s="89">
        <v>1</v>
      </c>
      <c r="AL14" s="122">
        <v>1</v>
      </c>
      <c r="AM14" s="107">
        <v>0</v>
      </c>
      <c r="AN14" s="108">
        <v>0</v>
      </c>
      <c r="AO14" s="108">
        <v>0</v>
      </c>
      <c r="AP14" s="108">
        <v>0</v>
      </c>
      <c r="AQ14" s="108">
        <v>0</v>
      </c>
      <c r="AR14" s="108">
        <v>0</v>
      </c>
      <c r="AS14" s="108">
        <v>0</v>
      </c>
      <c r="AT14" s="108">
        <v>0</v>
      </c>
      <c r="AU14" s="108">
        <v>0</v>
      </c>
      <c r="AV14" s="131">
        <v>0</v>
      </c>
      <c r="AW14" s="126">
        <v>1</v>
      </c>
      <c r="AX14" s="127">
        <v>1</v>
      </c>
      <c r="AY14" s="127">
        <v>1</v>
      </c>
      <c r="AZ14" s="127">
        <v>1</v>
      </c>
      <c r="BA14" s="127">
        <v>1</v>
      </c>
      <c r="BB14" s="127">
        <v>1</v>
      </c>
      <c r="BC14" s="127">
        <v>1</v>
      </c>
      <c r="BD14" s="127">
        <v>1</v>
      </c>
      <c r="BE14" s="127">
        <v>1</v>
      </c>
      <c r="BF14" s="137">
        <v>1</v>
      </c>
      <c r="BG14" s="96">
        <v>1</v>
      </c>
      <c r="BH14" s="97">
        <v>1</v>
      </c>
      <c r="BI14" s="97">
        <v>0</v>
      </c>
      <c r="BJ14" s="97">
        <v>0</v>
      </c>
      <c r="BK14" s="97">
        <v>1</v>
      </c>
      <c r="BL14" s="100">
        <v>1</v>
      </c>
      <c r="BM14" s="100">
        <v>1</v>
      </c>
      <c r="BN14" s="100">
        <v>1</v>
      </c>
      <c r="BO14" s="100">
        <v>1</v>
      </c>
      <c r="BP14" s="101">
        <v>1</v>
      </c>
      <c r="BQ14" s="119">
        <v>0</v>
      </c>
      <c r="BR14" s="118">
        <v>0</v>
      </c>
      <c r="BS14" s="118">
        <v>0</v>
      </c>
      <c r="BT14" s="118">
        <v>0</v>
      </c>
      <c r="BU14" s="118">
        <v>1</v>
      </c>
      <c r="BV14" s="118">
        <v>1</v>
      </c>
      <c r="BW14" s="118">
        <v>1</v>
      </c>
      <c r="BX14" s="118">
        <v>1</v>
      </c>
      <c r="BY14" s="118">
        <v>1</v>
      </c>
      <c r="BZ14" s="120">
        <v>1</v>
      </c>
      <c r="CA14" s="537"/>
      <c r="CB14" s="538"/>
      <c r="CC14" s="538"/>
      <c r="CD14" s="538"/>
      <c r="CE14" s="538"/>
      <c r="CF14" s="538"/>
      <c r="CG14" s="538"/>
      <c r="CH14" s="538"/>
      <c r="CI14" s="538"/>
      <c r="CJ14" s="539"/>
      <c r="CK14" s="110">
        <v>0</v>
      </c>
      <c r="CL14" s="109">
        <v>0</v>
      </c>
      <c r="CM14" s="109">
        <v>0</v>
      </c>
      <c r="CN14" s="109">
        <v>0</v>
      </c>
      <c r="CO14" s="109">
        <v>0</v>
      </c>
      <c r="CP14" s="109">
        <v>0</v>
      </c>
      <c r="CQ14" s="109">
        <v>0</v>
      </c>
      <c r="CR14" s="109">
        <v>0</v>
      </c>
      <c r="CS14" s="109">
        <v>0</v>
      </c>
      <c r="CT14" s="111">
        <v>0</v>
      </c>
      <c r="CU14" s="128">
        <v>0</v>
      </c>
      <c r="CV14" s="129">
        <v>0</v>
      </c>
      <c r="CW14" s="129">
        <v>0</v>
      </c>
      <c r="CX14" s="129">
        <v>0</v>
      </c>
      <c r="CY14" s="129">
        <v>0</v>
      </c>
      <c r="CZ14" s="129">
        <v>0</v>
      </c>
      <c r="DA14" s="129">
        <v>0</v>
      </c>
      <c r="DB14" s="129">
        <v>0</v>
      </c>
      <c r="DC14" s="129">
        <v>0</v>
      </c>
      <c r="DD14" s="138">
        <v>0</v>
      </c>
      <c r="DE14" s="156">
        <v>0</v>
      </c>
      <c r="DF14" s="157">
        <v>0</v>
      </c>
      <c r="DG14" s="157">
        <v>0</v>
      </c>
      <c r="DH14" s="157">
        <v>0</v>
      </c>
      <c r="DI14" s="157">
        <v>0</v>
      </c>
      <c r="DJ14" s="157">
        <v>0</v>
      </c>
      <c r="DK14" s="157">
        <v>0</v>
      </c>
      <c r="DL14" s="157">
        <v>0</v>
      </c>
      <c r="DM14" s="157">
        <v>0</v>
      </c>
      <c r="DN14" s="158">
        <v>0</v>
      </c>
      <c r="DO14" s="119">
        <v>0</v>
      </c>
      <c r="DP14" s="118">
        <v>0</v>
      </c>
      <c r="DQ14" s="118">
        <v>0</v>
      </c>
      <c r="DR14" s="118">
        <v>0</v>
      </c>
      <c r="DS14" s="118">
        <v>0</v>
      </c>
      <c r="DT14" s="118">
        <v>0</v>
      </c>
      <c r="DU14" s="118">
        <v>0</v>
      </c>
      <c r="DV14" s="118">
        <v>0</v>
      </c>
      <c r="DW14" s="118">
        <v>0</v>
      </c>
      <c r="DX14" s="120">
        <v>0</v>
      </c>
      <c r="DY14" s="90">
        <v>0</v>
      </c>
      <c r="DZ14" s="91">
        <v>0</v>
      </c>
      <c r="EA14" s="91">
        <v>0</v>
      </c>
      <c r="EB14" s="91">
        <v>0</v>
      </c>
      <c r="EC14" s="91">
        <v>0</v>
      </c>
      <c r="ED14" s="91">
        <v>0</v>
      </c>
      <c r="EE14" s="91">
        <v>0</v>
      </c>
      <c r="EF14" s="91">
        <v>0</v>
      </c>
      <c r="EG14" s="91">
        <v>0</v>
      </c>
      <c r="EH14" s="92">
        <v>0</v>
      </c>
      <c r="EI14" s="110">
        <v>0</v>
      </c>
      <c r="EJ14" s="109">
        <v>0</v>
      </c>
      <c r="EK14" s="109">
        <v>0</v>
      </c>
      <c r="EL14" s="109">
        <v>0</v>
      </c>
      <c r="EM14" s="109">
        <v>0</v>
      </c>
      <c r="EN14" s="109">
        <v>0</v>
      </c>
      <c r="EO14" s="109">
        <v>0</v>
      </c>
      <c r="EP14" s="109">
        <v>0</v>
      </c>
      <c r="EQ14" s="109">
        <v>0</v>
      </c>
      <c r="ER14" s="132">
        <v>0</v>
      </c>
      <c r="ES14" s="175">
        <f t="shared" si="1"/>
        <v>8</v>
      </c>
      <c r="ET14" s="175">
        <f t="shared" si="2"/>
        <v>10</v>
      </c>
      <c r="EU14" s="175">
        <f t="shared" si="3"/>
        <v>6</v>
      </c>
      <c r="EV14" s="175">
        <f t="shared" si="4"/>
        <v>0</v>
      </c>
      <c r="EW14" s="175">
        <f t="shared" si="14"/>
        <v>8</v>
      </c>
      <c r="EX14" s="175">
        <f t="shared" si="15"/>
        <v>6</v>
      </c>
      <c r="EY14" s="175">
        <f t="shared" si="5"/>
        <v>6</v>
      </c>
      <c r="EZ14" s="176">
        <f t="shared" si="6"/>
        <v>0</v>
      </c>
      <c r="FA14" s="175">
        <f t="shared" si="7"/>
        <v>0</v>
      </c>
      <c r="FB14" s="175">
        <f t="shared" si="8"/>
        <v>0</v>
      </c>
      <c r="FC14" s="175">
        <f t="shared" si="9"/>
        <v>0</v>
      </c>
      <c r="FD14" s="175">
        <f t="shared" si="10"/>
        <v>0</v>
      </c>
      <c r="FE14" s="175">
        <f t="shared" si="11"/>
        <v>0</v>
      </c>
      <c r="FF14" s="175">
        <f t="shared" si="12"/>
        <v>0</v>
      </c>
      <c r="FG14" s="37">
        <f t="shared" si="17"/>
        <v>12</v>
      </c>
      <c r="FH14" s="165">
        <f t="shared" si="13"/>
        <v>44</v>
      </c>
      <c r="FI14" s="165">
        <f>SUM(I7:ER7)-SUM(ES14:FF14)</f>
        <v>84</v>
      </c>
      <c r="FJ14" s="165">
        <f t="shared" si="16"/>
        <v>128</v>
      </c>
      <c r="FK14" s="7"/>
    </row>
    <row r="15" spans="1:167" ht="15" customHeight="1">
      <c r="A15" s="2"/>
      <c r="B15" s="3">
        <f t="shared" si="0"/>
        <v>1</v>
      </c>
      <c r="C15" s="182">
        <f t="shared" si="18"/>
        <v>8</v>
      </c>
      <c r="D15" s="183" t="s">
        <v>152</v>
      </c>
      <c r="E15" s="178"/>
      <c r="F15" s="177">
        <v>15</v>
      </c>
      <c r="G15" s="628">
        <v>45915</v>
      </c>
      <c r="H15" s="629"/>
      <c r="I15" s="96">
        <v>0</v>
      </c>
      <c r="J15" s="97">
        <v>0</v>
      </c>
      <c r="K15" s="97">
        <v>0</v>
      </c>
      <c r="L15" s="97">
        <v>0</v>
      </c>
      <c r="M15" s="97">
        <v>0</v>
      </c>
      <c r="N15" s="97">
        <v>0</v>
      </c>
      <c r="O15" s="97">
        <v>0</v>
      </c>
      <c r="P15" s="97">
        <v>0</v>
      </c>
      <c r="Q15" s="97">
        <v>0</v>
      </c>
      <c r="R15" s="98">
        <v>0</v>
      </c>
      <c r="S15" s="115">
        <v>1</v>
      </c>
      <c r="T15" s="116">
        <v>1</v>
      </c>
      <c r="U15" s="116">
        <v>1</v>
      </c>
      <c r="V15" s="116">
        <v>1</v>
      </c>
      <c r="W15" s="116">
        <v>0</v>
      </c>
      <c r="X15" s="116">
        <v>0</v>
      </c>
      <c r="Y15" s="116">
        <v>0</v>
      </c>
      <c r="Z15" s="116">
        <v>0</v>
      </c>
      <c r="AA15" s="116">
        <v>1</v>
      </c>
      <c r="AB15" s="117">
        <v>1</v>
      </c>
      <c r="AC15" s="88">
        <v>1</v>
      </c>
      <c r="AD15" s="89">
        <v>1</v>
      </c>
      <c r="AE15" s="89">
        <v>1</v>
      </c>
      <c r="AF15" s="89">
        <v>1</v>
      </c>
      <c r="AG15" s="592"/>
      <c r="AH15" s="593"/>
      <c r="AI15" s="89">
        <v>1</v>
      </c>
      <c r="AJ15" s="89">
        <v>1</v>
      </c>
      <c r="AK15" s="89">
        <v>1</v>
      </c>
      <c r="AL15" s="122">
        <v>1</v>
      </c>
      <c r="AM15" s="107">
        <v>0</v>
      </c>
      <c r="AN15" s="108">
        <v>0</v>
      </c>
      <c r="AO15" s="108">
        <v>1</v>
      </c>
      <c r="AP15" s="108">
        <v>1</v>
      </c>
      <c r="AQ15" s="108">
        <v>1</v>
      </c>
      <c r="AR15" s="108">
        <v>1</v>
      </c>
      <c r="AS15" s="108">
        <v>1</v>
      </c>
      <c r="AT15" s="108">
        <v>1</v>
      </c>
      <c r="AU15" s="108">
        <v>1</v>
      </c>
      <c r="AV15" s="131">
        <v>1</v>
      </c>
      <c r="AW15" s="126">
        <v>1</v>
      </c>
      <c r="AX15" s="127">
        <v>1</v>
      </c>
      <c r="AY15" s="127">
        <v>1</v>
      </c>
      <c r="AZ15" s="127">
        <v>1</v>
      </c>
      <c r="BA15" s="127">
        <v>1</v>
      </c>
      <c r="BB15" s="127">
        <v>1</v>
      </c>
      <c r="BC15" s="127">
        <v>1</v>
      </c>
      <c r="BD15" s="127">
        <v>1</v>
      </c>
      <c r="BE15" s="127">
        <v>1</v>
      </c>
      <c r="BF15" s="137">
        <v>1</v>
      </c>
      <c r="BG15" s="96">
        <v>1</v>
      </c>
      <c r="BH15" s="97">
        <v>1</v>
      </c>
      <c r="BI15" s="97">
        <v>1</v>
      </c>
      <c r="BJ15" s="97">
        <v>1</v>
      </c>
      <c r="BK15" s="97">
        <v>1</v>
      </c>
      <c r="BL15" s="100">
        <v>1</v>
      </c>
      <c r="BM15" s="100">
        <v>1</v>
      </c>
      <c r="BN15" s="100">
        <v>1</v>
      </c>
      <c r="BO15" s="100">
        <v>1</v>
      </c>
      <c r="BP15" s="101">
        <v>1</v>
      </c>
      <c r="BQ15" s="119">
        <v>1</v>
      </c>
      <c r="BR15" s="118">
        <v>1</v>
      </c>
      <c r="BS15" s="118">
        <v>1</v>
      </c>
      <c r="BT15" s="118">
        <v>1</v>
      </c>
      <c r="BU15" s="118">
        <v>1</v>
      </c>
      <c r="BV15" s="118">
        <v>1</v>
      </c>
      <c r="BW15" s="118">
        <v>1</v>
      </c>
      <c r="BX15" s="118">
        <v>1</v>
      </c>
      <c r="BY15" s="118">
        <v>1</v>
      </c>
      <c r="BZ15" s="120">
        <v>1</v>
      </c>
      <c r="CA15" s="537"/>
      <c r="CB15" s="538"/>
      <c r="CC15" s="538"/>
      <c r="CD15" s="538"/>
      <c r="CE15" s="538"/>
      <c r="CF15" s="538"/>
      <c r="CG15" s="538"/>
      <c r="CH15" s="538"/>
      <c r="CI15" s="538"/>
      <c r="CJ15" s="539"/>
      <c r="CK15" s="110">
        <v>1</v>
      </c>
      <c r="CL15" s="109">
        <v>1</v>
      </c>
      <c r="CM15" s="109">
        <v>1</v>
      </c>
      <c r="CN15" s="109">
        <v>1</v>
      </c>
      <c r="CO15" s="109">
        <v>1</v>
      </c>
      <c r="CP15" s="109">
        <v>1</v>
      </c>
      <c r="CQ15" s="109">
        <v>1</v>
      </c>
      <c r="CR15" s="109">
        <v>1</v>
      </c>
      <c r="CS15" s="109">
        <v>1</v>
      </c>
      <c r="CT15" s="111">
        <v>1</v>
      </c>
      <c r="CU15" s="128">
        <v>1</v>
      </c>
      <c r="CV15" s="129">
        <v>1</v>
      </c>
      <c r="CW15" s="129">
        <v>1</v>
      </c>
      <c r="CX15" s="129">
        <v>1</v>
      </c>
      <c r="CY15" s="129">
        <v>1</v>
      </c>
      <c r="CZ15" s="129">
        <v>1</v>
      </c>
      <c r="DA15" s="129">
        <v>1</v>
      </c>
      <c r="DB15" s="129">
        <v>1</v>
      </c>
      <c r="DC15" s="129">
        <v>1</v>
      </c>
      <c r="DD15" s="138">
        <v>1</v>
      </c>
      <c r="DE15" s="156">
        <v>1</v>
      </c>
      <c r="DF15" s="157">
        <v>1</v>
      </c>
      <c r="DG15" s="157">
        <v>1</v>
      </c>
      <c r="DH15" s="157">
        <v>1</v>
      </c>
      <c r="DI15" s="157">
        <v>1</v>
      </c>
      <c r="DJ15" s="157">
        <v>1</v>
      </c>
      <c r="DK15" s="157">
        <v>1</v>
      </c>
      <c r="DL15" s="157">
        <v>1</v>
      </c>
      <c r="DM15" s="157">
        <v>1</v>
      </c>
      <c r="DN15" s="158">
        <v>1</v>
      </c>
      <c r="DO15" s="119">
        <v>1</v>
      </c>
      <c r="DP15" s="118">
        <v>1</v>
      </c>
      <c r="DQ15" s="118">
        <v>1</v>
      </c>
      <c r="DR15" s="118">
        <v>1</v>
      </c>
      <c r="DS15" s="118">
        <v>1</v>
      </c>
      <c r="DT15" s="118">
        <v>1</v>
      </c>
      <c r="DU15" s="118">
        <v>1</v>
      </c>
      <c r="DV15" s="118">
        <v>1</v>
      </c>
      <c r="DW15" s="118">
        <v>1</v>
      </c>
      <c r="DX15" s="120">
        <v>1</v>
      </c>
      <c r="DY15" s="90">
        <v>1</v>
      </c>
      <c r="DZ15" s="91">
        <v>1</v>
      </c>
      <c r="EA15" s="91">
        <v>1</v>
      </c>
      <c r="EB15" s="91">
        <v>1</v>
      </c>
      <c r="EC15" s="91">
        <v>1</v>
      </c>
      <c r="ED15" s="91">
        <v>1</v>
      </c>
      <c r="EE15" s="91">
        <v>1</v>
      </c>
      <c r="EF15" s="91">
        <v>1</v>
      </c>
      <c r="EG15" s="91">
        <v>1</v>
      </c>
      <c r="EH15" s="92">
        <v>1</v>
      </c>
      <c r="EI15" s="110">
        <v>1</v>
      </c>
      <c r="EJ15" s="109">
        <v>1</v>
      </c>
      <c r="EK15" s="109">
        <v>1</v>
      </c>
      <c r="EL15" s="109">
        <v>1</v>
      </c>
      <c r="EM15" s="109">
        <v>1</v>
      </c>
      <c r="EN15" s="109">
        <v>1</v>
      </c>
      <c r="EO15" s="109">
        <v>1</v>
      </c>
      <c r="EP15" s="109">
        <v>1</v>
      </c>
      <c r="EQ15" s="109">
        <v>1</v>
      </c>
      <c r="ER15" s="132">
        <v>1</v>
      </c>
      <c r="ES15" s="175">
        <f t="shared" si="1"/>
        <v>0</v>
      </c>
      <c r="ET15" s="175">
        <f t="shared" si="2"/>
        <v>6</v>
      </c>
      <c r="EU15" s="175">
        <f t="shared" si="3"/>
        <v>8</v>
      </c>
      <c r="EV15" s="175">
        <f t="shared" si="4"/>
        <v>8</v>
      </c>
      <c r="EW15" s="175">
        <f t="shared" si="14"/>
        <v>10</v>
      </c>
      <c r="EX15" s="175">
        <f t="shared" si="15"/>
        <v>10</v>
      </c>
      <c r="EY15" s="175">
        <f t="shared" si="5"/>
        <v>10</v>
      </c>
      <c r="EZ15" s="176">
        <f t="shared" si="6"/>
        <v>0</v>
      </c>
      <c r="FA15" s="175">
        <f t="shared" si="7"/>
        <v>10</v>
      </c>
      <c r="FB15" s="175">
        <f t="shared" si="8"/>
        <v>10</v>
      </c>
      <c r="FC15" s="175">
        <f t="shared" si="9"/>
        <v>10</v>
      </c>
      <c r="FD15" s="175">
        <f t="shared" si="10"/>
        <v>10</v>
      </c>
      <c r="FE15" s="175">
        <f t="shared" si="11"/>
        <v>10</v>
      </c>
      <c r="FF15" s="175">
        <f t="shared" si="12"/>
        <v>10</v>
      </c>
      <c r="FG15" s="37">
        <f t="shared" si="17"/>
        <v>13</v>
      </c>
      <c r="FH15" s="165">
        <f t="shared" si="13"/>
        <v>112</v>
      </c>
      <c r="FI15" s="165">
        <f>SUM(I7:ER7)-SUM(ES15:FF15)</f>
        <v>16</v>
      </c>
      <c r="FJ15" s="165">
        <f t="shared" si="16"/>
        <v>128</v>
      </c>
      <c r="FK15" s="7"/>
    </row>
    <row r="16" spans="1:167" ht="15" customHeight="1">
      <c r="A16" s="2"/>
      <c r="B16" s="3">
        <f t="shared" si="0"/>
        <v>1</v>
      </c>
      <c r="C16" s="182">
        <f t="shared" si="18"/>
        <v>9</v>
      </c>
      <c r="D16" s="183" t="s">
        <v>153</v>
      </c>
      <c r="E16" s="178"/>
      <c r="F16" s="177">
        <v>18</v>
      </c>
      <c r="G16" s="628">
        <v>45915</v>
      </c>
      <c r="H16" s="629"/>
      <c r="I16" s="96">
        <v>0</v>
      </c>
      <c r="J16" s="97">
        <v>0</v>
      </c>
      <c r="K16" s="97">
        <v>0</v>
      </c>
      <c r="L16" s="97">
        <v>0</v>
      </c>
      <c r="M16" s="97">
        <v>1</v>
      </c>
      <c r="N16" s="97">
        <v>1</v>
      </c>
      <c r="O16" s="97">
        <v>1</v>
      </c>
      <c r="P16" s="97">
        <v>1</v>
      </c>
      <c r="Q16" s="97">
        <v>1</v>
      </c>
      <c r="R16" s="98">
        <v>1</v>
      </c>
      <c r="S16" s="115">
        <v>1</v>
      </c>
      <c r="T16" s="116">
        <v>1</v>
      </c>
      <c r="U16" s="116">
        <v>1</v>
      </c>
      <c r="V16" s="116">
        <v>1</v>
      </c>
      <c r="W16" s="116">
        <v>0</v>
      </c>
      <c r="X16" s="116">
        <v>0</v>
      </c>
      <c r="Y16" s="116">
        <v>1</v>
      </c>
      <c r="Z16" s="116">
        <v>1</v>
      </c>
      <c r="AA16" s="116">
        <v>1</v>
      </c>
      <c r="AB16" s="117">
        <v>1</v>
      </c>
      <c r="AC16" s="88">
        <v>0</v>
      </c>
      <c r="AD16" s="89">
        <v>0</v>
      </c>
      <c r="AE16" s="89">
        <v>0</v>
      </c>
      <c r="AF16" s="89">
        <v>0</v>
      </c>
      <c r="AG16" s="592"/>
      <c r="AH16" s="593"/>
      <c r="AI16" s="89">
        <v>0</v>
      </c>
      <c r="AJ16" s="89">
        <v>0</v>
      </c>
      <c r="AK16" s="89">
        <v>0</v>
      </c>
      <c r="AL16" s="122">
        <v>0</v>
      </c>
      <c r="AM16" s="107">
        <v>1</v>
      </c>
      <c r="AN16" s="108">
        <v>1</v>
      </c>
      <c r="AO16" s="108">
        <v>0</v>
      </c>
      <c r="AP16" s="108">
        <v>0</v>
      </c>
      <c r="AQ16" s="108">
        <v>1</v>
      </c>
      <c r="AR16" s="108">
        <v>1</v>
      </c>
      <c r="AS16" s="108">
        <v>1</v>
      </c>
      <c r="AT16" s="108">
        <v>1</v>
      </c>
      <c r="AU16" s="108">
        <v>1</v>
      </c>
      <c r="AV16" s="131">
        <v>1</v>
      </c>
      <c r="AW16" s="126">
        <v>1</v>
      </c>
      <c r="AX16" s="127">
        <v>1</v>
      </c>
      <c r="AY16" s="127">
        <v>1</v>
      </c>
      <c r="AZ16" s="127">
        <v>1</v>
      </c>
      <c r="BA16" s="127">
        <v>1</v>
      </c>
      <c r="BB16" s="127">
        <v>1</v>
      </c>
      <c r="BC16" s="127">
        <v>1</v>
      </c>
      <c r="BD16" s="127">
        <v>1</v>
      </c>
      <c r="BE16" s="127">
        <v>1</v>
      </c>
      <c r="BF16" s="137">
        <v>1</v>
      </c>
      <c r="BG16" s="96">
        <v>1</v>
      </c>
      <c r="BH16" s="97">
        <v>1</v>
      </c>
      <c r="BI16" s="97">
        <v>1</v>
      </c>
      <c r="BJ16" s="97">
        <v>1</v>
      </c>
      <c r="BK16" s="97">
        <v>1</v>
      </c>
      <c r="BL16" s="100">
        <v>1</v>
      </c>
      <c r="BM16" s="100">
        <v>1</v>
      </c>
      <c r="BN16" s="100">
        <v>1</v>
      </c>
      <c r="BO16" s="100">
        <v>1</v>
      </c>
      <c r="BP16" s="101">
        <v>1</v>
      </c>
      <c r="BQ16" s="119">
        <v>1</v>
      </c>
      <c r="BR16" s="118">
        <v>1</v>
      </c>
      <c r="BS16" s="118">
        <v>1</v>
      </c>
      <c r="BT16" s="118">
        <v>1</v>
      </c>
      <c r="BU16" s="118">
        <v>1</v>
      </c>
      <c r="BV16" s="118">
        <v>1</v>
      </c>
      <c r="BW16" s="118">
        <v>1</v>
      </c>
      <c r="BX16" s="118">
        <v>1</v>
      </c>
      <c r="BY16" s="118">
        <v>1</v>
      </c>
      <c r="BZ16" s="120">
        <v>1</v>
      </c>
      <c r="CA16" s="537"/>
      <c r="CB16" s="538"/>
      <c r="CC16" s="538"/>
      <c r="CD16" s="538"/>
      <c r="CE16" s="538"/>
      <c r="CF16" s="538"/>
      <c r="CG16" s="538"/>
      <c r="CH16" s="538"/>
      <c r="CI16" s="538"/>
      <c r="CJ16" s="539"/>
      <c r="CK16" s="110">
        <v>0</v>
      </c>
      <c r="CL16" s="109">
        <v>0</v>
      </c>
      <c r="CM16" s="109">
        <v>0</v>
      </c>
      <c r="CN16" s="109">
        <v>0</v>
      </c>
      <c r="CO16" s="109">
        <v>0</v>
      </c>
      <c r="CP16" s="109">
        <v>0</v>
      </c>
      <c r="CQ16" s="109">
        <v>0</v>
      </c>
      <c r="CR16" s="109">
        <v>0</v>
      </c>
      <c r="CS16" s="109">
        <v>0</v>
      </c>
      <c r="CT16" s="111">
        <v>0</v>
      </c>
      <c r="CU16" s="128">
        <v>0</v>
      </c>
      <c r="CV16" s="129">
        <v>0</v>
      </c>
      <c r="CW16" s="129">
        <v>0</v>
      </c>
      <c r="CX16" s="129">
        <v>0</v>
      </c>
      <c r="CY16" s="129">
        <v>1</v>
      </c>
      <c r="CZ16" s="129">
        <v>1</v>
      </c>
      <c r="DA16" s="129">
        <v>1</v>
      </c>
      <c r="DB16" s="129">
        <v>1</v>
      </c>
      <c r="DC16" s="129">
        <v>1</v>
      </c>
      <c r="DD16" s="138">
        <v>1</v>
      </c>
      <c r="DE16" s="156">
        <v>1</v>
      </c>
      <c r="DF16" s="157">
        <v>1</v>
      </c>
      <c r="DG16" s="157">
        <v>1</v>
      </c>
      <c r="DH16" s="157">
        <v>1</v>
      </c>
      <c r="DI16" s="157">
        <v>1</v>
      </c>
      <c r="DJ16" s="157">
        <v>1</v>
      </c>
      <c r="DK16" s="157">
        <v>1</v>
      </c>
      <c r="DL16" s="157">
        <v>1</v>
      </c>
      <c r="DM16" s="157">
        <v>1</v>
      </c>
      <c r="DN16" s="158">
        <v>1</v>
      </c>
      <c r="DO16" s="119">
        <v>1</v>
      </c>
      <c r="DP16" s="118">
        <v>1</v>
      </c>
      <c r="DQ16" s="118">
        <v>1</v>
      </c>
      <c r="DR16" s="118">
        <v>1</v>
      </c>
      <c r="DS16" s="118">
        <v>1</v>
      </c>
      <c r="DT16" s="118">
        <v>1</v>
      </c>
      <c r="DU16" s="118">
        <v>1</v>
      </c>
      <c r="DV16" s="118">
        <v>1</v>
      </c>
      <c r="DW16" s="118">
        <v>1</v>
      </c>
      <c r="DX16" s="120">
        <v>1</v>
      </c>
      <c r="DY16" s="90">
        <v>1</v>
      </c>
      <c r="DZ16" s="91">
        <v>1</v>
      </c>
      <c r="EA16" s="91">
        <v>1</v>
      </c>
      <c r="EB16" s="91">
        <v>1</v>
      </c>
      <c r="EC16" s="91">
        <v>1</v>
      </c>
      <c r="ED16" s="91">
        <v>1</v>
      </c>
      <c r="EE16" s="91">
        <v>1</v>
      </c>
      <c r="EF16" s="91">
        <v>1</v>
      </c>
      <c r="EG16" s="91">
        <v>1</v>
      </c>
      <c r="EH16" s="92">
        <v>1</v>
      </c>
      <c r="EI16" s="110">
        <v>1</v>
      </c>
      <c r="EJ16" s="109">
        <v>1</v>
      </c>
      <c r="EK16" s="109">
        <v>1</v>
      </c>
      <c r="EL16" s="109">
        <v>1</v>
      </c>
      <c r="EM16" s="109">
        <v>1</v>
      </c>
      <c r="EN16" s="109">
        <v>1</v>
      </c>
      <c r="EO16" s="109">
        <v>1</v>
      </c>
      <c r="EP16" s="109">
        <v>1</v>
      </c>
      <c r="EQ16" s="109">
        <v>1</v>
      </c>
      <c r="ER16" s="132">
        <v>1</v>
      </c>
      <c r="ES16" s="175">
        <f t="shared" si="1"/>
        <v>6</v>
      </c>
      <c r="ET16" s="175">
        <f t="shared" si="2"/>
        <v>8</v>
      </c>
      <c r="EU16" s="175">
        <f t="shared" si="3"/>
        <v>0</v>
      </c>
      <c r="EV16" s="175">
        <f t="shared" si="4"/>
        <v>8</v>
      </c>
      <c r="EW16" s="175">
        <f t="shared" si="14"/>
        <v>10</v>
      </c>
      <c r="EX16" s="175">
        <f t="shared" si="15"/>
        <v>10</v>
      </c>
      <c r="EY16" s="175">
        <f t="shared" si="5"/>
        <v>10</v>
      </c>
      <c r="EZ16" s="176">
        <f t="shared" si="6"/>
        <v>0</v>
      </c>
      <c r="FA16" s="175">
        <f t="shared" si="7"/>
        <v>0</v>
      </c>
      <c r="FB16" s="175">
        <f t="shared" si="8"/>
        <v>6</v>
      </c>
      <c r="FC16" s="175">
        <f t="shared" si="9"/>
        <v>10</v>
      </c>
      <c r="FD16" s="175">
        <f t="shared" si="10"/>
        <v>10</v>
      </c>
      <c r="FE16" s="175">
        <f t="shared" si="11"/>
        <v>10</v>
      </c>
      <c r="FF16" s="175">
        <f t="shared" si="12"/>
        <v>10</v>
      </c>
      <c r="FG16" s="37">
        <f t="shared" si="17"/>
        <v>14</v>
      </c>
      <c r="FH16" s="165">
        <f t="shared" si="13"/>
        <v>98</v>
      </c>
      <c r="FI16" s="165">
        <f>SUM(I7:ER7)-SUM(ES16:FF16)</f>
        <v>30</v>
      </c>
      <c r="FJ16" s="165">
        <f t="shared" si="16"/>
        <v>128</v>
      </c>
      <c r="FK16" s="7"/>
    </row>
    <row r="17" spans="1:167" ht="15" customHeight="1">
      <c r="A17" s="2"/>
      <c r="B17" s="3">
        <f t="shared" si="0"/>
        <v>1</v>
      </c>
      <c r="C17" s="182">
        <f t="shared" si="18"/>
        <v>10</v>
      </c>
      <c r="D17" s="183" t="s">
        <v>154</v>
      </c>
      <c r="E17" s="178"/>
      <c r="F17" s="177">
        <v>16</v>
      </c>
      <c r="G17" s="628">
        <v>45915</v>
      </c>
      <c r="H17" s="629"/>
      <c r="I17" s="96">
        <v>0</v>
      </c>
      <c r="J17" s="97">
        <v>0</v>
      </c>
      <c r="K17" s="97">
        <v>1</v>
      </c>
      <c r="L17" s="97">
        <v>1</v>
      </c>
      <c r="M17" s="97">
        <v>1</v>
      </c>
      <c r="N17" s="97">
        <v>1</v>
      </c>
      <c r="O17" s="97">
        <v>1</v>
      </c>
      <c r="P17" s="97">
        <v>1</v>
      </c>
      <c r="Q17" s="97">
        <v>0</v>
      </c>
      <c r="R17" s="98">
        <v>0</v>
      </c>
      <c r="S17" s="115">
        <v>1</v>
      </c>
      <c r="T17" s="116">
        <v>1</v>
      </c>
      <c r="U17" s="116">
        <v>1</v>
      </c>
      <c r="V17" s="116">
        <v>1</v>
      </c>
      <c r="W17" s="116">
        <v>1</v>
      </c>
      <c r="X17" s="116">
        <v>1</v>
      </c>
      <c r="Y17" s="116">
        <v>1</v>
      </c>
      <c r="Z17" s="116">
        <v>1</v>
      </c>
      <c r="AA17" s="116">
        <v>1</v>
      </c>
      <c r="AB17" s="117">
        <v>1</v>
      </c>
      <c r="AC17" s="88">
        <v>1</v>
      </c>
      <c r="AD17" s="89">
        <v>1</v>
      </c>
      <c r="AE17" s="89">
        <v>1</v>
      </c>
      <c r="AF17" s="89">
        <v>1</v>
      </c>
      <c r="AG17" s="592"/>
      <c r="AH17" s="593"/>
      <c r="AI17" s="89">
        <v>1</v>
      </c>
      <c r="AJ17" s="89">
        <v>1</v>
      </c>
      <c r="AK17" s="89">
        <v>1</v>
      </c>
      <c r="AL17" s="122">
        <v>1</v>
      </c>
      <c r="AM17" s="107">
        <v>1</v>
      </c>
      <c r="AN17" s="108">
        <v>1</v>
      </c>
      <c r="AO17" s="108">
        <v>1</v>
      </c>
      <c r="AP17" s="108">
        <v>1</v>
      </c>
      <c r="AQ17" s="108">
        <v>1</v>
      </c>
      <c r="AR17" s="108">
        <v>1</v>
      </c>
      <c r="AS17" s="108">
        <v>1</v>
      </c>
      <c r="AT17" s="108">
        <v>1</v>
      </c>
      <c r="AU17" s="108">
        <v>1</v>
      </c>
      <c r="AV17" s="131">
        <v>1</v>
      </c>
      <c r="AW17" s="126">
        <v>1</v>
      </c>
      <c r="AX17" s="127">
        <v>1</v>
      </c>
      <c r="AY17" s="127">
        <v>1</v>
      </c>
      <c r="AZ17" s="127">
        <v>1</v>
      </c>
      <c r="BA17" s="127">
        <v>1</v>
      </c>
      <c r="BB17" s="127">
        <v>1</v>
      </c>
      <c r="BC17" s="127">
        <v>1</v>
      </c>
      <c r="BD17" s="127">
        <v>1</v>
      </c>
      <c r="BE17" s="127">
        <v>1</v>
      </c>
      <c r="BF17" s="137">
        <v>1</v>
      </c>
      <c r="BG17" s="96">
        <v>1</v>
      </c>
      <c r="BH17" s="97">
        <v>1</v>
      </c>
      <c r="BI17" s="97">
        <v>1</v>
      </c>
      <c r="BJ17" s="97">
        <v>1</v>
      </c>
      <c r="BK17" s="97">
        <v>1</v>
      </c>
      <c r="BL17" s="100">
        <v>1</v>
      </c>
      <c r="BM17" s="100">
        <v>1</v>
      </c>
      <c r="BN17" s="100">
        <v>1</v>
      </c>
      <c r="BO17" s="100">
        <v>1</v>
      </c>
      <c r="BP17" s="101">
        <v>1</v>
      </c>
      <c r="BQ17" s="119">
        <v>1</v>
      </c>
      <c r="BR17" s="118">
        <v>1</v>
      </c>
      <c r="BS17" s="118">
        <v>1</v>
      </c>
      <c r="BT17" s="118">
        <v>1</v>
      </c>
      <c r="BU17" s="118">
        <v>1</v>
      </c>
      <c r="BV17" s="118">
        <v>1</v>
      </c>
      <c r="BW17" s="118">
        <v>1</v>
      </c>
      <c r="BX17" s="118">
        <v>1</v>
      </c>
      <c r="BY17" s="118">
        <v>1</v>
      </c>
      <c r="BZ17" s="120">
        <v>1</v>
      </c>
      <c r="CA17" s="537"/>
      <c r="CB17" s="538"/>
      <c r="CC17" s="538"/>
      <c r="CD17" s="538"/>
      <c r="CE17" s="538"/>
      <c r="CF17" s="538"/>
      <c r="CG17" s="538"/>
      <c r="CH17" s="538"/>
      <c r="CI17" s="538"/>
      <c r="CJ17" s="539"/>
      <c r="CK17" s="110">
        <v>1</v>
      </c>
      <c r="CL17" s="109">
        <v>1</v>
      </c>
      <c r="CM17" s="109">
        <v>1</v>
      </c>
      <c r="CN17" s="109">
        <v>1</v>
      </c>
      <c r="CO17" s="109">
        <v>0</v>
      </c>
      <c r="CP17" s="109">
        <v>0</v>
      </c>
      <c r="CQ17" s="109">
        <v>0</v>
      </c>
      <c r="CR17" s="109">
        <v>0</v>
      </c>
      <c r="CS17" s="109">
        <v>0</v>
      </c>
      <c r="CT17" s="111">
        <v>0</v>
      </c>
      <c r="CU17" s="128">
        <v>0</v>
      </c>
      <c r="CV17" s="129">
        <v>0</v>
      </c>
      <c r="CW17" s="129">
        <v>0</v>
      </c>
      <c r="CX17" s="129">
        <v>0</v>
      </c>
      <c r="CY17" s="129">
        <v>1</v>
      </c>
      <c r="CZ17" s="129">
        <v>1</v>
      </c>
      <c r="DA17" s="129">
        <v>1</v>
      </c>
      <c r="DB17" s="129">
        <v>1</v>
      </c>
      <c r="DC17" s="129">
        <v>1</v>
      </c>
      <c r="DD17" s="138">
        <v>1</v>
      </c>
      <c r="DE17" s="156">
        <v>1</v>
      </c>
      <c r="DF17" s="157">
        <v>1</v>
      </c>
      <c r="DG17" s="157">
        <v>1</v>
      </c>
      <c r="DH17" s="157">
        <v>1</v>
      </c>
      <c r="DI17" s="157">
        <v>1</v>
      </c>
      <c r="DJ17" s="157">
        <v>1</v>
      </c>
      <c r="DK17" s="157">
        <v>1</v>
      </c>
      <c r="DL17" s="157">
        <v>1</v>
      </c>
      <c r="DM17" s="157">
        <v>1</v>
      </c>
      <c r="DN17" s="158">
        <v>1</v>
      </c>
      <c r="DO17" s="119">
        <v>1</v>
      </c>
      <c r="DP17" s="118">
        <v>1</v>
      </c>
      <c r="DQ17" s="118">
        <v>1</v>
      </c>
      <c r="DR17" s="118">
        <v>1</v>
      </c>
      <c r="DS17" s="118">
        <v>1</v>
      </c>
      <c r="DT17" s="118">
        <v>1</v>
      </c>
      <c r="DU17" s="118">
        <v>1</v>
      </c>
      <c r="DV17" s="118">
        <v>1</v>
      </c>
      <c r="DW17" s="118">
        <v>1</v>
      </c>
      <c r="DX17" s="120">
        <v>1</v>
      </c>
      <c r="DY17" s="90">
        <v>1</v>
      </c>
      <c r="DZ17" s="91">
        <v>1</v>
      </c>
      <c r="EA17" s="91">
        <v>1</v>
      </c>
      <c r="EB17" s="91">
        <v>1</v>
      </c>
      <c r="EC17" s="91">
        <v>1</v>
      </c>
      <c r="ED17" s="91">
        <v>1</v>
      </c>
      <c r="EE17" s="91">
        <v>1</v>
      </c>
      <c r="EF17" s="91">
        <v>1</v>
      </c>
      <c r="EG17" s="91">
        <v>1</v>
      </c>
      <c r="EH17" s="92">
        <v>1</v>
      </c>
      <c r="EI17" s="110">
        <v>1</v>
      </c>
      <c r="EJ17" s="109">
        <v>1</v>
      </c>
      <c r="EK17" s="109">
        <v>1</v>
      </c>
      <c r="EL17" s="109">
        <v>1</v>
      </c>
      <c r="EM17" s="109">
        <v>1</v>
      </c>
      <c r="EN17" s="109">
        <v>1</v>
      </c>
      <c r="EO17" s="109">
        <v>1</v>
      </c>
      <c r="EP17" s="109">
        <v>1</v>
      </c>
      <c r="EQ17" s="109">
        <v>1</v>
      </c>
      <c r="ER17" s="132">
        <v>1</v>
      </c>
      <c r="ES17" s="175">
        <f t="shared" si="1"/>
        <v>6</v>
      </c>
      <c r="ET17" s="175">
        <f t="shared" si="2"/>
        <v>10</v>
      </c>
      <c r="EU17" s="175">
        <f t="shared" si="3"/>
        <v>8</v>
      </c>
      <c r="EV17" s="175">
        <f t="shared" si="4"/>
        <v>10</v>
      </c>
      <c r="EW17" s="175">
        <f t="shared" si="14"/>
        <v>10</v>
      </c>
      <c r="EX17" s="175">
        <f t="shared" si="15"/>
        <v>10</v>
      </c>
      <c r="EY17" s="175">
        <f t="shared" si="5"/>
        <v>10</v>
      </c>
      <c r="EZ17" s="176">
        <f t="shared" si="6"/>
        <v>0</v>
      </c>
      <c r="FA17" s="175">
        <f t="shared" si="7"/>
        <v>4</v>
      </c>
      <c r="FB17" s="175">
        <f t="shared" si="8"/>
        <v>6</v>
      </c>
      <c r="FC17" s="175">
        <f t="shared" si="9"/>
        <v>10</v>
      </c>
      <c r="FD17" s="175">
        <f t="shared" si="10"/>
        <v>10</v>
      </c>
      <c r="FE17" s="175">
        <f t="shared" si="11"/>
        <v>10</v>
      </c>
      <c r="FF17" s="175">
        <f t="shared" si="12"/>
        <v>10</v>
      </c>
      <c r="FG17" s="37">
        <f t="shared" si="17"/>
        <v>15</v>
      </c>
      <c r="FH17" s="165">
        <f t="shared" si="13"/>
        <v>114</v>
      </c>
      <c r="FI17" s="165">
        <f>SUM(I7:ER7)-SUM(ES17:FF17)</f>
        <v>14</v>
      </c>
      <c r="FJ17" s="165">
        <f t="shared" si="16"/>
        <v>128</v>
      </c>
      <c r="FK17" s="7"/>
    </row>
    <row r="18" spans="1:167" ht="15" customHeight="1">
      <c r="A18" s="2"/>
      <c r="B18" s="3">
        <f t="shared" si="0"/>
        <v>1</v>
      </c>
      <c r="C18" s="182">
        <f t="shared" si="18"/>
        <v>11</v>
      </c>
      <c r="D18" s="183" t="s">
        <v>155</v>
      </c>
      <c r="E18" s="178"/>
      <c r="F18" s="177">
        <v>16</v>
      </c>
      <c r="G18" s="628">
        <v>45915</v>
      </c>
      <c r="H18" s="629"/>
      <c r="I18" s="96">
        <v>0</v>
      </c>
      <c r="J18" s="97">
        <v>0</v>
      </c>
      <c r="K18" s="97">
        <v>0</v>
      </c>
      <c r="L18" s="97">
        <v>0</v>
      </c>
      <c r="M18" s="97">
        <v>0</v>
      </c>
      <c r="N18" s="97">
        <v>0</v>
      </c>
      <c r="O18" s="97">
        <v>0</v>
      </c>
      <c r="P18" s="97">
        <v>0</v>
      </c>
      <c r="Q18" s="97">
        <v>0</v>
      </c>
      <c r="R18" s="98">
        <v>0</v>
      </c>
      <c r="S18" s="115">
        <v>1</v>
      </c>
      <c r="T18" s="116">
        <v>1</v>
      </c>
      <c r="U18" s="116">
        <v>1</v>
      </c>
      <c r="V18" s="116">
        <v>1</v>
      </c>
      <c r="W18" s="116">
        <v>1</v>
      </c>
      <c r="X18" s="116">
        <v>1</v>
      </c>
      <c r="Y18" s="116">
        <v>1</v>
      </c>
      <c r="Z18" s="116">
        <v>1</v>
      </c>
      <c r="AA18" s="116">
        <v>1</v>
      </c>
      <c r="AB18" s="117">
        <v>1</v>
      </c>
      <c r="AC18" s="88">
        <v>1</v>
      </c>
      <c r="AD18" s="89">
        <v>1</v>
      </c>
      <c r="AE18" s="89">
        <v>1</v>
      </c>
      <c r="AF18" s="89">
        <v>1</v>
      </c>
      <c r="AG18" s="592"/>
      <c r="AH18" s="593"/>
      <c r="AI18" s="89">
        <v>1</v>
      </c>
      <c r="AJ18" s="89">
        <v>1</v>
      </c>
      <c r="AK18" s="89">
        <v>1</v>
      </c>
      <c r="AL18" s="122">
        <v>1</v>
      </c>
      <c r="AM18" s="107">
        <v>1</v>
      </c>
      <c r="AN18" s="108">
        <v>1</v>
      </c>
      <c r="AO18" s="108">
        <v>0</v>
      </c>
      <c r="AP18" s="108">
        <v>0</v>
      </c>
      <c r="AQ18" s="108">
        <v>0</v>
      </c>
      <c r="AR18" s="108">
        <v>0</v>
      </c>
      <c r="AS18" s="108">
        <v>0</v>
      </c>
      <c r="AT18" s="108">
        <v>0</v>
      </c>
      <c r="AU18" s="108">
        <v>0</v>
      </c>
      <c r="AV18" s="131">
        <v>0</v>
      </c>
      <c r="AW18" s="126">
        <v>1</v>
      </c>
      <c r="AX18" s="127">
        <v>1</v>
      </c>
      <c r="AY18" s="127">
        <v>1</v>
      </c>
      <c r="AZ18" s="127">
        <v>1</v>
      </c>
      <c r="BA18" s="127">
        <v>1</v>
      </c>
      <c r="BB18" s="127">
        <v>1</v>
      </c>
      <c r="BC18" s="127">
        <v>1</v>
      </c>
      <c r="BD18" s="127">
        <v>1</v>
      </c>
      <c r="BE18" s="127">
        <v>0</v>
      </c>
      <c r="BF18" s="137">
        <v>0</v>
      </c>
      <c r="BG18" s="96">
        <v>0</v>
      </c>
      <c r="BH18" s="97">
        <v>0</v>
      </c>
      <c r="BI18" s="97">
        <v>0</v>
      </c>
      <c r="BJ18" s="97">
        <v>0</v>
      </c>
      <c r="BK18" s="97">
        <v>0</v>
      </c>
      <c r="BL18" s="100">
        <v>0</v>
      </c>
      <c r="BM18" s="100">
        <v>0</v>
      </c>
      <c r="BN18" s="100">
        <v>0</v>
      </c>
      <c r="BO18" s="100">
        <v>1</v>
      </c>
      <c r="BP18" s="101">
        <v>1</v>
      </c>
      <c r="BQ18" s="119">
        <v>1</v>
      </c>
      <c r="BR18" s="118">
        <v>1</v>
      </c>
      <c r="BS18" s="118">
        <v>1</v>
      </c>
      <c r="BT18" s="118">
        <v>1</v>
      </c>
      <c r="BU18" s="118">
        <v>1</v>
      </c>
      <c r="BV18" s="118">
        <v>1</v>
      </c>
      <c r="BW18" s="118">
        <v>1</v>
      </c>
      <c r="BX18" s="118">
        <v>1</v>
      </c>
      <c r="BY18" s="118">
        <v>1</v>
      </c>
      <c r="BZ18" s="120">
        <v>1</v>
      </c>
      <c r="CA18" s="537"/>
      <c r="CB18" s="538"/>
      <c r="CC18" s="538"/>
      <c r="CD18" s="538"/>
      <c r="CE18" s="538"/>
      <c r="CF18" s="538"/>
      <c r="CG18" s="538"/>
      <c r="CH18" s="538"/>
      <c r="CI18" s="538"/>
      <c r="CJ18" s="539"/>
      <c r="CK18" s="110">
        <v>1</v>
      </c>
      <c r="CL18" s="109">
        <v>1</v>
      </c>
      <c r="CM18" s="109">
        <v>1</v>
      </c>
      <c r="CN18" s="109">
        <v>1</v>
      </c>
      <c r="CO18" s="109">
        <v>1</v>
      </c>
      <c r="CP18" s="109">
        <v>1</v>
      </c>
      <c r="CQ18" s="109">
        <v>1</v>
      </c>
      <c r="CR18" s="109">
        <v>1</v>
      </c>
      <c r="CS18" s="109">
        <v>1</v>
      </c>
      <c r="CT18" s="111">
        <v>1</v>
      </c>
      <c r="CU18" s="128">
        <v>1</v>
      </c>
      <c r="CV18" s="129">
        <v>1</v>
      </c>
      <c r="CW18" s="129">
        <v>1</v>
      </c>
      <c r="CX18" s="129">
        <v>1</v>
      </c>
      <c r="CY18" s="129">
        <v>1</v>
      </c>
      <c r="CZ18" s="129">
        <v>1</v>
      </c>
      <c r="DA18" s="129">
        <v>1</v>
      </c>
      <c r="DB18" s="129">
        <v>1</v>
      </c>
      <c r="DC18" s="129">
        <v>1</v>
      </c>
      <c r="DD18" s="138">
        <v>1</v>
      </c>
      <c r="DE18" s="156">
        <v>1</v>
      </c>
      <c r="DF18" s="157">
        <v>1</v>
      </c>
      <c r="DG18" s="157">
        <v>1</v>
      </c>
      <c r="DH18" s="157">
        <v>1</v>
      </c>
      <c r="DI18" s="157">
        <v>1</v>
      </c>
      <c r="DJ18" s="157">
        <v>1</v>
      </c>
      <c r="DK18" s="157">
        <v>1</v>
      </c>
      <c r="DL18" s="157">
        <v>1</v>
      </c>
      <c r="DM18" s="157">
        <v>1</v>
      </c>
      <c r="DN18" s="158">
        <v>1</v>
      </c>
      <c r="DO18" s="119">
        <v>1</v>
      </c>
      <c r="DP18" s="118">
        <v>1</v>
      </c>
      <c r="DQ18" s="118">
        <v>1</v>
      </c>
      <c r="DR18" s="118">
        <v>1</v>
      </c>
      <c r="DS18" s="118">
        <v>1</v>
      </c>
      <c r="DT18" s="118">
        <v>1</v>
      </c>
      <c r="DU18" s="118">
        <v>1</v>
      </c>
      <c r="DV18" s="118">
        <v>1</v>
      </c>
      <c r="DW18" s="118">
        <v>1</v>
      </c>
      <c r="DX18" s="120">
        <v>1</v>
      </c>
      <c r="DY18" s="90">
        <v>1</v>
      </c>
      <c r="DZ18" s="91">
        <v>1</v>
      </c>
      <c r="EA18" s="91">
        <v>1</v>
      </c>
      <c r="EB18" s="91">
        <v>1</v>
      </c>
      <c r="EC18" s="91">
        <v>1</v>
      </c>
      <c r="ED18" s="91">
        <v>1</v>
      </c>
      <c r="EE18" s="91">
        <v>1</v>
      </c>
      <c r="EF18" s="91">
        <v>1</v>
      </c>
      <c r="EG18" s="91">
        <v>1</v>
      </c>
      <c r="EH18" s="92">
        <v>1</v>
      </c>
      <c r="EI18" s="110">
        <v>1</v>
      </c>
      <c r="EJ18" s="109">
        <v>1</v>
      </c>
      <c r="EK18" s="109">
        <v>1</v>
      </c>
      <c r="EL18" s="109">
        <v>1</v>
      </c>
      <c r="EM18" s="109">
        <v>1</v>
      </c>
      <c r="EN18" s="109">
        <v>1</v>
      </c>
      <c r="EO18" s="109">
        <v>1</v>
      </c>
      <c r="EP18" s="109">
        <v>1</v>
      </c>
      <c r="EQ18" s="109">
        <v>1</v>
      </c>
      <c r="ER18" s="132">
        <v>1</v>
      </c>
      <c r="ES18" s="175">
        <f t="shared" si="1"/>
        <v>0</v>
      </c>
      <c r="ET18" s="175">
        <f t="shared" si="2"/>
        <v>10</v>
      </c>
      <c r="EU18" s="175">
        <f t="shared" si="3"/>
        <v>8</v>
      </c>
      <c r="EV18" s="175">
        <f t="shared" si="4"/>
        <v>2</v>
      </c>
      <c r="EW18" s="175">
        <f t="shared" si="14"/>
        <v>2</v>
      </c>
      <c r="EX18" s="175">
        <f t="shared" si="15"/>
        <v>10</v>
      </c>
      <c r="EY18" s="175">
        <f t="shared" si="5"/>
        <v>10</v>
      </c>
      <c r="EZ18" s="176">
        <f t="shared" si="6"/>
        <v>0</v>
      </c>
      <c r="FA18" s="175">
        <f t="shared" si="7"/>
        <v>10</v>
      </c>
      <c r="FB18" s="175">
        <f t="shared" si="8"/>
        <v>10</v>
      </c>
      <c r="FC18" s="175">
        <f t="shared" si="9"/>
        <v>10</v>
      </c>
      <c r="FD18" s="175">
        <f t="shared" si="10"/>
        <v>10</v>
      </c>
      <c r="FE18" s="175">
        <f t="shared" si="11"/>
        <v>10</v>
      </c>
      <c r="FF18" s="175">
        <f t="shared" si="12"/>
        <v>10</v>
      </c>
      <c r="FG18" s="37">
        <f t="shared" si="17"/>
        <v>16</v>
      </c>
      <c r="FH18" s="165">
        <f t="shared" si="13"/>
        <v>102</v>
      </c>
      <c r="FI18" s="165">
        <f>SUM(I7:ER7)-SUM(ES18:FF18)</f>
        <v>26</v>
      </c>
      <c r="FJ18" s="165">
        <f t="shared" si="16"/>
        <v>128</v>
      </c>
      <c r="FK18" s="7"/>
    </row>
    <row r="19" spans="1:167" ht="15" customHeight="1">
      <c r="A19" s="2"/>
      <c r="B19" s="3">
        <f t="shared" si="0"/>
        <v>1</v>
      </c>
      <c r="C19" s="182">
        <f t="shared" si="18"/>
        <v>12</v>
      </c>
      <c r="D19" s="183" t="s">
        <v>156</v>
      </c>
      <c r="E19" s="178"/>
      <c r="F19" s="177">
        <v>16</v>
      </c>
      <c r="G19" s="628">
        <v>45915</v>
      </c>
      <c r="H19" s="629"/>
      <c r="I19" s="96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8">
        <v>0</v>
      </c>
      <c r="S19" s="115">
        <v>1</v>
      </c>
      <c r="T19" s="116">
        <v>1</v>
      </c>
      <c r="U19" s="116">
        <v>1</v>
      </c>
      <c r="V19" s="116">
        <v>1</v>
      </c>
      <c r="W19" s="116">
        <v>1</v>
      </c>
      <c r="X19" s="116">
        <v>1</v>
      </c>
      <c r="Y19" s="116">
        <v>1</v>
      </c>
      <c r="Z19" s="116">
        <v>1</v>
      </c>
      <c r="AA19" s="116">
        <v>1</v>
      </c>
      <c r="AB19" s="117">
        <v>1</v>
      </c>
      <c r="AC19" s="88">
        <v>1</v>
      </c>
      <c r="AD19" s="89">
        <v>1</v>
      </c>
      <c r="AE19" s="89">
        <v>1</v>
      </c>
      <c r="AF19" s="89">
        <v>1</v>
      </c>
      <c r="AG19" s="592"/>
      <c r="AH19" s="593"/>
      <c r="AI19" s="89">
        <v>1</v>
      </c>
      <c r="AJ19" s="89">
        <v>1</v>
      </c>
      <c r="AK19" s="89">
        <v>1</v>
      </c>
      <c r="AL19" s="122">
        <v>1</v>
      </c>
      <c r="AM19" s="107">
        <v>1</v>
      </c>
      <c r="AN19" s="108">
        <v>1</v>
      </c>
      <c r="AO19" s="108">
        <v>1</v>
      </c>
      <c r="AP19" s="108">
        <v>1</v>
      </c>
      <c r="AQ19" s="108">
        <v>1</v>
      </c>
      <c r="AR19" s="108">
        <v>1</v>
      </c>
      <c r="AS19" s="108">
        <v>1</v>
      </c>
      <c r="AT19" s="108">
        <v>1</v>
      </c>
      <c r="AU19" s="108">
        <v>1</v>
      </c>
      <c r="AV19" s="131">
        <v>1</v>
      </c>
      <c r="AW19" s="126">
        <v>1</v>
      </c>
      <c r="AX19" s="127">
        <v>1</v>
      </c>
      <c r="AY19" s="127">
        <v>1</v>
      </c>
      <c r="AZ19" s="127">
        <v>1</v>
      </c>
      <c r="BA19" s="127">
        <v>1</v>
      </c>
      <c r="BB19" s="127">
        <v>1</v>
      </c>
      <c r="BC19" s="127">
        <v>1</v>
      </c>
      <c r="BD19" s="127">
        <v>1</v>
      </c>
      <c r="BE19" s="127">
        <v>1</v>
      </c>
      <c r="BF19" s="137">
        <v>1</v>
      </c>
      <c r="BG19" s="96">
        <v>1</v>
      </c>
      <c r="BH19" s="97">
        <v>1</v>
      </c>
      <c r="BI19" s="97">
        <v>1</v>
      </c>
      <c r="BJ19" s="97">
        <v>1</v>
      </c>
      <c r="BK19" s="97">
        <v>1</v>
      </c>
      <c r="BL19" s="100">
        <v>1</v>
      </c>
      <c r="BM19" s="100">
        <v>1</v>
      </c>
      <c r="BN19" s="100">
        <v>1</v>
      </c>
      <c r="BO19" s="100">
        <v>1</v>
      </c>
      <c r="BP19" s="101">
        <v>1</v>
      </c>
      <c r="BQ19" s="119">
        <v>1</v>
      </c>
      <c r="BR19" s="118">
        <v>1</v>
      </c>
      <c r="BS19" s="118">
        <v>1</v>
      </c>
      <c r="BT19" s="118">
        <v>1</v>
      </c>
      <c r="BU19" s="118">
        <v>1</v>
      </c>
      <c r="BV19" s="118">
        <v>1</v>
      </c>
      <c r="BW19" s="118">
        <v>1</v>
      </c>
      <c r="BX19" s="118">
        <v>1</v>
      </c>
      <c r="BY19" s="118">
        <v>1</v>
      </c>
      <c r="BZ19" s="120">
        <v>1</v>
      </c>
      <c r="CA19" s="537"/>
      <c r="CB19" s="538"/>
      <c r="CC19" s="538"/>
      <c r="CD19" s="538"/>
      <c r="CE19" s="538"/>
      <c r="CF19" s="538"/>
      <c r="CG19" s="538"/>
      <c r="CH19" s="538"/>
      <c r="CI19" s="538"/>
      <c r="CJ19" s="539"/>
      <c r="CK19" s="110">
        <v>1</v>
      </c>
      <c r="CL19" s="109">
        <v>1</v>
      </c>
      <c r="CM19" s="109">
        <v>1</v>
      </c>
      <c r="CN19" s="109">
        <v>1</v>
      </c>
      <c r="CO19" s="109">
        <v>1</v>
      </c>
      <c r="CP19" s="109">
        <v>1</v>
      </c>
      <c r="CQ19" s="109">
        <v>1</v>
      </c>
      <c r="CR19" s="109">
        <v>1</v>
      </c>
      <c r="CS19" s="109">
        <v>1</v>
      </c>
      <c r="CT19" s="111">
        <v>1</v>
      </c>
      <c r="CU19" s="128">
        <v>1</v>
      </c>
      <c r="CV19" s="129">
        <v>1</v>
      </c>
      <c r="CW19" s="129">
        <v>1</v>
      </c>
      <c r="CX19" s="129">
        <v>1</v>
      </c>
      <c r="CY19" s="129">
        <v>1</v>
      </c>
      <c r="CZ19" s="129">
        <v>1</v>
      </c>
      <c r="DA19" s="129">
        <v>1</v>
      </c>
      <c r="DB19" s="129">
        <v>1</v>
      </c>
      <c r="DC19" s="129">
        <v>1</v>
      </c>
      <c r="DD19" s="138">
        <v>1</v>
      </c>
      <c r="DE19" s="156">
        <v>1</v>
      </c>
      <c r="DF19" s="157">
        <v>1</v>
      </c>
      <c r="DG19" s="157">
        <v>1</v>
      </c>
      <c r="DH19" s="157">
        <v>1</v>
      </c>
      <c r="DI19" s="157">
        <v>1</v>
      </c>
      <c r="DJ19" s="157">
        <v>1</v>
      </c>
      <c r="DK19" s="157">
        <v>1</v>
      </c>
      <c r="DL19" s="157">
        <v>1</v>
      </c>
      <c r="DM19" s="157">
        <v>1</v>
      </c>
      <c r="DN19" s="158">
        <v>1</v>
      </c>
      <c r="DO19" s="119">
        <v>1</v>
      </c>
      <c r="DP19" s="118">
        <v>1</v>
      </c>
      <c r="DQ19" s="118">
        <v>1</v>
      </c>
      <c r="DR19" s="118">
        <v>1</v>
      </c>
      <c r="DS19" s="118">
        <v>1</v>
      </c>
      <c r="DT19" s="118">
        <v>1</v>
      </c>
      <c r="DU19" s="118">
        <v>1</v>
      </c>
      <c r="DV19" s="118">
        <v>1</v>
      </c>
      <c r="DW19" s="118">
        <v>1</v>
      </c>
      <c r="DX19" s="120">
        <v>1</v>
      </c>
      <c r="DY19" s="90">
        <v>1</v>
      </c>
      <c r="DZ19" s="91">
        <v>1</v>
      </c>
      <c r="EA19" s="91">
        <v>1</v>
      </c>
      <c r="EB19" s="91">
        <v>1</v>
      </c>
      <c r="EC19" s="91">
        <v>1</v>
      </c>
      <c r="ED19" s="91">
        <v>1</v>
      </c>
      <c r="EE19" s="91">
        <v>1</v>
      </c>
      <c r="EF19" s="91">
        <v>1</v>
      </c>
      <c r="EG19" s="91">
        <v>1</v>
      </c>
      <c r="EH19" s="92">
        <v>1</v>
      </c>
      <c r="EI19" s="110">
        <v>1</v>
      </c>
      <c r="EJ19" s="109">
        <v>1</v>
      </c>
      <c r="EK19" s="109">
        <v>1</v>
      </c>
      <c r="EL19" s="109">
        <v>1</v>
      </c>
      <c r="EM19" s="109">
        <v>1</v>
      </c>
      <c r="EN19" s="109">
        <v>1</v>
      </c>
      <c r="EO19" s="109">
        <v>1</v>
      </c>
      <c r="EP19" s="109">
        <v>1</v>
      </c>
      <c r="EQ19" s="109">
        <v>1</v>
      </c>
      <c r="ER19" s="132">
        <v>1</v>
      </c>
      <c r="ES19" s="175">
        <f t="shared" si="1"/>
        <v>0</v>
      </c>
      <c r="ET19" s="175">
        <f t="shared" si="2"/>
        <v>10</v>
      </c>
      <c r="EU19" s="175">
        <f t="shared" si="3"/>
        <v>8</v>
      </c>
      <c r="EV19" s="175">
        <f t="shared" si="4"/>
        <v>10</v>
      </c>
      <c r="EW19" s="175">
        <f t="shared" si="14"/>
        <v>10</v>
      </c>
      <c r="EX19" s="175">
        <f t="shared" si="15"/>
        <v>10</v>
      </c>
      <c r="EY19" s="175">
        <f t="shared" si="5"/>
        <v>10</v>
      </c>
      <c r="EZ19" s="176">
        <f t="shared" si="6"/>
        <v>0</v>
      </c>
      <c r="FA19" s="175">
        <f t="shared" si="7"/>
        <v>10</v>
      </c>
      <c r="FB19" s="175">
        <f t="shared" si="8"/>
        <v>10</v>
      </c>
      <c r="FC19" s="175">
        <f t="shared" si="9"/>
        <v>10</v>
      </c>
      <c r="FD19" s="175">
        <f t="shared" si="10"/>
        <v>10</v>
      </c>
      <c r="FE19" s="175">
        <f t="shared" si="11"/>
        <v>10</v>
      </c>
      <c r="FF19" s="175">
        <f t="shared" si="12"/>
        <v>10</v>
      </c>
      <c r="FG19" s="37">
        <f t="shared" si="17"/>
        <v>17</v>
      </c>
      <c r="FH19" s="165">
        <f t="shared" si="13"/>
        <v>118</v>
      </c>
      <c r="FI19" s="165">
        <f>SUM(I7:ER7)-SUM(ES19:FF19)</f>
        <v>10</v>
      </c>
      <c r="FJ19" s="165">
        <f t="shared" si="16"/>
        <v>128</v>
      </c>
      <c r="FK19" s="7"/>
    </row>
    <row r="20" spans="1:167" ht="15" customHeight="1">
      <c r="A20" s="2"/>
      <c r="B20" s="3">
        <f t="shared" si="0"/>
        <v>1</v>
      </c>
      <c r="C20" s="182">
        <f t="shared" si="18"/>
        <v>13</v>
      </c>
      <c r="D20" s="183" t="s">
        <v>157</v>
      </c>
      <c r="E20" s="178"/>
      <c r="F20" s="177">
        <v>16</v>
      </c>
      <c r="G20" s="628">
        <v>45915</v>
      </c>
      <c r="H20" s="629"/>
      <c r="I20" s="96">
        <v>1</v>
      </c>
      <c r="J20" s="97">
        <v>1</v>
      </c>
      <c r="K20" s="97">
        <v>1</v>
      </c>
      <c r="L20" s="97">
        <v>1</v>
      </c>
      <c r="M20" s="97">
        <v>1</v>
      </c>
      <c r="N20" s="97">
        <v>1</v>
      </c>
      <c r="O20" s="97">
        <v>1</v>
      </c>
      <c r="P20" s="97">
        <v>1</v>
      </c>
      <c r="Q20" s="97">
        <v>1</v>
      </c>
      <c r="R20" s="98">
        <v>1</v>
      </c>
      <c r="S20" s="115">
        <v>1</v>
      </c>
      <c r="T20" s="116">
        <v>1</v>
      </c>
      <c r="U20" s="116">
        <v>1</v>
      </c>
      <c r="V20" s="116">
        <v>1</v>
      </c>
      <c r="W20" s="116">
        <v>1</v>
      </c>
      <c r="X20" s="116">
        <v>1</v>
      </c>
      <c r="Y20" s="116">
        <v>1</v>
      </c>
      <c r="Z20" s="116">
        <v>1</v>
      </c>
      <c r="AA20" s="116">
        <v>1</v>
      </c>
      <c r="AB20" s="117">
        <v>1</v>
      </c>
      <c r="AC20" s="88">
        <v>1</v>
      </c>
      <c r="AD20" s="89">
        <v>1</v>
      </c>
      <c r="AE20" s="89">
        <v>1</v>
      </c>
      <c r="AF20" s="89">
        <v>1</v>
      </c>
      <c r="AG20" s="592"/>
      <c r="AH20" s="593"/>
      <c r="AI20" s="89">
        <v>1</v>
      </c>
      <c r="AJ20" s="89">
        <v>1</v>
      </c>
      <c r="AK20" s="89">
        <v>1</v>
      </c>
      <c r="AL20" s="122">
        <v>1</v>
      </c>
      <c r="AM20" s="107">
        <v>1</v>
      </c>
      <c r="AN20" s="108">
        <v>1</v>
      </c>
      <c r="AO20" s="108">
        <v>1</v>
      </c>
      <c r="AP20" s="108">
        <v>1</v>
      </c>
      <c r="AQ20" s="108">
        <v>1</v>
      </c>
      <c r="AR20" s="108">
        <v>1</v>
      </c>
      <c r="AS20" s="108">
        <v>1</v>
      </c>
      <c r="AT20" s="108">
        <v>1</v>
      </c>
      <c r="AU20" s="108">
        <v>1</v>
      </c>
      <c r="AV20" s="131">
        <v>1</v>
      </c>
      <c r="AW20" s="126">
        <v>1</v>
      </c>
      <c r="AX20" s="127">
        <v>1</v>
      </c>
      <c r="AY20" s="127">
        <v>1</v>
      </c>
      <c r="AZ20" s="127">
        <v>1</v>
      </c>
      <c r="BA20" s="127">
        <v>1</v>
      </c>
      <c r="BB20" s="127">
        <v>1</v>
      </c>
      <c r="BC20" s="127">
        <v>1</v>
      </c>
      <c r="BD20" s="127">
        <v>1</v>
      </c>
      <c r="BE20" s="127">
        <v>1</v>
      </c>
      <c r="BF20" s="137">
        <v>1</v>
      </c>
      <c r="BG20" s="96">
        <v>1</v>
      </c>
      <c r="BH20" s="97">
        <v>1</v>
      </c>
      <c r="BI20" s="97">
        <v>1</v>
      </c>
      <c r="BJ20" s="97">
        <v>1</v>
      </c>
      <c r="BK20" s="97">
        <v>1</v>
      </c>
      <c r="BL20" s="100">
        <v>1</v>
      </c>
      <c r="BM20" s="100">
        <v>1</v>
      </c>
      <c r="BN20" s="100">
        <v>1</v>
      </c>
      <c r="BO20" s="100">
        <v>1</v>
      </c>
      <c r="BP20" s="101">
        <v>1</v>
      </c>
      <c r="BQ20" s="119">
        <v>1</v>
      </c>
      <c r="BR20" s="118">
        <v>1</v>
      </c>
      <c r="BS20" s="118">
        <v>1</v>
      </c>
      <c r="BT20" s="118">
        <v>1</v>
      </c>
      <c r="BU20" s="118">
        <v>1</v>
      </c>
      <c r="BV20" s="118">
        <v>1</v>
      </c>
      <c r="BW20" s="118">
        <v>0</v>
      </c>
      <c r="BX20" s="118">
        <v>0</v>
      </c>
      <c r="BY20" s="118">
        <v>0</v>
      </c>
      <c r="BZ20" s="120">
        <v>0</v>
      </c>
      <c r="CA20" s="537"/>
      <c r="CB20" s="538"/>
      <c r="CC20" s="538"/>
      <c r="CD20" s="538"/>
      <c r="CE20" s="538"/>
      <c r="CF20" s="538"/>
      <c r="CG20" s="538"/>
      <c r="CH20" s="538"/>
      <c r="CI20" s="538"/>
      <c r="CJ20" s="539"/>
      <c r="CK20" s="110">
        <v>1</v>
      </c>
      <c r="CL20" s="109">
        <v>1</v>
      </c>
      <c r="CM20" s="109">
        <v>1</v>
      </c>
      <c r="CN20" s="109">
        <v>1</v>
      </c>
      <c r="CO20" s="109">
        <v>1</v>
      </c>
      <c r="CP20" s="109">
        <v>1</v>
      </c>
      <c r="CQ20" s="109">
        <v>1</v>
      </c>
      <c r="CR20" s="109">
        <v>1</v>
      </c>
      <c r="CS20" s="109">
        <v>1</v>
      </c>
      <c r="CT20" s="111">
        <v>1</v>
      </c>
      <c r="CU20" s="128">
        <v>1</v>
      </c>
      <c r="CV20" s="129">
        <v>1</v>
      </c>
      <c r="CW20" s="129">
        <v>1</v>
      </c>
      <c r="CX20" s="129">
        <v>1</v>
      </c>
      <c r="CY20" s="129">
        <v>1</v>
      </c>
      <c r="CZ20" s="129">
        <v>1</v>
      </c>
      <c r="DA20" s="129">
        <v>1</v>
      </c>
      <c r="DB20" s="129">
        <v>1</v>
      </c>
      <c r="DC20" s="129">
        <v>1</v>
      </c>
      <c r="DD20" s="138">
        <v>1</v>
      </c>
      <c r="DE20" s="156">
        <v>1</v>
      </c>
      <c r="DF20" s="157">
        <v>1</v>
      </c>
      <c r="DG20" s="157">
        <v>1</v>
      </c>
      <c r="DH20" s="157">
        <v>1</v>
      </c>
      <c r="DI20" s="157">
        <v>1</v>
      </c>
      <c r="DJ20" s="157">
        <v>1</v>
      </c>
      <c r="DK20" s="157">
        <v>1</v>
      </c>
      <c r="DL20" s="157">
        <v>1</v>
      </c>
      <c r="DM20" s="157">
        <v>1</v>
      </c>
      <c r="DN20" s="158">
        <v>1</v>
      </c>
      <c r="DO20" s="119">
        <v>1</v>
      </c>
      <c r="DP20" s="118">
        <v>1</v>
      </c>
      <c r="DQ20" s="118">
        <v>1</v>
      </c>
      <c r="DR20" s="118">
        <v>1</v>
      </c>
      <c r="DS20" s="118">
        <v>1</v>
      </c>
      <c r="DT20" s="118">
        <v>1</v>
      </c>
      <c r="DU20" s="118">
        <v>1</v>
      </c>
      <c r="DV20" s="118">
        <v>1</v>
      </c>
      <c r="DW20" s="118">
        <v>1</v>
      </c>
      <c r="DX20" s="120">
        <v>1</v>
      </c>
      <c r="DY20" s="90">
        <v>1</v>
      </c>
      <c r="DZ20" s="91">
        <v>1</v>
      </c>
      <c r="EA20" s="91">
        <v>1</v>
      </c>
      <c r="EB20" s="91">
        <v>1</v>
      </c>
      <c r="EC20" s="91">
        <v>1</v>
      </c>
      <c r="ED20" s="91">
        <v>1</v>
      </c>
      <c r="EE20" s="91">
        <v>1</v>
      </c>
      <c r="EF20" s="91">
        <v>1</v>
      </c>
      <c r="EG20" s="91">
        <v>1</v>
      </c>
      <c r="EH20" s="92">
        <v>1</v>
      </c>
      <c r="EI20" s="110">
        <v>1</v>
      </c>
      <c r="EJ20" s="109">
        <v>1</v>
      </c>
      <c r="EK20" s="109">
        <v>1</v>
      </c>
      <c r="EL20" s="109">
        <v>1</v>
      </c>
      <c r="EM20" s="109">
        <v>1</v>
      </c>
      <c r="EN20" s="109">
        <v>1</v>
      </c>
      <c r="EO20" s="109">
        <v>1</v>
      </c>
      <c r="EP20" s="109">
        <v>1</v>
      </c>
      <c r="EQ20" s="109">
        <v>1</v>
      </c>
      <c r="ER20" s="132">
        <v>1</v>
      </c>
      <c r="ES20" s="175">
        <f t="shared" si="1"/>
        <v>10</v>
      </c>
      <c r="ET20" s="175">
        <f t="shared" si="2"/>
        <v>10</v>
      </c>
      <c r="EU20" s="175">
        <f t="shared" si="3"/>
        <v>8</v>
      </c>
      <c r="EV20" s="175">
        <f t="shared" si="4"/>
        <v>10</v>
      </c>
      <c r="EW20" s="175">
        <f t="shared" si="14"/>
        <v>10</v>
      </c>
      <c r="EX20" s="175">
        <f t="shared" si="15"/>
        <v>6</v>
      </c>
      <c r="EY20" s="175">
        <f t="shared" si="5"/>
        <v>6</v>
      </c>
      <c r="EZ20" s="176">
        <f t="shared" si="6"/>
        <v>0</v>
      </c>
      <c r="FA20" s="175">
        <f t="shared" si="7"/>
        <v>10</v>
      </c>
      <c r="FB20" s="175">
        <f t="shared" si="8"/>
        <v>10</v>
      </c>
      <c r="FC20" s="175">
        <f t="shared" si="9"/>
        <v>10</v>
      </c>
      <c r="FD20" s="175">
        <f t="shared" si="10"/>
        <v>10</v>
      </c>
      <c r="FE20" s="175">
        <f t="shared" si="11"/>
        <v>10</v>
      </c>
      <c r="FF20" s="175">
        <f t="shared" si="12"/>
        <v>10</v>
      </c>
      <c r="FG20" s="37">
        <f t="shared" si="17"/>
        <v>18</v>
      </c>
      <c r="FH20" s="165">
        <f t="shared" si="13"/>
        <v>120</v>
      </c>
      <c r="FI20" s="165">
        <f>SUM(I7:ER7)-SUM(ES20:FF20)</f>
        <v>8</v>
      </c>
      <c r="FJ20" s="165">
        <f t="shared" si="16"/>
        <v>128</v>
      </c>
      <c r="FK20" s="7"/>
    </row>
    <row r="21" spans="1:167" ht="15" customHeight="1">
      <c r="A21" s="2"/>
      <c r="B21" s="3">
        <f t="shared" si="0"/>
        <v>1</v>
      </c>
      <c r="C21" s="182">
        <f t="shared" si="18"/>
        <v>14</v>
      </c>
      <c r="D21" s="183" t="s">
        <v>158</v>
      </c>
      <c r="E21" s="178"/>
      <c r="F21" s="177">
        <v>15</v>
      </c>
      <c r="G21" s="628">
        <v>45915</v>
      </c>
      <c r="H21" s="629"/>
      <c r="I21" s="96">
        <v>0</v>
      </c>
      <c r="J21" s="97">
        <v>0</v>
      </c>
      <c r="K21" s="97">
        <v>0</v>
      </c>
      <c r="L21" s="97">
        <v>0</v>
      </c>
      <c r="M21" s="97">
        <v>0</v>
      </c>
      <c r="N21" s="97">
        <v>0</v>
      </c>
      <c r="O21" s="97">
        <v>0</v>
      </c>
      <c r="P21" s="97">
        <v>0</v>
      </c>
      <c r="Q21" s="97">
        <v>0</v>
      </c>
      <c r="R21" s="98">
        <v>0</v>
      </c>
      <c r="S21" s="115">
        <v>0</v>
      </c>
      <c r="T21" s="116">
        <v>0</v>
      </c>
      <c r="U21" s="116">
        <v>1</v>
      </c>
      <c r="V21" s="116">
        <v>1</v>
      </c>
      <c r="W21" s="116">
        <v>1</v>
      </c>
      <c r="X21" s="116">
        <v>1</v>
      </c>
      <c r="Y21" s="116">
        <v>1</v>
      </c>
      <c r="Z21" s="116">
        <v>1</v>
      </c>
      <c r="AA21" s="116">
        <v>1</v>
      </c>
      <c r="AB21" s="117">
        <v>1</v>
      </c>
      <c r="AC21" s="88">
        <v>1</v>
      </c>
      <c r="AD21" s="89">
        <v>1</v>
      </c>
      <c r="AE21" s="89">
        <v>1</v>
      </c>
      <c r="AF21" s="89">
        <v>1</v>
      </c>
      <c r="AG21" s="592"/>
      <c r="AH21" s="593"/>
      <c r="AI21" s="89">
        <v>1</v>
      </c>
      <c r="AJ21" s="89">
        <v>1</v>
      </c>
      <c r="AK21" s="89">
        <v>1</v>
      </c>
      <c r="AL21" s="122">
        <v>1</v>
      </c>
      <c r="AM21" s="107">
        <v>0</v>
      </c>
      <c r="AN21" s="108">
        <v>0</v>
      </c>
      <c r="AO21" s="108">
        <v>1</v>
      </c>
      <c r="AP21" s="108">
        <v>1</v>
      </c>
      <c r="AQ21" s="108">
        <v>1</v>
      </c>
      <c r="AR21" s="108">
        <v>1</v>
      </c>
      <c r="AS21" s="108">
        <v>1</v>
      </c>
      <c r="AT21" s="108">
        <v>1</v>
      </c>
      <c r="AU21" s="108">
        <v>1</v>
      </c>
      <c r="AV21" s="131">
        <v>1</v>
      </c>
      <c r="AW21" s="126">
        <v>1</v>
      </c>
      <c r="AX21" s="127">
        <v>1</v>
      </c>
      <c r="AY21" s="127">
        <v>1</v>
      </c>
      <c r="AZ21" s="127">
        <v>1</v>
      </c>
      <c r="BA21" s="127">
        <v>1</v>
      </c>
      <c r="BB21" s="127">
        <v>1</v>
      </c>
      <c r="BC21" s="127">
        <v>1</v>
      </c>
      <c r="BD21" s="127">
        <v>1</v>
      </c>
      <c r="BE21" s="127">
        <v>1</v>
      </c>
      <c r="BF21" s="137">
        <v>1</v>
      </c>
      <c r="BG21" s="96">
        <v>1</v>
      </c>
      <c r="BH21" s="97">
        <v>1</v>
      </c>
      <c r="BI21" s="97">
        <v>1</v>
      </c>
      <c r="BJ21" s="97">
        <v>1</v>
      </c>
      <c r="BK21" s="97">
        <v>1</v>
      </c>
      <c r="BL21" s="100">
        <v>1</v>
      </c>
      <c r="BM21" s="100">
        <v>1</v>
      </c>
      <c r="BN21" s="100">
        <v>1</v>
      </c>
      <c r="BO21" s="100">
        <v>1</v>
      </c>
      <c r="BP21" s="101">
        <v>1</v>
      </c>
      <c r="BQ21" s="119">
        <v>1</v>
      </c>
      <c r="BR21" s="118">
        <v>1</v>
      </c>
      <c r="BS21" s="118">
        <v>1</v>
      </c>
      <c r="BT21" s="118">
        <v>1</v>
      </c>
      <c r="BU21" s="118">
        <v>1</v>
      </c>
      <c r="BV21" s="118">
        <v>1</v>
      </c>
      <c r="BW21" s="118">
        <v>1</v>
      </c>
      <c r="BX21" s="118">
        <v>1</v>
      </c>
      <c r="BY21" s="118">
        <v>1</v>
      </c>
      <c r="BZ21" s="120">
        <v>1</v>
      </c>
      <c r="CA21" s="537"/>
      <c r="CB21" s="538"/>
      <c r="CC21" s="538"/>
      <c r="CD21" s="538"/>
      <c r="CE21" s="538"/>
      <c r="CF21" s="538"/>
      <c r="CG21" s="538"/>
      <c r="CH21" s="538"/>
      <c r="CI21" s="538"/>
      <c r="CJ21" s="539"/>
      <c r="CK21" s="110">
        <v>1</v>
      </c>
      <c r="CL21" s="109">
        <v>1</v>
      </c>
      <c r="CM21" s="109">
        <v>1</v>
      </c>
      <c r="CN21" s="109">
        <v>1</v>
      </c>
      <c r="CO21" s="109">
        <v>1</v>
      </c>
      <c r="CP21" s="109">
        <v>1</v>
      </c>
      <c r="CQ21" s="109">
        <v>1</v>
      </c>
      <c r="CR21" s="109">
        <v>1</v>
      </c>
      <c r="CS21" s="109">
        <v>1</v>
      </c>
      <c r="CT21" s="111">
        <v>1</v>
      </c>
      <c r="CU21" s="128">
        <v>1</v>
      </c>
      <c r="CV21" s="129">
        <v>1</v>
      </c>
      <c r="CW21" s="129">
        <v>1</v>
      </c>
      <c r="CX21" s="129">
        <v>1</v>
      </c>
      <c r="CY21" s="129">
        <v>1</v>
      </c>
      <c r="CZ21" s="129">
        <v>1</v>
      </c>
      <c r="DA21" s="129">
        <v>1</v>
      </c>
      <c r="DB21" s="129">
        <v>1</v>
      </c>
      <c r="DC21" s="129">
        <v>1</v>
      </c>
      <c r="DD21" s="138">
        <v>1</v>
      </c>
      <c r="DE21" s="156">
        <v>1</v>
      </c>
      <c r="DF21" s="157">
        <v>1</v>
      </c>
      <c r="DG21" s="157">
        <v>1</v>
      </c>
      <c r="DH21" s="157">
        <v>1</v>
      </c>
      <c r="DI21" s="157">
        <v>1</v>
      </c>
      <c r="DJ21" s="157">
        <v>1</v>
      </c>
      <c r="DK21" s="157">
        <v>1</v>
      </c>
      <c r="DL21" s="157">
        <v>1</v>
      </c>
      <c r="DM21" s="157">
        <v>1</v>
      </c>
      <c r="DN21" s="158">
        <v>1</v>
      </c>
      <c r="DO21" s="119">
        <v>1</v>
      </c>
      <c r="DP21" s="118">
        <v>1</v>
      </c>
      <c r="DQ21" s="118">
        <v>1</v>
      </c>
      <c r="DR21" s="118">
        <v>1</v>
      </c>
      <c r="DS21" s="118">
        <v>1</v>
      </c>
      <c r="DT21" s="118">
        <v>1</v>
      </c>
      <c r="DU21" s="118">
        <v>1</v>
      </c>
      <c r="DV21" s="118">
        <v>1</v>
      </c>
      <c r="DW21" s="118">
        <v>1</v>
      </c>
      <c r="DX21" s="120">
        <v>1</v>
      </c>
      <c r="DY21" s="90">
        <v>1</v>
      </c>
      <c r="DZ21" s="91">
        <v>1</v>
      </c>
      <c r="EA21" s="91">
        <v>1</v>
      </c>
      <c r="EB21" s="91">
        <v>1</v>
      </c>
      <c r="EC21" s="91">
        <v>1</v>
      </c>
      <c r="ED21" s="91">
        <v>1</v>
      </c>
      <c r="EE21" s="91">
        <v>1</v>
      </c>
      <c r="EF21" s="91">
        <v>1</v>
      </c>
      <c r="EG21" s="91">
        <v>1</v>
      </c>
      <c r="EH21" s="92">
        <v>1</v>
      </c>
      <c r="EI21" s="110">
        <v>1</v>
      </c>
      <c r="EJ21" s="109">
        <v>1</v>
      </c>
      <c r="EK21" s="109">
        <v>1</v>
      </c>
      <c r="EL21" s="109">
        <v>1</v>
      </c>
      <c r="EM21" s="109">
        <v>1</v>
      </c>
      <c r="EN21" s="109">
        <v>1</v>
      </c>
      <c r="EO21" s="109">
        <v>1</v>
      </c>
      <c r="EP21" s="109">
        <v>1</v>
      </c>
      <c r="EQ21" s="109">
        <v>1</v>
      </c>
      <c r="ER21" s="132">
        <v>1</v>
      </c>
      <c r="ES21" s="175">
        <f t="shared" si="1"/>
        <v>0</v>
      </c>
      <c r="ET21" s="175">
        <f t="shared" si="2"/>
        <v>8</v>
      </c>
      <c r="EU21" s="175">
        <f t="shared" si="3"/>
        <v>8</v>
      </c>
      <c r="EV21" s="175">
        <f t="shared" si="4"/>
        <v>8</v>
      </c>
      <c r="EW21" s="175">
        <f t="shared" si="14"/>
        <v>10</v>
      </c>
      <c r="EX21" s="175">
        <f t="shared" si="15"/>
        <v>10</v>
      </c>
      <c r="EY21" s="175">
        <f t="shared" si="5"/>
        <v>10</v>
      </c>
      <c r="EZ21" s="176">
        <f t="shared" si="6"/>
        <v>0</v>
      </c>
      <c r="FA21" s="175">
        <f t="shared" si="7"/>
        <v>10</v>
      </c>
      <c r="FB21" s="175">
        <f t="shared" si="8"/>
        <v>10</v>
      </c>
      <c r="FC21" s="175">
        <f t="shared" si="9"/>
        <v>10</v>
      </c>
      <c r="FD21" s="175">
        <f t="shared" si="10"/>
        <v>10</v>
      </c>
      <c r="FE21" s="175">
        <f t="shared" si="11"/>
        <v>10</v>
      </c>
      <c r="FF21" s="175">
        <f t="shared" si="12"/>
        <v>10</v>
      </c>
      <c r="FG21" s="37">
        <f t="shared" si="17"/>
        <v>19</v>
      </c>
      <c r="FH21" s="165">
        <f t="shared" si="13"/>
        <v>114</v>
      </c>
      <c r="FI21" s="165">
        <f>SUM(I7:ER7)-SUM(ES21:FF21)</f>
        <v>14</v>
      </c>
      <c r="FJ21" s="165">
        <f t="shared" si="16"/>
        <v>128</v>
      </c>
      <c r="FK21" s="7"/>
    </row>
    <row r="22" spans="1:167" ht="15" customHeight="1">
      <c r="A22" s="2"/>
      <c r="B22" s="3">
        <f t="shared" si="0"/>
        <v>1</v>
      </c>
      <c r="C22" s="182">
        <f t="shared" si="18"/>
        <v>15</v>
      </c>
      <c r="D22" s="183" t="s">
        <v>159</v>
      </c>
      <c r="E22" s="178"/>
      <c r="F22" s="177">
        <v>17</v>
      </c>
      <c r="G22" s="628">
        <v>45915</v>
      </c>
      <c r="H22" s="629"/>
      <c r="I22" s="96">
        <v>1</v>
      </c>
      <c r="J22" s="97">
        <v>1</v>
      </c>
      <c r="K22" s="97">
        <v>1</v>
      </c>
      <c r="L22" s="97">
        <v>1</v>
      </c>
      <c r="M22" s="97">
        <v>1</v>
      </c>
      <c r="N22" s="97">
        <v>1</v>
      </c>
      <c r="O22" s="97">
        <v>1</v>
      </c>
      <c r="P22" s="97">
        <v>1</v>
      </c>
      <c r="Q22" s="97">
        <v>1</v>
      </c>
      <c r="R22" s="98">
        <v>1</v>
      </c>
      <c r="S22" s="115">
        <v>1</v>
      </c>
      <c r="T22" s="116">
        <v>1</v>
      </c>
      <c r="U22" s="116">
        <v>1</v>
      </c>
      <c r="V22" s="116">
        <v>1</v>
      </c>
      <c r="W22" s="116">
        <v>1</v>
      </c>
      <c r="X22" s="116">
        <v>1</v>
      </c>
      <c r="Y22" s="116">
        <v>1</v>
      </c>
      <c r="Z22" s="116">
        <v>1</v>
      </c>
      <c r="AA22" s="116">
        <v>1</v>
      </c>
      <c r="AB22" s="117">
        <v>1</v>
      </c>
      <c r="AC22" s="88">
        <v>1</v>
      </c>
      <c r="AD22" s="89">
        <v>1</v>
      </c>
      <c r="AE22" s="89">
        <v>1</v>
      </c>
      <c r="AF22" s="89">
        <v>1</v>
      </c>
      <c r="AG22" s="592"/>
      <c r="AH22" s="593"/>
      <c r="AI22" s="89">
        <v>1</v>
      </c>
      <c r="AJ22" s="89">
        <v>1</v>
      </c>
      <c r="AK22" s="89">
        <v>1</v>
      </c>
      <c r="AL22" s="122">
        <v>1</v>
      </c>
      <c r="AM22" s="107">
        <v>1</v>
      </c>
      <c r="AN22" s="108">
        <v>1</v>
      </c>
      <c r="AO22" s="108">
        <v>1</v>
      </c>
      <c r="AP22" s="108">
        <v>1</v>
      </c>
      <c r="AQ22" s="108">
        <v>1</v>
      </c>
      <c r="AR22" s="108">
        <v>1</v>
      </c>
      <c r="AS22" s="108">
        <v>1</v>
      </c>
      <c r="AT22" s="108">
        <v>1</v>
      </c>
      <c r="AU22" s="108">
        <v>1</v>
      </c>
      <c r="AV22" s="131">
        <v>1</v>
      </c>
      <c r="AW22" s="126">
        <v>1</v>
      </c>
      <c r="AX22" s="127">
        <v>1</v>
      </c>
      <c r="AY22" s="127">
        <v>1</v>
      </c>
      <c r="AZ22" s="127">
        <v>1</v>
      </c>
      <c r="BA22" s="127">
        <v>1</v>
      </c>
      <c r="BB22" s="127">
        <v>1</v>
      </c>
      <c r="BC22" s="127">
        <v>1</v>
      </c>
      <c r="BD22" s="127">
        <v>1</v>
      </c>
      <c r="BE22" s="127">
        <v>1</v>
      </c>
      <c r="BF22" s="137">
        <v>1</v>
      </c>
      <c r="BG22" s="96">
        <v>1</v>
      </c>
      <c r="BH22" s="97">
        <v>1</v>
      </c>
      <c r="BI22" s="97">
        <v>1</v>
      </c>
      <c r="BJ22" s="97">
        <v>1</v>
      </c>
      <c r="BK22" s="97">
        <v>1</v>
      </c>
      <c r="BL22" s="100">
        <v>1</v>
      </c>
      <c r="BM22" s="100">
        <v>1</v>
      </c>
      <c r="BN22" s="100">
        <v>1</v>
      </c>
      <c r="BO22" s="100">
        <v>1</v>
      </c>
      <c r="BP22" s="101">
        <v>1</v>
      </c>
      <c r="BQ22" s="119">
        <v>1</v>
      </c>
      <c r="BR22" s="118">
        <v>1</v>
      </c>
      <c r="BS22" s="118">
        <v>1</v>
      </c>
      <c r="BT22" s="118">
        <v>1</v>
      </c>
      <c r="BU22" s="118">
        <v>1</v>
      </c>
      <c r="BV22" s="118">
        <v>1</v>
      </c>
      <c r="BW22" s="118">
        <v>1</v>
      </c>
      <c r="BX22" s="118">
        <v>1</v>
      </c>
      <c r="BY22" s="118">
        <v>1</v>
      </c>
      <c r="BZ22" s="120">
        <v>1</v>
      </c>
      <c r="CA22" s="537"/>
      <c r="CB22" s="538"/>
      <c r="CC22" s="538"/>
      <c r="CD22" s="538"/>
      <c r="CE22" s="538"/>
      <c r="CF22" s="538"/>
      <c r="CG22" s="538"/>
      <c r="CH22" s="538"/>
      <c r="CI22" s="538"/>
      <c r="CJ22" s="539"/>
      <c r="CK22" s="110">
        <v>1</v>
      </c>
      <c r="CL22" s="109">
        <v>1</v>
      </c>
      <c r="CM22" s="109">
        <v>1</v>
      </c>
      <c r="CN22" s="109">
        <v>1</v>
      </c>
      <c r="CO22" s="109">
        <v>1</v>
      </c>
      <c r="CP22" s="109">
        <v>1</v>
      </c>
      <c r="CQ22" s="109">
        <v>1</v>
      </c>
      <c r="CR22" s="109">
        <v>1</v>
      </c>
      <c r="CS22" s="109">
        <v>1</v>
      </c>
      <c r="CT22" s="111">
        <v>1</v>
      </c>
      <c r="CU22" s="128">
        <v>1</v>
      </c>
      <c r="CV22" s="129">
        <v>1</v>
      </c>
      <c r="CW22" s="129">
        <v>1</v>
      </c>
      <c r="CX22" s="129">
        <v>1</v>
      </c>
      <c r="CY22" s="129">
        <v>1</v>
      </c>
      <c r="CZ22" s="129">
        <v>1</v>
      </c>
      <c r="DA22" s="129">
        <v>1</v>
      </c>
      <c r="DB22" s="129">
        <v>1</v>
      </c>
      <c r="DC22" s="129">
        <v>1</v>
      </c>
      <c r="DD22" s="138">
        <v>1</v>
      </c>
      <c r="DE22" s="156">
        <v>1</v>
      </c>
      <c r="DF22" s="157">
        <v>1</v>
      </c>
      <c r="DG22" s="157">
        <v>1</v>
      </c>
      <c r="DH22" s="157">
        <v>1</v>
      </c>
      <c r="DI22" s="157">
        <v>1</v>
      </c>
      <c r="DJ22" s="157">
        <v>1</v>
      </c>
      <c r="DK22" s="157">
        <v>1</v>
      </c>
      <c r="DL22" s="157">
        <v>1</v>
      </c>
      <c r="DM22" s="157">
        <v>1</v>
      </c>
      <c r="DN22" s="158">
        <v>1</v>
      </c>
      <c r="DO22" s="119">
        <v>1</v>
      </c>
      <c r="DP22" s="118">
        <v>1</v>
      </c>
      <c r="DQ22" s="118">
        <v>1</v>
      </c>
      <c r="DR22" s="118">
        <v>1</v>
      </c>
      <c r="DS22" s="118">
        <v>1</v>
      </c>
      <c r="DT22" s="118">
        <v>1</v>
      </c>
      <c r="DU22" s="118">
        <v>1</v>
      </c>
      <c r="DV22" s="118">
        <v>1</v>
      </c>
      <c r="DW22" s="118">
        <v>1</v>
      </c>
      <c r="DX22" s="120">
        <v>1</v>
      </c>
      <c r="DY22" s="90">
        <v>1</v>
      </c>
      <c r="DZ22" s="91">
        <v>1</v>
      </c>
      <c r="EA22" s="91">
        <v>1</v>
      </c>
      <c r="EB22" s="91">
        <v>1</v>
      </c>
      <c r="EC22" s="91">
        <v>1</v>
      </c>
      <c r="ED22" s="91">
        <v>1</v>
      </c>
      <c r="EE22" s="91">
        <v>0</v>
      </c>
      <c r="EF22" s="91">
        <v>0</v>
      </c>
      <c r="EG22" s="91">
        <v>1</v>
      </c>
      <c r="EH22" s="92">
        <v>1</v>
      </c>
      <c r="EI22" s="110">
        <v>1</v>
      </c>
      <c r="EJ22" s="109">
        <v>1</v>
      </c>
      <c r="EK22" s="109">
        <v>1</v>
      </c>
      <c r="EL22" s="109">
        <v>1</v>
      </c>
      <c r="EM22" s="109">
        <v>1</v>
      </c>
      <c r="EN22" s="109">
        <v>1</v>
      </c>
      <c r="EO22" s="109">
        <v>1</v>
      </c>
      <c r="EP22" s="109">
        <v>1</v>
      </c>
      <c r="EQ22" s="109">
        <v>1</v>
      </c>
      <c r="ER22" s="132">
        <v>1</v>
      </c>
      <c r="ES22" s="175">
        <f t="shared" si="1"/>
        <v>10</v>
      </c>
      <c r="ET22" s="175">
        <f t="shared" si="2"/>
        <v>10</v>
      </c>
      <c r="EU22" s="175">
        <f t="shared" si="3"/>
        <v>8</v>
      </c>
      <c r="EV22" s="175">
        <f t="shared" si="4"/>
        <v>10</v>
      </c>
      <c r="EW22" s="175">
        <f t="shared" si="14"/>
        <v>10</v>
      </c>
      <c r="EX22" s="175">
        <f t="shared" si="15"/>
        <v>10</v>
      </c>
      <c r="EY22" s="175">
        <f t="shared" si="5"/>
        <v>10</v>
      </c>
      <c r="EZ22" s="176">
        <f t="shared" si="6"/>
        <v>0</v>
      </c>
      <c r="FA22" s="175">
        <f t="shared" si="7"/>
        <v>10</v>
      </c>
      <c r="FB22" s="175">
        <f t="shared" si="8"/>
        <v>10</v>
      </c>
      <c r="FC22" s="175">
        <f t="shared" si="9"/>
        <v>10</v>
      </c>
      <c r="FD22" s="175">
        <f t="shared" si="10"/>
        <v>10</v>
      </c>
      <c r="FE22" s="175">
        <f t="shared" si="11"/>
        <v>8</v>
      </c>
      <c r="FF22" s="175">
        <f t="shared" si="12"/>
        <v>10</v>
      </c>
      <c r="FG22" s="37">
        <f t="shared" si="17"/>
        <v>20</v>
      </c>
      <c r="FH22" s="165">
        <f t="shared" si="13"/>
        <v>126</v>
      </c>
      <c r="FI22" s="165">
        <f>SUM(I7:ER7)-SUM(ES22:FF22)</f>
        <v>2</v>
      </c>
      <c r="FJ22" s="165">
        <f t="shared" si="16"/>
        <v>128</v>
      </c>
      <c r="FK22" s="7"/>
    </row>
    <row r="23" spans="1:167" ht="15" customHeight="1">
      <c r="A23" s="2"/>
      <c r="B23" s="3">
        <f t="shared" si="0"/>
        <v>1</v>
      </c>
      <c r="C23" s="182">
        <f t="shared" si="18"/>
        <v>16</v>
      </c>
      <c r="D23" s="183" t="s">
        <v>160</v>
      </c>
      <c r="E23" s="178"/>
      <c r="F23" s="177">
        <v>17</v>
      </c>
      <c r="G23" s="628">
        <v>45915</v>
      </c>
      <c r="H23" s="629"/>
      <c r="I23" s="96">
        <v>1</v>
      </c>
      <c r="J23" s="97">
        <v>1</v>
      </c>
      <c r="K23" s="97">
        <v>1</v>
      </c>
      <c r="L23" s="97">
        <v>1</v>
      </c>
      <c r="M23" s="97">
        <v>1</v>
      </c>
      <c r="N23" s="97">
        <v>1</v>
      </c>
      <c r="O23" s="97">
        <v>1</v>
      </c>
      <c r="P23" s="97">
        <v>1</v>
      </c>
      <c r="Q23" s="97">
        <v>1</v>
      </c>
      <c r="R23" s="98">
        <v>1</v>
      </c>
      <c r="S23" s="115">
        <v>1</v>
      </c>
      <c r="T23" s="116">
        <v>1</v>
      </c>
      <c r="U23" s="116">
        <v>1</v>
      </c>
      <c r="V23" s="116">
        <v>1</v>
      </c>
      <c r="W23" s="116">
        <v>1</v>
      </c>
      <c r="X23" s="116">
        <v>1</v>
      </c>
      <c r="Y23" s="116">
        <v>1</v>
      </c>
      <c r="Z23" s="116">
        <v>1</v>
      </c>
      <c r="AA23" s="116">
        <v>1</v>
      </c>
      <c r="AB23" s="117">
        <v>1</v>
      </c>
      <c r="AC23" s="88">
        <v>1</v>
      </c>
      <c r="AD23" s="89">
        <v>1</v>
      </c>
      <c r="AE23" s="89">
        <v>1</v>
      </c>
      <c r="AF23" s="89">
        <v>1</v>
      </c>
      <c r="AG23" s="592"/>
      <c r="AH23" s="593"/>
      <c r="AI23" s="89">
        <v>1</v>
      </c>
      <c r="AJ23" s="89">
        <v>1</v>
      </c>
      <c r="AK23" s="89">
        <v>1</v>
      </c>
      <c r="AL23" s="122">
        <v>1</v>
      </c>
      <c r="AM23" s="107">
        <v>1</v>
      </c>
      <c r="AN23" s="108">
        <v>1</v>
      </c>
      <c r="AO23" s="108">
        <v>1</v>
      </c>
      <c r="AP23" s="108">
        <v>1</v>
      </c>
      <c r="AQ23" s="108">
        <v>0</v>
      </c>
      <c r="AR23" s="108">
        <v>0</v>
      </c>
      <c r="AS23" s="108">
        <v>1</v>
      </c>
      <c r="AT23" s="108">
        <v>1</v>
      </c>
      <c r="AU23" s="108">
        <v>1</v>
      </c>
      <c r="AV23" s="131">
        <v>1</v>
      </c>
      <c r="AW23" s="126">
        <v>1</v>
      </c>
      <c r="AX23" s="127">
        <v>1</v>
      </c>
      <c r="AY23" s="127">
        <v>1</v>
      </c>
      <c r="AZ23" s="127">
        <v>1</v>
      </c>
      <c r="BA23" s="127">
        <v>1</v>
      </c>
      <c r="BB23" s="127">
        <v>1</v>
      </c>
      <c r="BC23" s="127">
        <v>1</v>
      </c>
      <c r="BD23" s="127">
        <v>1</v>
      </c>
      <c r="BE23" s="127">
        <v>1</v>
      </c>
      <c r="BF23" s="137">
        <v>1</v>
      </c>
      <c r="BG23" s="96">
        <v>1</v>
      </c>
      <c r="BH23" s="97">
        <v>1</v>
      </c>
      <c r="BI23" s="97">
        <v>1</v>
      </c>
      <c r="BJ23" s="97">
        <v>1</v>
      </c>
      <c r="BK23" s="97">
        <v>1</v>
      </c>
      <c r="BL23" s="100">
        <v>1</v>
      </c>
      <c r="BM23" s="100">
        <v>1</v>
      </c>
      <c r="BN23" s="100">
        <v>1</v>
      </c>
      <c r="BO23" s="100">
        <v>1</v>
      </c>
      <c r="BP23" s="101">
        <v>1</v>
      </c>
      <c r="BQ23" s="119">
        <v>1</v>
      </c>
      <c r="BR23" s="118">
        <v>1</v>
      </c>
      <c r="BS23" s="118">
        <v>1</v>
      </c>
      <c r="BT23" s="118">
        <v>1</v>
      </c>
      <c r="BU23" s="118">
        <v>1</v>
      </c>
      <c r="BV23" s="118">
        <v>1</v>
      </c>
      <c r="BW23" s="118">
        <v>1</v>
      </c>
      <c r="BX23" s="118">
        <v>1</v>
      </c>
      <c r="BY23" s="118">
        <v>1</v>
      </c>
      <c r="BZ23" s="120">
        <v>1</v>
      </c>
      <c r="CA23" s="537"/>
      <c r="CB23" s="538"/>
      <c r="CC23" s="538"/>
      <c r="CD23" s="538"/>
      <c r="CE23" s="538"/>
      <c r="CF23" s="538"/>
      <c r="CG23" s="538"/>
      <c r="CH23" s="538"/>
      <c r="CI23" s="538"/>
      <c r="CJ23" s="539"/>
      <c r="CK23" s="110">
        <v>1</v>
      </c>
      <c r="CL23" s="109">
        <v>1</v>
      </c>
      <c r="CM23" s="109">
        <v>1</v>
      </c>
      <c r="CN23" s="109">
        <v>1</v>
      </c>
      <c r="CO23" s="109">
        <v>1</v>
      </c>
      <c r="CP23" s="109">
        <v>1</v>
      </c>
      <c r="CQ23" s="109">
        <v>1</v>
      </c>
      <c r="CR23" s="109">
        <v>1</v>
      </c>
      <c r="CS23" s="109">
        <v>1</v>
      </c>
      <c r="CT23" s="111">
        <v>1</v>
      </c>
      <c r="CU23" s="128">
        <v>1</v>
      </c>
      <c r="CV23" s="129">
        <v>1</v>
      </c>
      <c r="CW23" s="129">
        <v>1</v>
      </c>
      <c r="CX23" s="129">
        <v>1</v>
      </c>
      <c r="CY23" s="129">
        <v>0</v>
      </c>
      <c r="CZ23" s="129">
        <v>0</v>
      </c>
      <c r="DA23" s="129">
        <v>1</v>
      </c>
      <c r="DB23" s="129">
        <v>1</v>
      </c>
      <c r="DC23" s="129">
        <v>1</v>
      </c>
      <c r="DD23" s="138">
        <v>1</v>
      </c>
      <c r="DE23" s="156">
        <v>1</v>
      </c>
      <c r="DF23" s="157">
        <v>1</v>
      </c>
      <c r="DG23" s="157">
        <v>1</v>
      </c>
      <c r="DH23" s="157">
        <v>1</v>
      </c>
      <c r="DI23" s="157">
        <v>1</v>
      </c>
      <c r="DJ23" s="157">
        <v>1</v>
      </c>
      <c r="DK23" s="157">
        <v>1</v>
      </c>
      <c r="DL23" s="157">
        <v>1</v>
      </c>
      <c r="DM23" s="157">
        <v>1</v>
      </c>
      <c r="DN23" s="158">
        <v>1</v>
      </c>
      <c r="DO23" s="119">
        <v>1</v>
      </c>
      <c r="DP23" s="118">
        <v>1</v>
      </c>
      <c r="DQ23" s="118">
        <v>1</v>
      </c>
      <c r="DR23" s="118">
        <v>1</v>
      </c>
      <c r="DS23" s="118">
        <v>1</v>
      </c>
      <c r="DT23" s="118">
        <v>1</v>
      </c>
      <c r="DU23" s="118">
        <v>1</v>
      </c>
      <c r="DV23" s="118">
        <v>1</v>
      </c>
      <c r="DW23" s="118">
        <v>1</v>
      </c>
      <c r="DX23" s="120">
        <v>1</v>
      </c>
      <c r="DY23" s="90">
        <v>1</v>
      </c>
      <c r="DZ23" s="91">
        <v>1</v>
      </c>
      <c r="EA23" s="91">
        <v>1</v>
      </c>
      <c r="EB23" s="91">
        <v>1</v>
      </c>
      <c r="EC23" s="91">
        <v>1</v>
      </c>
      <c r="ED23" s="91">
        <v>1</v>
      </c>
      <c r="EE23" s="91">
        <v>1</v>
      </c>
      <c r="EF23" s="91">
        <v>1</v>
      </c>
      <c r="EG23" s="91">
        <v>1</v>
      </c>
      <c r="EH23" s="92">
        <v>1</v>
      </c>
      <c r="EI23" s="110">
        <v>1</v>
      </c>
      <c r="EJ23" s="109">
        <v>1</v>
      </c>
      <c r="EK23" s="109">
        <v>1</v>
      </c>
      <c r="EL23" s="109">
        <v>1</v>
      </c>
      <c r="EM23" s="109">
        <v>1</v>
      </c>
      <c r="EN23" s="109">
        <v>1</v>
      </c>
      <c r="EO23" s="109">
        <v>1</v>
      </c>
      <c r="EP23" s="109">
        <v>1</v>
      </c>
      <c r="EQ23" s="109">
        <v>1</v>
      </c>
      <c r="ER23" s="132">
        <v>1</v>
      </c>
      <c r="ES23" s="175">
        <f t="shared" si="1"/>
        <v>10</v>
      </c>
      <c r="ET23" s="175">
        <f t="shared" si="2"/>
        <v>10</v>
      </c>
      <c r="EU23" s="175">
        <f t="shared" si="3"/>
        <v>8</v>
      </c>
      <c r="EV23" s="175">
        <f t="shared" si="4"/>
        <v>8</v>
      </c>
      <c r="EW23" s="175">
        <f t="shared" si="14"/>
        <v>10</v>
      </c>
      <c r="EX23" s="175">
        <f t="shared" si="15"/>
        <v>10</v>
      </c>
      <c r="EY23" s="175">
        <f t="shared" si="5"/>
        <v>10</v>
      </c>
      <c r="EZ23" s="176">
        <f t="shared" si="6"/>
        <v>0</v>
      </c>
      <c r="FA23" s="175">
        <f t="shared" si="7"/>
        <v>10</v>
      </c>
      <c r="FB23" s="175">
        <f t="shared" si="8"/>
        <v>8</v>
      </c>
      <c r="FC23" s="175">
        <f t="shared" si="9"/>
        <v>10</v>
      </c>
      <c r="FD23" s="175">
        <f t="shared" si="10"/>
        <v>10</v>
      </c>
      <c r="FE23" s="175">
        <f t="shared" si="11"/>
        <v>10</v>
      </c>
      <c r="FF23" s="175">
        <f t="shared" si="12"/>
        <v>10</v>
      </c>
      <c r="FG23" s="37">
        <f t="shared" si="17"/>
        <v>21</v>
      </c>
      <c r="FH23" s="165">
        <f t="shared" si="13"/>
        <v>124</v>
      </c>
      <c r="FI23" s="165">
        <f>SUM(I7:ER7)-SUM(ES23:FF23)</f>
        <v>4</v>
      </c>
      <c r="FJ23" s="165">
        <f t="shared" si="16"/>
        <v>128</v>
      </c>
      <c r="FK23" s="7"/>
    </row>
    <row r="24" spans="1:167" ht="15" customHeight="1">
      <c r="A24" s="2"/>
      <c r="B24" s="3">
        <f t="shared" si="0"/>
        <v>1</v>
      </c>
      <c r="C24" s="182">
        <f t="shared" si="18"/>
        <v>17</v>
      </c>
      <c r="D24" s="183" t="s">
        <v>161</v>
      </c>
      <c r="E24" s="178"/>
      <c r="F24" s="177">
        <v>16</v>
      </c>
      <c r="G24" s="628">
        <v>45915</v>
      </c>
      <c r="H24" s="629"/>
      <c r="I24" s="96">
        <v>0</v>
      </c>
      <c r="J24" s="97">
        <v>0</v>
      </c>
      <c r="K24" s="97">
        <v>0</v>
      </c>
      <c r="L24" s="97">
        <v>0</v>
      </c>
      <c r="M24" s="97">
        <v>0</v>
      </c>
      <c r="N24" s="97">
        <v>0</v>
      </c>
      <c r="O24" s="97">
        <v>0</v>
      </c>
      <c r="P24" s="97">
        <v>0</v>
      </c>
      <c r="Q24" s="97">
        <v>0</v>
      </c>
      <c r="R24" s="98">
        <v>0</v>
      </c>
      <c r="S24" s="115">
        <v>1</v>
      </c>
      <c r="T24" s="116">
        <v>1</v>
      </c>
      <c r="U24" s="116">
        <v>1</v>
      </c>
      <c r="V24" s="116">
        <v>1</v>
      </c>
      <c r="W24" s="116">
        <v>1</v>
      </c>
      <c r="X24" s="116">
        <v>1</v>
      </c>
      <c r="Y24" s="116">
        <v>1</v>
      </c>
      <c r="Z24" s="116">
        <v>1</v>
      </c>
      <c r="AA24" s="116">
        <v>1</v>
      </c>
      <c r="AB24" s="117">
        <v>1</v>
      </c>
      <c r="AC24" s="88">
        <v>1</v>
      </c>
      <c r="AD24" s="89">
        <v>1</v>
      </c>
      <c r="AE24" s="89">
        <v>1</v>
      </c>
      <c r="AF24" s="89">
        <v>1</v>
      </c>
      <c r="AG24" s="592"/>
      <c r="AH24" s="593"/>
      <c r="AI24" s="89">
        <v>1</v>
      </c>
      <c r="AJ24" s="89">
        <v>1</v>
      </c>
      <c r="AK24" s="89">
        <v>1</v>
      </c>
      <c r="AL24" s="122">
        <v>1</v>
      </c>
      <c r="AM24" s="107">
        <v>1</v>
      </c>
      <c r="AN24" s="108">
        <v>1</v>
      </c>
      <c r="AO24" s="108">
        <v>1</v>
      </c>
      <c r="AP24" s="108">
        <v>1</v>
      </c>
      <c r="AQ24" s="108">
        <v>1</v>
      </c>
      <c r="AR24" s="108">
        <v>1</v>
      </c>
      <c r="AS24" s="108">
        <v>1</v>
      </c>
      <c r="AT24" s="108">
        <v>1</v>
      </c>
      <c r="AU24" s="108">
        <v>1</v>
      </c>
      <c r="AV24" s="131">
        <v>1</v>
      </c>
      <c r="AW24" s="126">
        <v>1</v>
      </c>
      <c r="AX24" s="127">
        <v>1</v>
      </c>
      <c r="AY24" s="127">
        <v>1</v>
      </c>
      <c r="AZ24" s="127">
        <v>1</v>
      </c>
      <c r="BA24" s="127">
        <v>1</v>
      </c>
      <c r="BB24" s="127">
        <v>1</v>
      </c>
      <c r="BC24" s="127">
        <v>1</v>
      </c>
      <c r="BD24" s="127">
        <v>1</v>
      </c>
      <c r="BE24" s="127">
        <v>1</v>
      </c>
      <c r="BF24" s="137">
        <v>1</v>
      </c>
      <c r="BG24" s="96">
        <v>1</v>
      </c>
      <c r="BH24" s="97">
        <v>1</v>
      </c>
      <c r="BI24" s="97">
        <v>1</v>
      </c>
      <c r="BJ24" s="97">
        <v>1</v>
      </c>
      <c r="BK24" s="97">
        <v>1</v>
      </c>
      <c r="BL24" s="100">
        <v>1</v>
      </c>
      <c r="BM24" s="100">
        <v>1</v>
      </c>
      <c r="BN24" s="100">
        <v>1</v>
      </c>
      <c r="BO24" s="100">
        <v>1</v>
      </c>
      <c r="BP24" s="101">
        <v>1</v>
      </c>
      <c r="BQ24" s="119">
        <v>1</v>
      </c>
      <c r="BR24" s="118">
        <v>1</v>
      </c>
      <c r="BS24" s="118">
        <v>1</v>
      </c>
      <c r="BT24" s="118">
        <v>1</v>
      </c>
      <c r="BU24" s="118">
        <v>1</v>
      </c>
      <c r="BV24" s="118">
        <v>1</v>
      </c>
      <c r="BW24" s="118">
        <v>0</v>
      </c>
      <c r="BX24" s="118">
        <v>0</v>
      </c>
      <c r="BY24" s="118">
        <v>1</v>
      </c>
      <c r="BZ24" s="120">
        <v>1</v>
      </c>
      <c r="CA24" s="537"/>
      <c r="CB24" s="538"/>
      <c r="CC24" s="538"/>
      <c r="CD24" s="538"/>
      <c r="CE24" s="538"/>
      <c r="CF24" s="538"/>
      <c r="CG24" s="538"/>
      <c r="CH24" s="538"/>
      <c r="CI24" s="538"/>
      <c r="CJ24" s="539"/>
      <c r="CK24" s="110">
        <v>1</v>
      </c>
      <c r="CL24" s="109">
        <v>1</v>
      </c>
      <c r="CM24" s="109">
        <v>1</v>
      </c>
      <c r="CN24" s="109">
        <v>1</v>
      </c>
      <c r="CO24" s="109">
        <v>1</v>
      </c>
      <c r="CP24" s="109">
        <v>1</v>
      </c>
      <c r="CQ24" s="109">
        <v>1</v>
      </c>
      <c r="CR24" s="109">
        <v>1</v>
      </c>
      <c r="CS24" s="109">
        <v>1</v>
      </c>
      <c r="CT24" s="111">
        <v>1</v>
      </c>
      <c r="CU24" s="128">
        <v>1</v>
      </c>
      <c r="CV24" s="129">
        <v>1</v>
      </c>
      <c r="CW24" s="129">
        <v>1</v>
      </c>
      <c r="CX24" s="129">
        <v>1</v>
      </c>
      <c r="CY24" s="129">
        <v>1</v>
      </c>
      <c r="CZ24" s="129">
        <v>1</v>
      </c>
      <c r="DA24" s="129">
        <v>1</v>
      </c>
      <c r="DB24" s="129">
        <v>1</v>
      </c>
      <c r="DC24" s="129">
        <v>1</v>
      </c>
      <c r="DD24" s="138">
        <v>1</v>
      </c>
      <c r="DE24" s="156">
        <v>1</v>
      </c>
      <c r="DF24" s="157">
        <v>1</v>
      </c>
      <c r="DG24" s="157">
        <v>1</v>
      </c>
      <c r="DH24" s="157">
        <v>1</v>
      </c>
      <c r="DI24" s="157">
        <v>1</v>
      </c>
      <c r="DJ24" s="157">
        <v>1</v>
      </c>
      <c r="DK24" s="157">
        <v>1</v>
      </c>
      <c r="DL24" s="157">
        <v>1</v>
      </c>
      <c r="DM24" s="157">
        <v>1</v>
      </c>
      <c r="DN24" s="158">
        <v>1</v>
      </c>
      <c r="DO24" s="119">
        <v>1</v>
      </c>
      <c r="DP24" s="118">
        <v>1</v>
      </c>
      <c r="DQ24" s="118">
        <v>1</v>
      </c>
      <c r="DR24" s="118">
        <v>1</v>
      </c>
      <c r="DS24" s="118">
        <v>1</v>
      </c>
      <c r="DT24" s="118">
        <v>1</v>
      </c>
      <c r="DU24" s="118">
        <v>1</v>
      </c>
      <c r="DV24" s="118">
        <v>1</v>
      </c>
      <c r="DW24" s="118">
        <v>1</v>
      </c>
      <c r="DX24" s="120">
        <v>1</v>
      </c>
      <c r="DY24" s="90">
        <v>1</v>
      </c>
      <c r="DZ24" s="91">
        <v>1</v>
      </c>
      <c r="EA24" s="91">
        <v>1</v>
      </c>
      <c r="EB24" s="91">
        <v>1</v>
      </c>
      <c r="EC24" s="91">
        <v>1</v>
      </c>
      <c r="ED24" s="91">
        <v>1</v>
      </c>
      <c r="EE24" s="91">
        <v>1</v>
      </c>
      <c r="EF24" s="91">
        <v>1</v>
      </c>
      <c r="EG24" s="91">
        <v>1</v>
      </c>
      <c r="EH24" s="92">
        <v>1</v>
      </c>
      <c r="EI24" s="110">
        <v>1</v>
      </c>
      <c r="EJ24" s="109">
        <v>1</v>
      </c>
      <c r="EK24" s="109">
        <v>1</v>
      </c>
      <c r="EL24" s="109">
        <v>1</v>
      </c>
      <c r="EM24" s="109">
        <v>1</v>
      </c>
      <c r="EN24" s="109">
        <v>1</v>
      </c>
      <c r="EO24" s="109">
        <v>1</v>
      </c>
      <c r="EP24" s="109">
        <v>1</v>
      </c>
      <c r="EQ24" s="109">
        <v>1</v>
      </c>
      <c r="ER24" s="132">
        <v>1</v>
      </c>
      <c r="ES24" s="175">
        <f t="shared" si="1"/>
        <v>0</v>
      </c>
      <c r="ET24" s="175">
        <f t="shared" si="2"/>
        <v>10</v>
      </c>
      <c r="EU24" s="175">
        <f t="shared" si="3"/>
        <v>8</v>
      </c>
      <c r="EV24" s="175">
        <f t="shared" si="4"/>
        <v>10</v>
      </c>
      <c r="EW24" s="175">
        <f t="shared" si="14"/>
        <v>10</v>
      </c>
      <c r="EX24" s="175">
        <f t="shared" si="15"/>
        <v>8</v>
      </c>
      <c r="EY24" s="175">
        <f t="shared" si="5"/>
        <v>8</v>
      </c>
      <c r="EZ24" s="176">
        <f t="shared" si="6"/>
        <v>0</v>
      </c>
      <c r="FA24" s="175">
        <f t="shared" si="7"/>
        <v>10</v>
      </c>
      <c r="FB24" s="175">
        <f t="shared" si="8"/>
        <v>10</v>
      </c>
      <c r="FC24" s="175">
        <f t="shared" si="9"/>
        <v>10</v>
      </c>
      <c r="FD24" s="175">
        <f t="shared" si="10"/>
        <v>10</v>
      </c>
      <c r="FE24" s="175">
        <f t="shared" si="11"/>
        <v>10</v>
      </c>
      <c r="FF24" s="175">
        <f t="shared" si="12"/>
        <v>10</v>
      </c>
      <c r="FG24" s="37">
        <f t="shared" si="17"/>
        <v>22</v>
      </c>
      <c r="FH24" s="165">
        <f t="shared" si="13"/>
        <v>114</v>
      </c>
      <c r="FI24" s="165">
        <f>SUM(I7:ER7)-SUM(ES24:FF24)</f>
        <v>14</v>
      </c>
      <c r="FJ24" s="165">
        <f t="shared" si="16"/>
        <v>128</v>
      </c>
      <c r="FK24" s="7"/>
    </row>
    <row r="25" spans="1:167" ht="15" customHeight="1">
      <c r="A25" s="2"/>
      <c r="B25" s="3">
        <f t="shared" si="0"/>
        <v>1</v>
      </c>
      <c r="C25" s="182">
        <f t="shared" si="18"/>
        <v>18</v>
      </c>
      <c r="D25" s="183" t="s">
        <v>162</v>
      </c>
      <c r="E25" s="178"/>
      <c r="F25" s="177">
        <v>16</v>
      </c>
      <c r="G25" s="628">
        <v>45915</v>
      </c>
      <c r="H25" s="629"/>
      <c r="I25" s="96">
        <v>0</v>
      </c>
      <c r="J25" s="97">
        <v>0</v>
      </c>
      <c r="K25" s="97">
        <v>0</v>
      </c>
      <c r="L25" s="97">
        <v>0</v>
      </c>
      <c r="M25" s="97">
        <v>0</v>
      </c>
      <c r="N25" s="97">
        <v>0</v>
      </c>
      <c r="O25" s="97">
        <v>0</v>
      </c>
      <c r="P25" s="97">
        <v>0</v>
      </c>
      <c r="Q25" s="97">
        <v>0</v>
      </c>
      <c r="R25" s="98">
        <v>0</v>
      </c>
      <c r="S25" s="115">
        <v>1</v>
      </c>
      <c r="T25" s="116">
        <v>1</v>
      </c>
      <c r="U25" s="116">
        <v>1</v>
      </c>
      <c r="V25" s="116">
        <v>1</v>
      </c>
      <c r="W25" s="116">
        <v>1</v>
      </c>
      <c r="X25" s="116">
        <v>1</v>
      </c>
      <c r="Y25" s="116">
        <v>1</v>
      </c>
      <c r="Z25" s="116">
        <v>1</v>
      </c>
      <c r="AA25" s="116">
        <v>1</v>
      </c>
      <c r="AB25" s="117">
        <v>1</v>
      </c>
      <c r="AC25" s="88">
        <v>0</v>
      </c>
      <c r="AD25" s="89">
        <v>0</v>
      </c>
      <c r="AE25" s="89">
        <v>1</v>
      </c>
      <c r="AF25" s="89">
        <v>1</v>
      </c>
      <c r="AG25" s="592"/>
      <c r="AH25" s="593"/>
      <c r="AI25" s="89">
        <v>1</v>
      </c>
      <c r="AJ25" s="89">
        <v>1</v>
      </c>
      <c r="AK25" s="89">
        <v>1</v>
      </c>
      <c r="AL25" s="122">
        <v>1</v>
      </c>
      <c r="AM25" s="107">
        <v>0</v>
      </c>
      <c r="AN25" s="108">
        <v>0</v>
      </c>
      <c r="AO25" s="108">
        <v>1</v>
      </c>
      <c r="AP25" s="108">
        <v>1</v>
      </c>
      <c r="AQ25" s="108">
        <v>1</v>
      </c>
      <c r="AR25" s="108">
        <v>1</v>
      </c>
      <c r="AS25" s="108">
        <v>1</v>
      </c>
      <c r="AT25" s="108">
        <v>1</v>
      </c>
      <c r="AU25" s="108">
        <v>1</v>
      </c>
      <c r="AV25" s="131">
        <v>1</v>
      </c>
      <c r="AW25" s="126">
        <v>1</v>
      </c>
      <c r="AX25" s="127">
        <v>1</v>
      </c>
      <c r="AY25" s="127">
        <v>1</v>
      </c>
      <c r="AZ25" s="127">
        <v>1</v>
      </c>
      <c r="BA25" s="127">
        <v>1</v>
      </c>
      <c r="BB25" s="127">
        <v>1</v>
      </c>
      <c r="BC25" s="127">
        <v>1</v>
      </c>
      <c r="BD25" s="127">
        <v>1</v>
      </c>
      <c r="BE25" s="127">
        <v>1</v>
      </c>
      <c r="BF25" s="137">
        <v>1</v>
      </c>
      <c r="BG25" s="96">
        <v>1</v>
      </c>
      <c r="BH25" s="97">
        <v>1</v>
      </c>
      <c r="BI25" s="97">
        <v>1</v>
      </c>
      <c r="BJ25" s="97">
        <v>1</v>
      </c>
      <c r="BK25" s="97">
        <v>1</v>
      </c>
      <c r="BL25" s="100">
        <v>1</v>
      </c>
      <c r="BM25" s="100">
        <v>1</v>
      </c>
      <c r="BN25" s="100">
        <v>1</v>
      </c>
      <c r="BO25" s="100">
        <v>1</v>
      </c>
      <c r="BP25" s="101">
        <v>1</v>
      </c>
      <c r="BQ25" s="119">
        <v>0</v>
      </c>
      <c r="BR25" s="118">
        <v>0</v>
      </c>
      <c r="BS25" s="118">
        <v>0</v>
      </c>
      <c r="BT25" s="118">
        <v>0</v>
      </c>
      <c r="BU25" s="118">
        <v>1</v>
      </c>
      <c r="BV25" s="118">
        <v>1</v>
      </c>
      <c r="BW25" s="118">
        <v>1</v>
      </c>
      <c r="BX25" s="118">
        <v>1</v>
      </c>
      <c r="BY25" s="118">
        <v>1</v>
      </c>
      <c r="BZ25" s="120">
        <v>1</v>
      </c>
      <c r="CA25" s="537"/>
      <c r="CB25" s="538"/>
      <c r="CC25" s="538"/>
      <c r="CD25" s="538"/>
      <c r="CE25" s="538"/>
      <c r="CF25" s="538"/>
      <c r="CG25" s="538"/>
      <c r="CH25" s="538"/>
      <c r="CI25" s="538"/>
      <c r="CJ25" s="539"/>
      <c r="CK25" s="110">
        <v>0</v>
      </c>
      <c r="CL25" s="109">
        <v>0</v>
      </c>
      <c r="CM25" s="109">
        <v>0</v>
      </c>
      <c r="CN25" s="109">
        <v>0</v>
      </c>
      <c r="CO25" s="109">
        <v>1</v>
      </c>
      <c r="CP25" s="109">
        <v>1</v>
      </c>
      <c r="CQ25" s="109">
        <v>0</v>
      </c>
      <c r="CR25" s="109">
        <v>0</v>
      </c>
      <c r="CS25" s="109">
        <v>1</v>
      </c>
      <c r="CT25" s="111">
        <v>1</v>
      </c>
      <c r="CU25" s="128">
        <v>1</v>
      </c>
      <c r="CV25" s="129">
        <v>1</v>
      </c>
      <c r="CW25" s="129">
        <v>1</v>
      </c>
      <c r="CX25" s="129">
        <v>1</v>
      </c>
      <c r="CY25" s="129">
        <v>1</v>
      </c>
      <c r="CZ25" s="129">
        <v>1</v>
      </c>
      <c r="DA25" s="129">
        <v>1</v>
      </c>
      <c r="DB25" s="129">
        <v>1</v>
      </c>
      <c r="DC25" s="129">
        <v>1</v>
      </c>
      <c r="DD25" s="138">
        <v>1</v>
      </c>
      <c r="DE25" s="156">
        <v>1</v>
      </c>
      <c r="DF25" s="157">
        <v>1</v>
      </c>
      <c r="DG25" s="157">
        <v>1</v>
      </c>
      <c r="DH25" s="157">
        <v>1</v>
      </c>
      <c r="DI25" s="157">
        <v>1</v>
      </c>
      <c r="DJ25" s="157">
        <v>1</v>
      </c>
      <c r="DK25" s="157">
        <v>1</v>
      </c>
      <c r="DL25" s="157">
        <v>1</v>
      </c>
      <c r="DM25" s="157">
        <v>1</v>
      </c>
      <c r="DN25" s="158">
        <v>1</v>
      </c>
      <c r="DO25" s="119">
        <v>1</v>
      </c>
      <c r="DP25" s="118">
        <v>1</v>
      </c>
      <c r="DQ25" s="118">
        <v>1</v>
      </c>
      <c r="DR25" s="118">
        <v>1</v>
      </c>
      <c r="DS25" s="118">
        <v>1</v>
      </c>
      <c r="DT25" s="118">
        <v>1</v>
      </c>
      <c r="DU25" s="118">
        <v>1</v>
      </c>
      <c r="DV25" s="118">
        <v>1</v>
      </c>
      <c r="DW25" s="118">
        <v>1</v>
      </c>
      <c r="DX25" s="120">
        <v>1</v>
      </c>
      <c r="DY25" s="90">
        <v>1</v>
      </c>
      <c r="DZ25" s="91">
        <v>1</v>
      </c>
      <c r="EA25" s="91">
        <v>1</v>
      </c>
      <c r="EB25" s="91">
        <v>1</v>
      </c>
      <c r="EC25" s="91">
        <v>1</v>
      </c>
      <c r="ED25" s="91">
        <v>1</v>
      </c>
      <c r="EE25" s="91">
        <v>1</v>
      </c>
      <c r="EF25" s="91">
        <v>1</v>
      </c>
      <c r="EG25" s="91">
        <v>1</v>
      </c>
      <c r="EH25" s="92">
        <v>1</v>
      </c>
      <c r="EI25" s="110">
        <v>1</v>
      </c>
      <c r="EJ25" s="109">
        <v>1</v>
      </c>
      <c r="EK25" s="109">
        <v>1</v>
      </c>
      <c r="EL25" s="109">
        <v>1</v>
      </c>
      <c r="EM25" s="109">
        <v>1</v>
      </c>
      <c r="EN25" s="109">
        <v>1</v>
      </c>
      <c r="EO25" s="109">
        <v>1</v>
      </c>
      <c r="EP25" s="109">
        <v>1</v>
      </c>
      <c r="EQ25" s="109">
        <v>1</v>
      </c>
      <c r="ER25" s="132">
        <v>1</v>
      </c>
      <c r="ES25" s="175">
        <f t="shared" si="1"/>
        <v>0</v>
      </c>
      <c r="ET25" s="175">
        <f t="shared" si="2"/>
        <v>10</v>
      </c>
      <c r="EU25" s="175">
        <f t="shared" si="3"/>
        <v>6</v>
      </c>
      <c r="EV25" s="175">
        <f t="shared" si="4"/>
        <v>8</v>
      </c>
      <c r="EW25" s="175">
        <f t="shared" si="14"/>
        <v>10</v>
      </c>
      <c r="EX25" s="175">
        <f t="shared" si="15"/>
        <v>6</v>
      </c>
      <c r="EY25" s="175">
        <f t="shared" si="5"/>
        <v>6</v>
      </c>
      <c r="EZ25" s="176">
        <f t="shared" si="6"/>
        <v>0</v>
      </c>
      <c r="FA25" s="175">
        <f t="shared" si="7"/>
        <v>4</v>
      </c>
      <c r="FB25" s="175">
        <f t="shared" si="8"/>
        <v>10</v>
      </c>
      <c r="FC25" s="175">
        <f t="shared" si="9"/>
        <v>10</v>
      </c>
      <c r="FD25" s="175">
        <f t="shared" si="10"/>
        <v>10</v>
      </c>
      <c r="FE25" s="175">
        <f t="shared" si="11"/>
        <v>10</v>
      </c>
      <c r="FF25" s="175">
        <f t="shared" si="12"/>
        <v>10</v>
      </c>
      <c r="FG25" s="37">
        <f t="shared" si="17"/>
        <v>23</v>
      </c>
      <c r="FH25" s="165">
        <f t="shared" si="13"/>
        <v>100</v>
      </c>
      <c r="FI25" s="165">
        <f>SUM(I7:ER7)-SUM(ES25:FF25)</f>
        <v>28</v>
      </c>
      <c r="FJ25" s="165">
        <f t="shared" si="16"/>
        <v>128</v>
      </c>
      <c r="FK25" s="7"/>
    </row>
    <row r="26" spans="1:167" ht="15" customHeight="1">
      <c r="A26" s="2"/>
      <c r="B26" s="3">
        <f t="shared" si="0"/>
        <v>1</v>
      </c>
      <c r="C26" s="182">
        <f t="shared" si="18"/>
        <v>19</v>
      </c>
      <c r="D26" s="183" t="s">
        <v>163</v>
      </c>
      <c r="E26" s="178"/>
      <c r="F26" s="177">
        <v>15</v>
      </c>
      <c r="G26" s="628">
        <v>45915</v>
      </c>
      <c r="H26" s="629"/>
      <c r="I26" s="96">
        <v>1</v>
      </c>
      <c r="J26" s="97">
        <v>1</v>
      </c>
      <c r="K26" s="97">
        <v>1</v>
      </c>
      <c r="L26" s="97">
        <v>1</v>
      </c>
      <c r="M26" s="97">
        <v>1</v>
      </c>
      <c r="N26" s="97">
        <v>1</v>
      </c>
      <c r="O26" s="97">
        <v>1</v>
      </c>
      <c r="P26" s="97">
        <v>1</v>
      </c>
      <c r="Q26" s="97">
        <v>1</v>
      </c>
      <c r="R26" s="98">
        <v>1</v>
      </c>
      <c r="S26" s="115">
        <v>1</v>
      </c>
      <c r="T26" s="116">
        <v>1</v>
      </c>
      <c r="U26" s="116">
        <v>1</v>
      </c>
      <c r="V26" s="116">
        <v>1</v>
      </c>
      <c r="W26" s="116">
        <v>1</v>
      </c>
      <c r="X26" s="116">
        <v>1</v>
      </c>
      <c r="Y26" s="116">
        <v>1</v>
      </c>
      <c r="Z26" s="116">
        <v>1</v>
      </c>
      <c r="AA26" s="116">
        <v>1</v>
      </c>
      <c r="AB26" s="117">
        <v>1</v>
      </c>
      <c r="AC26" s="88">
        <v>1</v>
      </c>
      <c r="AD26" s="89">
        <v>1</v>
      </c>
      <c r="AE26" s="89">
        <v>1</v>
      </c>
      <c r="AF26" s="89">
        <v>1</v>
      </c>
      <c r="AG26" s="592"/>
      <c r="AH26" s="593"/>
      <c r="AI26" s="89">
        <v>1</v>
      </c>
      <c r="AJ26" s="89">
        <v>1</v>
      </c>
      <c r="AK26" s="89">
        <v>1</v>
      </c>
      <c r="AL26" s="122">
        <v>1</v>
      </c>
      <c r="AM26" s="107">
        <v>1</v>
      </c>
      <c r="AN26" s="108">
        <v>1</v>
      </c>
      <c r="AO26" s="108">
        <v>1</v>
      </c>
      <c r="AP26" s="108">
        <v>1</v>
      </c>
      <c r="AQ26" s="108">
        <v>1</v>
      </c>
      <c r="AR26" s="108">
        <v>1</v>
      </c>
      <c r="AS26" s="108">
        <v>1</v>
      </c>
      <c r="AT26" s="108">
        <v>1</v>
      </c>
      <c r="AU26" s="108">
        <v>0</v>
      </c>
      <c r="AV26" s="131">
        <v>0</v>
      </c>
      <c r="AW26" s="126">
        <v>1</v>
      </c>
      <c r="AX26" s="127">
        <v>1</v>
      </c>
      <c r="AY26" s="127">
        <v>1</v>
      </c>
      <c r="AZ26" s="127">
        <v>1</v>
      </c>
      <c r="BA26" s="127">
        <v>1</v>
      </c>
      <c r="BB26" s="127">
        <v>1</v>
      </c>
      <c r="BC26" s="127">
        <v>1</v>
      </c>
      <c r="BD26" s="127">
        <v>1</v>
      </c>
      <c r="BE26" s="127">
        <v>1</v>
      </c>
      <c r="BF26" s="137">
        <v>1</v>
      </c>
      <c r="BG26" s="96">
        <v>1</v>
      </c>
      <c r="BH26" s="97">
        <v>1</v>
      </c>
      <c r="BI26" s="97">
        <v>1</v>
      </c>
      <c r="BJ26" s="97">
        <v>1</v>
      </c>
      <c r="BK26" s="97">
        <v>1</v>
      </c>
      <c r="BL26" s="100">
        <v>1</v>
      </c>
      <c r="BM26" s="100">
        <v>1</v>
      </c>
      <c r="BN26" s="100">
        <v>1</v>
      </c>
      <c r="BO26" s="100">
        <v>1</v>
      </c>
      <c r="BP26" s="101">
        <v>1</v>
      </c>
      <c r="BQ26" s="119">
        <v>1</v>
      </c>
      <c r="BR26" s="118">
        <v>1</v>
      </c>
      <c r="BS26" s="118">
        <v>1</v>
      </c>
      <c r="BT26" s="118">
        <v>1</v>
      </c>
      <c r="BU26" s="118">
        <v>1</v>
      </c>
      <c r="BV26" s="118">
        <v>1</v>
      </c>
      <c r="BW26" s="118">
        <v>1</v>
      </c>
      <c r="BX26" s="118">
        <v>1</v>
      </c>
      <c r="BY26" s="118">
        <v>1</v>
      </c>
      <c r="BZ26" s="120">
        <v>1</v>
      </c>
      <c r="CA26" s="537"/>
      <c r="CB26" s="538"/>
      <c r="CC26" s="538"/>
      <c r="CD26" s="538"/>
      <c r="CE26" s="538"/>
      <c r="CF26" s="538"/>
      <c r="CG26" s="538"/>
      <c r="CH26" s="538"/>
      <c r="CI26" s="538"/>
      <c r="CJ26" s="539"/>
      <c r="CK26" s="110">
        <v>1</v>
      </c>
      <c r="CL26" s="109">
        <v>1</v>
      </c>
      <c r="CM26" s="109">
        <v>1</v>
      </c>
      <c r="CN26" s="109">
        <v>1</v>
      </c>
      <c r="CO26" s="109">
        <v>1</v>
      </c>
      <c r="CP26" s="109">
        <v>1</v>
      </c>
      <c r="CQ26" s="109">
        <v>1</v>
      </c>
      <c r="CR26" s="109">
        <v>1</v>
      </c>
      <c r="CS26" s="109">
        <v>1</v>
      </c>
      <c r="CT26" s="111">
        <v>1</v>
      </c>
      <c r="CU26" s="128">
        <v>1</v>
      </c>
      <c r="CV26" s="129">
        <v>1</v>
      </c>
      <c r="CW26" s="129">
        <v>1</v>
      </c>
      <c r="CX26" s="129">
        <v>1</v>
      </c>
      <c r="CY26" s="129">
        <v>1</v>
      </c>
      <c r="CZ26" s="129">
        <v>1</v>
      </c>
      <c r="DA26" s="129">
        <v>1</v>
      </c>
      <c r="DB26" s="129">
        <v>1</v>
      </c>
      <c r="DC26" s="129">
        <v>1</v>
      </c>
      <c r="DD26" s="138">
        <v>1</v>
      </c>
      <c r="DE26" s="156">
        <v>1</v>
      </c>
      <c r="DF26" s="157">
        <v>1</v>
      </c>
      <c r="DG26" s="157">
        <v>1</v>
      </c>
      <c r="DH26" s="157">
        <v>1</v>
      </c>
      <c r="DI26" s="157">
        <v>1</v>
      </c>
      <c r="DJ26" s="157">
        <v>1</v>
      </c>
      <c r="DK26" s="157">
        <v>1</v>
      </c>
      <c r="DL26" s="157">
        <v>1</v>
      </c>
      <c r="DM26" s="157">
        <v>1</v>
      </c>
      <c r="DN26" s="158">
        <v>1</v>
      </c>
      <c r="DO26" s="119">
        <v>1</v>
      </c>
      <c r="DP26" s="118">
        <v>1</v>
      </c>
      <c r="DQ26" s="118">
        <v>1</v>
      </c>
      <c r="DR26" s="118">
        <v>1</v>
      </c>
      <c r="DS26" s="118">
        <v>1</v>
      </c>
      <c r="DT26" s="118">
        <v>1</v>
      </c>
      <c r="DU26" s="118">
        <v>1</v>
      </c>
      <c r="DV26" s="118">
        <v>1</v>
      </c>
      <c r="DW26" s="118">
        <v>1</v>
      </c>
      <c r="DX26" s="120">
        <v>1</v>
      </c>
      <c r="DY26" s="90">
        <v>1</v>
      </c>
      <c r="DZ26" s="91">
        <v>1</v>
      </c>
      <c r="EA26" s="91">
        <v>1</v>
      </c>
      <c r="EB26" s="91">
        <v>1</v>
      </c>
      <c r="EC26" s="91">
        <v>1</v>
      </c>
      <c r="ED26" s="91">
        <v>1</v>
      </c>
      <c r="EE26" s="91">
        <v>1</v>
      </c>
      <c r="EF26" s="91">
        <v>1</v>
      </c>
      <c r="EG26" s="91">
        <v>1</v>
      </c>
      <c r="EH26" s="92">
        <v>1</v>
      </c>
      <c r="EI26" s="110">
        <v>1</v>
      </c>
      <c r="EJ26" s="109">
        <v>1</v>
      </c>
      <c r="EK26" s="109">
        <v>1</v>
      </c>
      <c r="EL26" s="109">
        <v>1</v>
      </c>
      <c r="EM26" s="109">
        <v>1</v>
      </c>
      <c r="EN26" s="109">
        <v>1</v>
      </c>
      <c r="EO26" s="109">
        <v>1</v>
      </c>
      <c r="EP26" s="109">
        <v>1</v>
      </c>
      <c r="EQ26" s="109">
        <v>1</v>
      </c>
      <c r="ER26" s="132">
        <v>1</v>
      </c>
      <c r="ES26" s="175">
        <f t="shared" si="1"/>
        <v>10</v>
      </c>
      <c r="ET26" s="175">
        <f t="shared" si="2"/>
        <v>10</v>
      </c>
      <c r="EU26" s="175">
        <f t="shared" si="3"/>
        <v>8</v>
      </c>
      <c r="EV26" s="175">
        <f t="shared" si="4"/>
        <v>8</v>
      </c>
      <c r="EW26" s="175">
        <f t="shared" si="14"/>
        <v>10</v>
      </c>
      <c r="EX26" s="175">
        <f t="shared" si="15"/>
        <v>10</v>
      </c>
      <c r="EY26" s="175">
        <f t="shared" si="5"/>
        <v>10</v>
      </c>
      <c r="EZ26" s="176">
        <f t="shared" si="6"/>
        <v>0</v>
      </c>
      <c r="FA26" s="175">
        <f t="shared" si="7"/>
        <v>10</v>
      </c>
      <c r="FB26" s="175">
        <f t="shared" si="8"/>
        <v>10</v>
      </c>
      <c r="FC26" s="175">
        <f t="shared" si="9"/>
        <v>10</v>
      </c>
      <c r="FD26" s="175">
        <f t="shared" si="10"/>
        <v>10</v>
      </c>
      <c r="FE26" s="175">
        <f t="shared" si="11"/>
        <v>10</v>
      </c>
      <c r="FF26" s="175">
        <f t="shared" si="12"/>
        <v>10</v>
      </c>
      <c r="FG26" s="37">
        <f t="shared" si="17"/>
        <v>24</v>
      </c>
      <c r="FH26" s="165">
        <f t="shared" si="13"/>
        <v>126</v>
      </c>
      <c r="FI26" s="165">
        <f>SUM(I7:ER7)-SUM(ES26:FF26)</f>
        <v>2</v>
      </c>
      <c r="FJ26" s="165">
        <f t="shared" si="16"/>
        <v>128</v>
      </c>
      <c r="FK26" s="7"/>
    </row>
    <row r="27" spans="1:167" ht="15" customHeight="1">
      <c r="A27" s="2"/>
      <c r="B27" s="3">
        <f t="shared" si="0"/>
        <v>1</v>
      </c>
      <c r="C27" s="182">
        <f t="shared" si="18"/>
        <v>20</v>
      </c>
      <c r="D27" s="183" t="s">
        <v>164</v>
      </c>
      <c r="E27" s="178"/>
      <c r="F27" s="177">
        <v>16</v>
      </c>
      <c r="G27" s="628">
        <v>45915</v>
      </c>
      <c r="H27" s="629"/>
      <c r="I27" s="96">
        <v>1</v>
      </c>
      <c r="J27" s="97">
        <v>1</v>
      </c>
      <c r="K27" s="97">
        <v>1</v>
      </c>
      <c r="L27" s="97">
        <v>1</v>
      </c>
      <c r="M27" s="97">
        <v>1</v>
      </c>
      <c r="N27" s="97">
        <v>1</v>
      </c>
      <c r="O27" s="97">
        <v>1</v>
      </c>
      <c r="P27" s="97">
        <v>1</v>
      </c>
      <c r="Q27" s="97">
        <v>1</v>
      </c>
      <c r="R27" s="98">
        <v>1</v>
      </c>
      <c r="S27" s="115">
        <v>1</v>
      </c>
      <c r="T27" s="116">
        <v>1</v>
      </c>
      <c r="U27" s="116">
        <v>1</v>
      </c>
      <c r="V27" s="116">
        <v>1</v>
      </c>
      <c r="W27" s="116">
        <v>1</v>
      </c>
      <c r="X27" s="116">
        <v>1</v>
      </c>
      <c r="Y27" s="116">
        <v>1</v>
      </c>
      <c r="Z27" s="116">
        <v>1</v>
      </c>
      <c r="AA27" s="116">
        <v>1</v>
      </c>
      <c r="AB27" s="117">
        <v>1</v>
      </c>
      <c r="AC27" s="88">
        <v>1</v>
      </c>
      <c r="AD27" s="89">
        <v>1</v>
      </c>
      <c r="AE27" s="89">
        <v>1</v>
      </c>
      <c r="AF27" s="89">
        <v>1</v>
      </c>
      <c r="AG27" s="592"/>
      <c r="AH27" s="593"/>
      <c r="AI27" s="89">
        <v>1</v>
      </c>
      <c r="AJ27" s="89">
        <v>1</v>
      </c>
      <c r="AK27" s="89">
        <v>1</v>
      </c>
      <c r="AL27" s="122">
        <v>1</v>
      </c>
      <c r="AM27" s="107">
        <v>1</v>
      </c>
      <c r="AN27" s="108">
        <v>1</v>
      </c>
      <c r="AO27" s="108">
        <v>1</v>
      </c>
      <c r="AP27" s="108">
        <v>1</v>
      </c>
      <c r="AQ27" s="108">
        <v>1</v>
      </c>
      <c r="AR27" s="108">
        <v>1</v>
      </c>
      <c r="AS27" s="108">
        <v>1</v>
      </c>
      <c r="AT27" s="108">
        <v>1</v>
      </c>
      <c r="AU27" s="108">
        <v>1</v>
      </c>
      <c r="AV27" s="131">
        <v>1</v>
      </c>
      <c r="AW27" s="126">
        <v>1</v>
      </c>
      <c r="AX27" s="127">
        <v>1</v>
      </c>
      <c r="AY27" s="127">
        <v>1</v>
      </c>
      <c r="AZ27" s="127">
        <v>1</v>
      </c>
      <c r="BA27" s="127">
        <v>1</v>
      </c>
      <c r="BB27" s="127">
        <v>1</v>
      </c>
      <c r="BC27" s="127">
        <v>1</v>
      </c>
      <c r="BD27" s="127">
        <v>1</v>
      </c>
      <c r="BE27" s="127">
        <v>1</v>
      </c>
      <c r="BF27" s="137">
        <v>1</v>
      </c>
      <c r="BG27" s="96">
        <v>1</v>
      </c>
      <c r="BH27" s="97">
        <v>1</v>
      </c>
      <c r="BI27" s="97">
        <v>1</v>
      </c>
      <c r="BJ27" s="97">
        <v>1</v>
      </c>
      <c r="BK27" s="97">
        <v>1</v>
      </c>
      <c r="BL27" s="100">
        <v>1</v>
      </c>
      <c r="BM27" s="100">
        <v>1</v>
      </c>
      <c r="BN27" s="100">
        <v>1</v>
      </c>
      <c r="BO27" s="100">
        <v>1</v>
      </c>
      <c r="BP27" s="101">
        <v>1</v>
      </c>
      <c r="BQ27" s="119">
        <v>1</v>
      </c>
      <c r="BR27" s="118">
        <v>1</v>
      </c>
      <c r="BS27" s="118">
        <v>1</v>
      </c>
      <c r="BT27" s="118">
        <v>1</v>
      </c>
      <c r="BU27" s="118">
        <v>1</v>
      </c>
      <c r="BV27" s="118">
        <v>1</v>
      </c>
      <c r="BW27" s="118">
        <v>1</v>
      </c>
      <c r="BX27" s="118">
        <v>1</v>
      </c>
      <c r="BY27" s="118">
        <v>1</v>
      </c>
      <c r="BZ27" s="120">
        <v>1</v>
      </c>
      <c r="CA27" s="537"/>
      <c r="CB27" s="538"/>
      <c r="CC27" s="538"/>
      <c r="CD27" s="538"/>
      <c r="CE27" s="538"/>
      <c r="CF27" s="538"/>
      <c r="CG27" s="538"/>
      <c r="CH27" s="538"/>
      <c r="CI27" s="538"/>
      <c r="CJ27" s="539"/>
      <c r="CK27" s="110">
        <v>1</v>
      </c>
      <c r="CL27" s="109">
        <v>1</v>
      </c>
      <c r="CM27" s="109">
        <v>1</v>
      </c>
      <c r="CN27" s="109">
        <v>1</v>
      </c>
      <c r="CO27" s="109">
        <v>1</v>
      </c>
      <c r="CP27" s="109">
        <v>1</v>
      </c>
      <c r="CQ27" s="109">
        <v>1</v>
      </c>
      <c r="CR27" s="109">
        <v>1</v>
      </c>
      <c r="CS27" s="109">
        <v>1</v>
      </c>
      <c r="CT27" s="111">
        <v>1</v>
      </c>
      <c r="CU27" s="128">
        <v>1</v>
      </c>
      <c r="CV27" s="129">
        <v>1</v>
      </c>
      <c r="CW27" s="129">
        <v>1</v>
      </c>
      <c r="CX27" s="129">
        <v>1</v>
      </c>
      <c r="CY27" s="129">
        <v>1</v>
      </c>
      <c r="CZ27" s="129">
        <v>1</v>
      </c>
      <c r="DA27" s="129">
        <v>1</v>
      </c>
      <c r="DB27" s="129">
        <v>1</v>
      </c>
      <c r="DC27" s="129">
        <v>1</v>
      </c>
      <c r="DD27" s="138">
        <v>1</v>
      </c>
      <c r="DE27" s="156">
        <v>1</v>
      </c>
      <c r="DF27" s="157">
        <v>1</v>
      </c>
      <c r="DG27" s="157">
        <v>1</v>
      </c>
      <c r="DH27" s="157">
        <v>1</v>
      </c>
      <c r="DI27" s="157">
        <v>1</v>
      </c>
      <c r="DJ27" s="157">
        <v>1</v>
      </c>
      <c r="DK27" s="157">
        <v>1</v>
      </c>
      <c r="DL27" s="157">
        <v>1</v>
      </c>
      <c r="DM27" s="157">
        <v>1</v>
      </c>
      <c r="DN27" s="158">
        <v>1</v>
      </c>
      <c r="DO27" s="119">
        <v>1</v>
      </c>
      <c r="DP27" s="118">
        <v>1</v>
      </c>
      <c r="DQ27" s="118">
        <v>1</v>
      </c>
      <c r="DR27" s="118">
        <v>1</v>
      </c>
      <c r="DS27" s="118">
        <v>1</v>
      </c>
      <c r="DT27" s="118">
        <v>1</v>
      </c>
      <c r="DU27" s="118">
        <v>1</v>
      </c>
      <c r="DV27" s="118">
        <v>1</v>
      </c>
      <c r="DW27" s="118">
        <v>1</v>
      </c>
      <c r="DX27" s="120">
        <v>1</v>
      </c>
      <c r="DY27" s="90">
        <v>1</v>
      </c>
      <c r="DZ27" s="91">
        <v>1</v>
      </c>
      <c r="EA27" s="91">
        <v>1</v>
      </c>
      <c r="EB27" s="91">
        <v>1</v>
      </c>
      <c r="EC27" s="91">
        <v>1</v>
      </c>
      <c r="ED27" s="91">
        <v>1</v>
      </c>
      <c r="EE27" s="91">
        <v>1</v>
      </c>
      <c r="EF27" s="91">
        <v>1</v>
      </c>
      <c r="EG27" s="91">
        <v>1</v>
      </c>
      <c r="EH27" s="92">
        <v>1</v>
      </c>
      <c r="EI27" s="110">
        <v>1</v>
      </c>
      <c r="EJ27" s="109">
        <v>1</v>
      </c>
      <c r="EK27" s="109">
        <v>1</v>
      </c>
      <c r="EL27" s="109">
        <v>1</v>
      </c>
      <c r="EM27" s="109">
        <v>1</v>
      </c>
      <c r="EN27" s="109">
        <v>1</v>
      </c>
      <c r="EO27" s="109">
        <v>1</v>
      </c>
      <c r="EP27" s="109">
        <v>1</v>
      </c>
      <c r="EQ27" s="109">
        <v>1</v>
      </c>
      <c r="ER27" s="132">
        <v>1</v>
      </c>
      <c r="ES27" s="175">
        <f t="shared" si="1"/>
        <v>10</v>
      </c>
      <c r="ET27" s="175">
        <f t="shared" si="2"/>
        <v>10</v>
      </c>
      <c r="EU27" s="175">
        <f t="shared" si="3"/>
        <v>8</v>
      </c>
      <c r="EV27" s="175">
        <f t="shared" si="4"/>
        <v>10</v>
      </c>
      <c r="EW27" s="175">
        <f t="shared" si="14"/>
        <v>10</v>
      </c>
      <c r="EX27" s="175">
        <f t="shared" si="15"/>
        <v>10</v>
      </c>
      <c r="EY27" s="175">
        <f t="shared" si="5"/>
        <v>10</v>
      </c>
      <c r="EZ27" s="176">
        <f t="shared" si="6"/>
        <v>0</v>
      </c>
      <c r="FA27" s="175">
        <f t="shared" si="7"/>
        <v>10</v>
      </c>
      <c r="FB27" s="175">
        <f t="shared" si="8"/>
        <v>10</v>
      </c>
      <c r="FC27" s="175">
        <f t="shared" si="9"/>
        <v>10</v>
      </c>
      <c r="FD27" s="175">
        <f t="shared" si="10"/>
        <v>10</v>
      </c>
      <c r="FE27" s="175">
        <f t="shared" si="11"/>
        <v>10</v>
      </c>
      <c r="FF27" s="175">
        <f t="shared" si="12"/>
        <v>10</v>
      </c>
      <c r="FG27" s="37">
        <f t="shared" si="17"/>
        <v>25</v>
      </c>
      <c r="FH27" s="165">
        <f t="shared" si="13"/>
        <v>128</v>
      </c>
      <c r="FI27" s="165">
        <f>SUM(I7:ER7)-SUM(ES27:FF27)</f>
        <v>0</v>
      </c>
      <c r="FJ27" s="165">
        <f t="shared" si="16"/>
        <v>128</v>
      </c>
      <c r="FK27" s="7"/>
    </row>
    <row r="28" spans="1:167" ht="15" customHeight="1">
      <c r="A28" s="2"/>
      <c r="B28" s="3">
        <f t="shared" si="0"/>
        <v>1</v>
      </c>
      <c r="C28" s="182">
        <f t="shared" si="18"/>
        <v>21</v>
      </c>
      <c r="D28" s="183" t="s">
        <v>165</v>
      </c>
      <c r="E28" s="178"/>
      <c r="F28" s="177">
        <v>16</v>
      </c>
      <c r="G28" s="628">
        <v>45915</v>
      </c>
      <c r="H28" s="629"/>
      <c r="I28" s="96">
        <v>0</v>
      </c>
      <c r="J28" s="97">
        <v>0</v>
      </c>
      <c r="K28" s="97">
        <v>0</v>
      </c>
      <c r="L28" s="97">
        <v>0</v>
      </c>
      <c r="M28" s="97">
        <v>1</v>
      </c>
      <c r="N28" s="97">
        <v>1</v>
      </c>
      <c r="O28" s="97">
        <v>0</v>
      </c>
      <c r="P28" s="97">
        <v>0</v>
      </c>
      <c r="Q28" s="97">
        <v>0</v>
      </c>
      <c r="R28" s="98">
        <v>0</v>
      </c>
      <c r="S28" s="115">
        <v>0</v>
      </c>
      <c r="T28" s="116">
        <v>0</v>
      </c>
      <c r="U28" s="116">
        <v>0</v>
      </c>
      <c r="V28" s="116">
        <v>0</v>
      </c>
      <c r="W28" s="116">
        <v>0</v>
      </c>
      <c r="X28" s="116">
        <v>0</v>
      </c>
      <c r="Y28" s="116">
        <v>0</v>
      </c>
      <c r="Z28" s="116">
        <v>0</v>
      </c>
      <c r="AA28" s="116">
        <v>0</v>
      </c>
      <c r="AB28" s="117">
        <v>0</v>
      </c>
      <c r="AC28" s="88">
        <v>0</v>
      </c>
      <c r="AD28" s="89">
        <v>0</v>
      </c>
      <c r="AE28" s="89">
        <v>0</v>
      </c>
      <c r="AF28" s="89">
        <v>0</v>
      </c>
      <c r="AG28" s="592"/>
      <c r="AH28" s="593"/>
      <c r="AI28" s="89">
        <v>0</v>
      </c>
      <c r="AJ28" s="89">
        <v>0</v>
      </c>
      <c r="AK28" s="89">
        <v>0</v>
      </c>
      <c r="AL28" s="122">
        <v>0</v>
      </c>
      <c r="AM28" s="107">
        <v>0</v>
      </c>
      <c r="AN28" s="108">
        <v>0</v>
      </c>
      <c r="AO28" s="108">
        <v>0</v>
      </c>
      <c r="AP28" s="108">
        <v>0</v>
      </c>
      <c r="AQ28" s="108">
        <v>0</v>
      </c>
      <c r="AR28" s="108">
        <v>0</v>
      </c>
      <c r="AS28" s="108">
        <v>0</v>
      </c>
      <c r="AT28" s="108">
        <v>0</v>
      </c>
      <c r="AU28" s="108">
        <v>0</v>
      </c>
      <c r="AV28" s="131">
        <v>0</v>
      </c>
      <c r="AW28" s="126">
        <v>0</v>
      </c>
      <c r="AX28" s="129">
        <v>0</v>
      </c>
      <c r="AY28" s="127">
        <v>0</v>
      </c>
      <c r="AZ28" s="127">
        <v>0</v>
      </c>
      <c r="BA28" s="127">
        <v>0</v>
      </c>
      <c r="BB28" s="127">
        <v>0</v>
      </c>
      <c r="BC28" s="127">
        <v>0</v>
      </c>
      <c r="BD28" s="127">
        <v>0</v>
      </c>
      <c r="BE28" s="127">
        <v>0</v>
      </c>
      <c r="BF28" s="137">
        <v>0</v>
      </c>
      <c r="BG28" s="96">
        <v>0</v>
      </c>
      <c r="BH28" s="97">
        <v>0</v>
      </c>
      <c r="BI28" s="97">
        <v>0</v>
      </c>
      <c r="BJ28" s="97">
        <v>0</v>
      </c>
      <c r="BK28" s="97">
        <v>0</v>
      </c>
      <c r="BL28" s="100">
        <v>0</v>
      </c>
      <c r="BM28" s="100">
        <v>0</v>
      </c>
      <c r="BN28" s="100">
        <v>0</v>
      </c>
      <c r="BO28" s="100">
        <v>0</v>
      </c>
      <c r="BP28" s="101">
        <v>0</v>
      </c>
      <c r="BQ28" s="119">
        <v>0</v>
      </c>
      <c r="BR28" s="118">
        <v>0</v>
      </c>
      <c r="BS28" s="118">
        <v>0</v>
      </c>
      <c r="BT28" s="118">
        <v>0</v>
      </c>
      <c r="BU28" s="118">
        <v>0</v>
      </c>
      <c r="BV28" s="118">
        <v>0</v>
      </c>
      <c r="BW28" s="118">
        <v>0</v>
      </c>
      <c r="BX28" s="118">
        <v>0</v>
      </c>
      <c r="BY28" s="118">
        <v>0</v>
      </c>
      <c r="BZ28" s="120">
        <v>0</v>
      </c>
      <c r="CA28" s="537"/>
      <c r="CB28" s="538"/>
      <c r="CC28" s="538"/>
      <c r="CD28" s="538"/>
      <c r="CE28" s="538"/>
      <c r="CF28" s="538"/>
      <c r="CG28" s="538"/>
      <c r="CH28" s="538"/>
      <c r="CI28" s="538"/>
      <c r="CJ28" s="539"/>
      <c r="CK28" s="110">
        <v>0</v>
      </c>
      <c r="CL28" s="109">
        <v>0</v>
      </c>
      <c r="CM28" s="109">
        <v>0</v>
      </c>
      <c r="CN28" s="109">
        <v>0</v>
      </c>
      <c r="CO28" s="109">
        <v>0</v>
      </c>
      <c r="CP28" s="109">
        <v>0</v>
      </c>
      <c r="CQ28" s="109">
        <v>0</v>
      </c>
      <c r="CR28" s="109">
        <v>0</v>
      </c>
      <c r="CS28" s="109">
        <v>0</v>
      </c>
      <c r="CT28" s="111">
        <v>0</v>
      </c>
      <c r="CU28" s="128">
        <v>0</v>
      </c>
      <c r="CV28" s="129">
        <v>0</v>
      </c>
      <c r="CW28" s="129">
        <v>0</v>
      </c>
      <c r="CX28" s="129">
        <v>0</v>
      </c>
      <c r="CY28" s="129">
        <v>0</v>
      </c>
      <c r="CZ28" s="129">
        <v>0</v>
      </c>
      <c r="DA28" s="129">
        <v>0</v>
      </c>
      <c r="DB28" s="129">
        <v>0</v>
      </c>
      <c r="DC28" s="129">
        <v>0</v>
      </c>
      <c r="DD28" s="138">
        <v>0</v>
      </c>
      <c r="DE28" s="156">
        <v>0</v>
      </c>
      <c r="DF28" s="157">
        <v>0</v>
      </c>
      <c r="DG28" s="157">
        <v>0</v>
      </c>
      <c r="DH28" s="157">
        <v>0</v>
      </c>
      <c r="DI28" s="157">
        <v>0</v>
      </c>
      <c r="DJ28" s="157">
        <v>0</v>
      </c>
      <c r="DK28" s="157">
        <v>0</v>
      </c>
      <c r="DL28" s="157">
        <v>0</v>
      </c>
      <c r="DM28" s="157">
        <v>0</v>
      </c>
      <c r="DN28" s="158">
        <v>0</v>
      </c>
      <c r="DO28" s="119">
        <v>0</v>
      </c>
      <c r="DP28" s="118">
        <v>0</v>
      </c>
      <c r="DQ28" s="118">
        <v>0</v>
      </c>
      <c r="DR28" s="118">
        <v>0</v>
      </c>
      <c r="DS28" s="118">
        <v>0</v>
      </c>
      <c r="DT28" s="118">
        <v>0</v>
      </c>
      <c r="DU28" s="118">
        <v>0</v>
      </c>
      <c r="DV28" s="118">
        <v>0</v>
      </c>
      <c r="DW28" s="118">
        <v>0</v>
      </c>
      <c r="DX28" s="120">
        <v>0</v>
      </c>
      <c r="DY28" s="90">
        <v>0</v>
      </c>
      <c r="DZ28" s="91">
        <v>0</v>
      </c>
      <c r="EA28" s="91">
        <v>0</v>
      </c>
      <c r="EB28" s="91">
        <v>0</v>
      </c>
      <c r="EC28" s="91">
        <v>0</v>
      </c>
      <c r="ED28" s="91">
        <v>0</v>
      </c>
      <c r="EE28" s="91">
        <v>0</v>
      </c>
      <c r="EF28" s="91">
        <v>0</v>
      </c>
      <c r="EG28" s="91">
        <v>0</v>
      </c>
      <c r="EH28" s="92">
        <v>0</v>
      </c>
      <c r="EI28" s="110">
        <v>0</v>
      </c>
      <c r="EJ28" s="109">
        <v>0</v>
      </c>
      <c r="EK28" s="109">
        <v>0</v>
      </c>
      <c r="EL28" s="109">
        <v>0</v>
      </c>
      <c r="EM28" s="109">
        <v>0</v>
      </c>
      <c r="EN28" s="109">
        <v>0</v>
      </c>
      <c r="EO28" s="109">
        <v>0</v>
      </c>
      <c r="EP28" s="109">
        <v>0</v>
      </c>
      <c r="EQ28" s="109">
        <v>0</v>
      </c>
      <c r="ER28" s="132">
        <v>0</v>
      </c>
      <c r="ES28" s="175">
        <f t="shared" si="1"/>
        <v>2</v>
      </c>
      <c r="ET28" s="175">
        <f t="shared" si="2"/>
        <v>0</v>
      </c>
      <c r="EU28" s="175">
        <f t="shared" si="3"/>
        <v>0</v>
      </c>
      <c r="EV28" s="175">
        <f t="shared" si="4"/>
        <v>0</v>
      </c>
      <c r="EW28" s="175">
        <f t="shared" si="14"/>
        <v>0</v>
      </c>
      <c r="EX28" s="175">
        <f t="shared" si="15"/>
        <v>0</v>
      </c>
      <c r="EY28" s="175">
        <f t="shared" si="5"/>
        <v>0</v>
      </c>
      <c r="EZ28" s="176">
        <f t="shared" si="6"/>
        <v>0</v>
      </c>
      <c r="FA28" s="175">
        <f t="shared" si="7"/>
        <v>0</v>
      </c>
      <c r="FB28" s="175">
        <f t="shared" si="8"/>
        <v>0</v>
      </c>
      <c r="FC28" s="175">
        <f t="shared" si="9"/>
        <v>0</v>
      </c>
      <c r="FD28" s="175">
        <f t="shared" si="10"/>
        <v>0</v>
      </c>
      <c r="FE28" s="175">
        <f t="shared" si="11"/>
        <v>0</v>
      </c>
      <c r="FF28" s="175">
        <f t="shared" si="12"/>
        <v>0</v>
      </c>
      <c r="FG28" s="37">
        <f t="shared" si="17"/>
        <v>26</v>
      </c>
      <c r="FH28" s="165">
        <f t="shared" si="13"/>
        <v>2</v>
      </c>
      <c r="FI28" s="165">
        <f>SUM(I7:ER7)-SUM(ES28:FF28)</f>
        <v>126</v>
      </c>
      <c r="FJ28" s="165">
        <f t="shared" si="16"/>
        <v>128</v>
      </c>
      <c r="FK28" s="7"/>
    </row>
    <row r="29" spans="1:167" ht="15.75" customHeight="1">
      <c r="A29" s="2"/>
      <c r="B29" s="3">
        <f t="shared" si="0"/>
        <v>1</v>
      </c>
      <c r="C29" s="182">
        <f t="shared" si="18"/>
        <v>22</v>
      </c>
      <c r="D29" s="183" t="s">
        <v>166</v>
      </c>
      <c r="E29" s="178"/>
      <c r="F29" s="177">
        <v>17</v>
      </c>
      <c r="G29" s="628">
        <v>45915</v>
      </c>
      <c r="H29" s="629"/>
      <c r="I29" s="96">
        <v>0</v>
      </c>
      <c r="J29" s="97">
        <v>0</v>
      </c>
      <c r="K29" s="97">
        <v>0</v>
      </c>
      <c r="L29" s="97">
        <v>0</v>
      </c>
      <c r="M29" s="97">
        <v>0</v>
      </c>
      <c r="N29" s="97">
        <v>0</v>
      </c>
      <c r="O29" s="97">
        <v>0</v>
      </c>
      <c r="P29" s="97">
        <v>0</v>
      </c>
      <c r="Q29" s="97">
        <v>0</v>
      </c>
      <c r="R29" s="98">
        <v>0</v>
      </c>
      <c r="S29" s="115">
        <v>0</v>
      </c>
      <c r="T29" s="116">
        <v>0</v>
      </c>
      <c r="U29" s="116">
        <v>0</v>
      </c>
      <c r="V29" s="116">
        <v>0</v>
      </c>
      <c r="W29" s="116">
        <v>0</v>
      </c>
      <c r="X29" s="116">
        <v>0</v>
      </c>
      <c r="Y29" s="116">
        <v>1</v>
      </c>
      <c r="Z29" s="116">
        <v>1</v>
      </c>
      <c r="AA29" s="116">
        <v>1</v>
      </c>
      <c r="AB29" s="117">
        <v>1</v>
      </c>
      <c r="AC29" s="88">
        <v>1</v>
      </c>
      <c r="AD29" s="89">
        <v>1</v>
      </c>
      <c r="AE29" s="89">
        <v>0</v>
      </c>
      <c r="AF29" s="89">
        <v>0</v>
      </c>
      <c r="AG29" s="592"/>
      <c r="AH29" s="593"/>
      <c r="AI29" s="89">
        <v>0</v>
      </c>
      <c r="AJ29" s="89">
        <v>0</v>
      </c>
      <c r="AK29" s="89">
        <v>1</v>
      </c>
      <c r="AL29" s="122">
        <v>1</v>
      </c>
      <c r="AM29" s="107">
        <v>1</v>
      </c>
      <c r="AN29" s="108">
        <v>1</v>
      </c>
      <c r="AO29" s="108">
        <v>0</v>
      </c>
      <c r="AP29" s="108">
        <v>0</v>
      </c>
      <c r="AQ29" s="108">
        <v>1</v>
      </c>
      <c r="AR29" s="108">
        <v>1</v>
      </c>
      <c r="AS29" s="108">
        <v>1</v>
      </c>
      <c r="AT29" s="108">
        <v>1</v>
      </c>
      <c r="AU29" s="108">
        <v>1</v>
      </c>
      <c r="AV29" s="131">
        <v>1</v>
      </c>
      <c r="AW29" s="126">
        <v>0</v>
      </c>
      <c r="AX29" s="127">
        <v>0</v>
      </c>
      <c r="AY29" s="127">
        <v>0</v>
      </c>
      <c r="AZ29" s="127">
        <v>0</v>
      </c>
      <c r="BA29" s="127">
        <v>0</v>
      </c>
      <c r="BB29" s="127">
        <v>0</v>
      </c>
      <c r="BC29" s="127">
        <v>0</v>
      </c>
      <c r="BD29" s="127">
        <v>0</v>
      </c>
      <c r="BE29" s="127">
        <v>0</v>
      </c>
      <c r="BF29" s="137">
        <v>0</v>
      </c>
      <c r="BG29" s="96">
        <v>0</v>
      </c>
      <c r="BH29" s="97">
        <v>0</v>
      </c>
      <c r="BI29" s="97">
        <v>1</v>
      </c>
      <c r="BJ29" s="97">
        <v>1</v>
      </c>
      <c r="BK29" s="97">
        <v>1</v>
      </c>
      <c r="BL29" s="100">
        <v>1</v>
      </c>
      <c r="BM29" s="100">
        <v>1</v>
      </c>
      <c r="BN29" s="100">
        <v>1</v>
      </c>
      <c r="BO29" s="100">
        <v>1</v>
      </c>
      <c r="BP29" s="101">
        <v>1</v>
      </c>
      <c r="BQ29" s="119">
        <v>1</v>
      </c>
      <c r="BR29" s="118">
        <v>1</v>
      </c>
      <c r="BS29" s="118">
        <v>1</v>
      </c>
      <c r="BT29" s="118">
        <v>1</v>
      </c>
      <c r="BU29" s="118">
        <v>1</v>
      </c>
      <c r="BV29" s="118">
        <v>1</v>
      </c>
      <c r="BW29" s="118">
        <v>1</v>
      </c>
      <c r="BX29" s="118">
        <v>1</v>
      </c>
      <c r="BY29" s="118">
        <v>1</v>
      </c>
      <c r="BZ29" s="120">
        <v>1</v>
      </c>
      <c r="CA29" s="537"/>
      <c r="CB29" s="538"/>
      <c r="CC29" s="538"/>
      <c r="CD29" s="538"/>
      <c r="CE29" s="538"/>
      <c r="CF29" s="538"/>
      <c r="CG29" s="538"/>
      <c r="CH29" s="538"/>
      <c r="CI29" s="538"/>
      <c r="CJ29" s="539"/>
      <c r="CK29" s="110">
        <v>1</v>
      </c>
      <c r="CL29" s="109">
        <v>1</v>
      </c>
      <c r="CM29" s="109">
        <v>1</v>
      </c>
      <c r="CN29" s="109">
        <v>1</v>
      </c>
      <c r="CO29" s="109">
        <v>1</v>
      </c>
      <c r="CP29" s="109">
        <v>1</v>
      </c>
      <c r="CQ29" s="109">
        <v>1</v>
      </c>
      <c r="CR29" s="109">
        <v>1</v>
      </c>
      <c r="CS29" s="109">
        <v>1</v>
      </c>
      <c r="CT29" s="111">
        <v>1</v>
      </c>
      <c r="CU29" s="128">
        <v>1</v>
      </c>
      <c r="CV29" s="129">
        <v>1</v>
      </c>
      <c r="CW29" s="129">
        <v>1</v>
      </c>
      <c r="CX29" s="129">
        <v>0</v>
      </c>
      <c r="CY29" s="129">
        <v>0</v>
      </c>
      <c r="CZ29" s="129">
        <v>1</v>
      </c>
      <c r="DA29" s="129">
        <v>1</v>
      </c>
      <c r="DB29" s="129">
        <v>1</v>
      </c>
      <c r="DC29" s="129">
        <v>1</v>
      </c>
      <c r="DD29" s="138">
        <v>1</v>
      </c>
      <c r="DE29" s="156">
        <v>1</v>
      </c>
      <c r="DF29" s="157">
        <v>1</v>
      </c>
      <c r="DG29" s="157">
        <v>1</v>
      </c>
      <c r="DH29" s="157">
        <v>1</v>
      </c>
      <c r="DI29" s="157">
        <v>1</v>
      </c>
      <c r="DJ29" s="157">
        <v>1</v>
      </c>
      <c r="DK29" s="157">
        <v>1</v>
      </c>
      <c r="DL29" s="157">
        <v>1</v>
      </c>
      <c r="DM29" s="157">
        <v>1</v>
      </c>
      <c r="DN29" s="158">
        <v>1</v>
      </c>
      <c r="DO29" s="119">
        <v>1</v>
      </c>
      <c r="DP29" s="118">
        <v>1</v>
      </c>
      <c r="DQ29" s="118">
        <v>1</v>
      </c>
      <c r="DR29" s="118">
        <v>1</v>
      </c>
      <c r="DS29" s="118">
        <v>1</v>
      </c>
      <c r="DT29" s="118">
        <v>1</v>
      </c>
      <c r="DU29" s="118">
        <v>1</v>
      </c>
      <c r="DV29" s="118">
        <v>1</v>
      </c>
      <c r="DW29" s="118">
        <v>1</v>
      </c>
      <c r="DX29" s="120">
        <v>1</v>
      </c>
      <c r="DY29" s="90">
        <v>1</v>
      </c>
      <c r="DZ29" s="91">
        <v>1</v>
      </c>
      <c r="EA29" s="91">
        <v>1</v>
      </c>
      <c r="EB29" s="91">
        <v>1</v>
      </c>
      <c r="EC29" s="91">
        <v>0</v>
      </c>
      <c r="ED29" s="91">
        <v>0</v>
      </c>
      <c r="EE29" s="91">
        <v>1</v>
      </c>
      <c r="EF29" s="91">
        <v>1</v>
      </c>
      <c r="EG29" s="91">
        <v>1</v>
      </c>
      <c r="EH29" s="92">
        <v>1</v>
      </c>
      <c r="EI29" s="110">
        <v>1</v>
      </c>
      <c r="EJ29" s="109">
        <v>1</v>
      </c>
      <c r="EK29" s="109">
        <v>1</v>
      </c>
      <c r="EL29" s="109">
        <v>1</v>
      </c>
      <c r="EM29" s="109">
        <v>1</v>
      </c>
      <c r="EN29" s="109">
        <v>1</v>
      </c>
      <c r="EO29" s="109">
        <v>1</v>
      </c>
      <c r="EP29" s="109">
        <v>1</v>
      </c>
      <c r="EQ29" s="109">
        <v>1</v>
      </c>
      <c r="ER29" s="132">
        <v>1</v>
      </c>
      <c r="ES29" s="175">
        <f t="shared" si="1"/>
        <v>0</v>
      </c>
      <c r="ET29" s="175">
        <f t="shared" si="2"/>
        <v>4</v>
      </c>
      <c r="EU29" s="175">
        <f t="shared" si="3"/>
        <v>4</v>
      </c>
      <c r="EV29" s="175">
        <f t="shared" si="4"/>
        <v>8</v>
      </c>
      <c r="EW29" s="175">
        <f t="shared" si="14"/>
        <v>8</v>
      </c>
      <c r="EX29" s="175">
        <f t="shared" si="15"/>
        <v>10</v>
      </c>
      <c r="EY29" s="175">
        <f t="shared" si="5"/>
        <v>10</v>
      </c>
      <c r="EZ29" s="176">
        <f t="shared" si="6"/>
        <v>0</v>
      </c>
      <c r="FA29" s="175">
        <f t="shared" si="7"/>
        <v>10</v>
      </c>
      <c r="FB29" s="175">
        <f t="shared" si="8"/>
        <v>8</v>
      </c>
      <c r="FC29" s="175">
        <f t="shared" si="9"/>
        <v>10</v>
      </c>
      <c r="FD29" s="175">
        <f t="shared" si="10"/>
        <v>10</v>
      </c>
      <c r="FE29" s="175">
        <f t="shared" si="11"/>
        <v>8</v>
      </c>
      <c r="FF29" s="175">
        <f t="shared" si="12"/>
        <v>10</v>
      </c>
      <c r="FG29" s="37">
        <f t="shared" si="17"/>
        <v>27</v>
      </c>
      <c r="FH29" s="165">
        <f t="shared" si="13"/>
        <v>100</v>
      </c>
      <c r="FI29" s="165">
        <f>SUM(I7:ER7)-SUM(ES29:FF29)</f>
        <v>28</v>
      </c>
      <c r="FJ29" s="165">
        <f t="shared" si="16"/>
        <v>128</v>
      </c>
      <c r="FK29" s="7"/>
    </row>
    <row r="30" spans="1:167" ht="15.75" customHeight="1">
      <c r="A30" s="2"/>
      <c r="B30" s="3">
        <f t="shared" si="0"/>
        <v>1</v>
      </c>
      <c r="C30" s="182">
        <f t="shared" si="18"/>
        <v>23</v>
      </c>
      <c r="D30" s="183" t="s">
        <v>167</v>
      </c>
      <c r="E30" s="178"/>
      <c r="F30" s="177">
        <v>16</v>
      </c>
      <c r="G30" s="628">
        <v>45915</v>
      </c>
      <c r="H30" s="629"/>
      <c r="I30" s="96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8">
        <v>0</v>
      </c>
      <c r="S30" s="115">
        <v>0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6">
        <v>0</v>
      </c>
      <c r="Z30" s="116">
        <v>0</v>
      </c>
      <c r="AA30" s="116">
        <v>0</v>
      </c>
      <c r="AB30" s="117">
        <v>0</v>
      </c>
      <c r="AC30" s="88">
        <v>1</v>
      </c>
      <c r="AD30" s="89">
        <v>1</v>
      </c>
      <c r="AE30" s="89">
        <v>1</v>
      </c>
      <c r="AF30" s="89">
        <v>1</v>
      </c>
      <c r="AG30" s="592"/>
      <c r="AH30" s="593"/>
      <c r="AI30" s="89">
        <v>1</v>
      </c>
      <c r="AJ30" s="89">
        <v>1</v>
      </c>
      <c r="AK30" s="89">
        <v>1</v>
      </c>
      <c r="AL30" s="122">
        <v>1</v>
      </c>
      <c r="AM30" s="107">
        <v>1</v>
      </c>
      <c r="AN30" s="108">
        <v>1</v>
      </c>
      <c r="AO30" s="108">
        <v>1</v>
      </c>
      <c r="AP30" s="108">
        <v>1</v>
      </c>
      <c r="AQ30" s="108">
        <v>1</v>
      </c>
      <c r="AR30" s="108">
        <v>1</v>
      </c>
      <c r="AS30" s="108">
        <v>0</v>
      </c>
      <c r="AT30" s="108">
        <v>0</v>
      </c>
      <c r="AU30" s="108">
        <v>0</v>
      </c>
      <c r="AV30" s="131">
        <v>0</v>
      </c>
      <c r="AW30" s="126">
        <v>1</v>
      </c>
      <c r="AX30" s="127">
        <v>1</v>
      </c>
      <c r="AY30" s="127">
        <v>1</v>
      </c>
      <c r="AZ30" s="127">
        <v>1</v>
      </c>
      <c r="BA30" s="127">
        <v>1</v>
      </c>
      <c r="BB30" s="127">
        <v>1</v>
      </c>
      <c r="BC30" s="127">
        <v>1</v>
      </c>
      <c r="BD30" s="127">
        <v>1</v>
      </c>
      <c r="BE30" s="127">
        <v>1</v>
      </c>
      <c r="BF30" s="137">
        <v>1</v>
      </c>
      <c r="BG30" s="96">
        <v>1</v>
      </c>
      <c r="BH30" s="97">
        <v>1</v>
      </c>
      <c r="BI30" s="97">
        <v>1</v>
      </c>
      <c r="BJ30" s="97">
        <v>1</v>
      </c>
      <c r="BK30" s="97">
        <v>1</v>
      </c>
      <c r="BL30" s="100">
        <v>1</v>
      </c>
      <c r="BM30" s="100">
        <v>1</v>
      </c>
      <c r="BN30" s="100">
        <v>1</v>
      </c>
      <c r="BO30" s="100">
        <v>1</v>
      </c>
      <c r="BP30" s="101">
        <v>1</v>
      </c>
      <c r="BQ30" s="119">
        <v>1</v>
      </c>
      <c r="BR30" s="118">
        <v>1</v>
      </c>
      <c r="BS30" s="118">
        <v>1</v>
      </c>
      <c r="BT30" s="118">
        <v>1</v>
      </c>
      <c r="BU30" s="118">
        <v>1</v>
      </c>
      <c r="BV30" s="118">
        <v>1</v>
      </c>
      <c r="BW30" s="118">
        <v>1</v>
      </c>
      <c r="BX30" s="118">
        <v>1</v>
      </c>
      <c r="BY30" s="118">
        <v>1</v>
      </c>
      <c r="BZ30" s="120">
        <v>1</v>
      </c>
      <c r="CA30" s="537"/>
      <c r="CB30" s="538"/>
      <c r="CC30" s="538"/>
      <c r="CD30" s="538"/>
      <c r="CE30" s="538"/>
      <c r="CF30" s="538"/>
      <c r="CG30" s="538"/>
      <c r="CH30" s="538"/>
      <c r="CI30" s="538"/>
      <c r="CJ30" s="539"/>
      <c r="CK30" s="110">
        <v>1</v>
      </c>
      <c r="CL30" s="109">
        <v>1</v>
      </c>
      <c r="CM30" s="109">
        <v>1</v>
      </c>
      <c r="CN30" s="109">
        <v>1</v>
      </c>
      <c r="CO30" s="109">
        <v>1</v>
      </c>
      <c r="CP30" s="109">
        <v>1</v>
      </c>
      <c r="CQ30" s="109">
        <v>1</v>
      </c>
      <c r="CR30" s="109">
        <v>1</v>
      </c>
      <c r="CS30" s="109">
        <v>1</v>
      </c>
      <c r="CT30" s="111">
        <v>1</v>
      </c>
      <c r="CU30" s="128">
        <v>1</v>
      </c>
      <c r="CV30" s="129">
        <v>1</v>
      </c>
      <c r="CW30" s="129">
        <v>1</v>
      </c>
      <c r="CX30" s="129">
        <v>1</v>
      </c>
      <c r="CY30" s="129">
        <v>1</v>
      </c>
      <c r="CZ30" s="129">
        <v>1</v>
      </c>
      <c r="DA30" s="129">
        <v>1</v>
      </c>
      <c r="DB30" s="129">
        <v>1</v>
      </c>
      <c r="DC30" s="129">
        <v>1</v>
      </c>
      <c r="DD30" s="138">
        <v>1</v>
      </c>
      <c r="DE30" s="156">
        <v>1</v>
      </c>
      <c r="DF30" s="157">
        <v>1</v>
      </c>
      <c r="DG30" s="157">
        <v>1</v>
      </c>
      <c r="DH30" s="157">
        <v>1</v>
      </c>
      <c r="DI30" s="157">
        <v>1</v>
      </c>
      <c r="DJ30" s="157">
        <v>1</v>
      </c>
      <c r="DK30" s="157">
        <v>1</v>
      </c>
      <c r="DL30" s="157">
        <v>1</v>
      </c>
      <c r="DM30" s="157">
        <v>1</v>
      </c>
      <c r="DN30" s="158">
        <v>1</v>
      </c>
      <c r="DO30" s="119">
        <v>1</v>
      </c>
      <c r="DP30" s="118">
        <v>1</v>
      </c>
      <c r="DQ30" s="118">
        <v>1</v>
      </c>
      <c r="DR30" s="118">
        <v>1</v>
      </c>
      <c r="DS30" s="118">
        <v>1</v>
      </c>
      <c r="DT30" s="118">
        <v>1</v>
      </c>
      <c r="DU30" s="118">
        <v>1</v>
      </c>
      <c r="DV30" s="118">
        <v>1</v>
      </c>
      <c r="DW30" s="118">
        <v>1</v>
      </c>
      <c r="DX30" s="120">
        <v>1</v>
      </c>
      <c r="DY30" s="90">
        <v>1</v>
      </c>
      <c r="DZ30" s="91">
        <v>1</v>
      </c>
      <c r="EA30" s="91">
        <v>1</v>
      </c>
      <c r="EB30" s="91">
        <v>1</v>
      </c>
      <c r="EC30" s="91">
        <v>1</v>
      </c>
      <c r="ED30" s="91">
        <v>1</v>
      </c>
      <c r="EE30" s="91">
        <v>1</v>
      </c>
      <c r="EF30" s="91">
        <v>1</v>
      </c>
      <c r="EG30" s="91">
        <v>1</v>
      </c>
      <c r="EH30" s="92">
        <v>1</v>
      </c>
      <c r="EI30" s="110">
        <v>1</v>
      </c>
      <c r="EJ30" s="109">
        <v>1</v>
      </c>
      <c r="EK30" s="109">
        <v>1</v>
      </c>
      <c r="EL30" s="109">
        <v>1</v>
      </c>
      <c r="EM30" s="109">
        <v>1</v>
      </c>
      <c r="EN30" s="109">
        <v>1</v>
      </c>
      <c r="EO30" s="109">
        <v>1</v>
      </c>
      <c r="EP30" s="109">
        <v>1</v>
      </c>
      <c r="EQ30" s="109">
        <v>1</v>
      </c>
      <c r="ER30" s="132">
        <v>1</v>
      </c>
      <c r="ES30" s="175">
        <f t="shared" si="1"/>
        <v>0</v>
      </c>
      <c r="ET30" s="175">
        <f t="shared" si="2"/>
        <v>0</v>
      </c>
      <c r="EU30" s="175">
        <f t="shared" si="3"/>
        <v>8</v>
      </c>
      <c r="EV30" s="175">
        <f t="shared" si="4"/>
        <v>6</v>
      </c>
      <c r="EW30" s="175">
        <f t="shared" si="14"/>
        <v>10</v>
      </c>
      <c r="EX30" s="175">
        <f t="shared" si="15"/>
        <v>10</v>
      </c>
      <c r="EY30" s="175">
        <f t="shared" si="5"/>
        <v>10</v>
      </c>
      <c r="EZ30" s="176">
        <f t="shared" si="6"/>
        <v>0</v>
      </c>
      <c r="FA30" s="175">
        <f t="shared" si="7"/>
        <v>10</v>
      </c>
      <c r="FB30" s="175">
        <f t="shared" si="8"/>
        <v>10</v>
      </c>
      <c r="FC30" s="175">
        <f t="shared" si="9"/>
        <v>10</v>
      </c>
      <c r="FD30" s="175">
        <f t="shared" si="10"/>
        <v>10</v>
      </c>
      <c r="FE30" s="175">
        <f t="shared" si="11"/>
        <v>10</v>
      </c>
      <c r="FF30" s="175">
        <f t="shared" si="12"/>
        <v>10</v>
      </c>
      <c r="FG30" s="37">
        <f t="shared" si="17"/>
        <v>28</v>
      </c>
      <c r="FH30" s="165">
        <f t="shared" si="13"/>
        <v>104</v>
      </c>
      <c r="FI30" s="165">
        <f>SUM(I7:ER7)-SUM(ES30:FF30)</f>
        <v>24</v>
      </c>
      <c r="FJ30" s="165">
        <f t="shared" si="16"/>
        <v>128</v>
      </c>
      <c r="FK30" s="7"/>
    </row>
    <row r="31" spans="1:167" ht="15.75" customHeight="1">
      <c r="A31" s="2"/>
      <c r="B31" s="3">
        <f t="shared" si="0"/>
        <v>1</v>
      </c>
      <c r="C31" s="182">
        <f t="shared" si="18"/>
        <v>24</v>
      </c>
      <c r="D31" s="183" t="s">
        <v>168</v>
      </c>
      <c r="E31" s="178"/>
      <c r="F31" s="177">
        <v>16</v>
      </c>
      <c r="G31" s="628">
        <v>45915</v>
      </c>
      <c r="H31" s="629"/>
      <c r="I31" s="96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8">
        <v>0</v>
      </c>
      <c r="S31" s="115">
        <v>0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6">
        <v>0</v>
      </c>
      <c r="Z31" s="116">
        <v>0</v>
      </c>
      <c r="AA31" s="116">
        <v>0</v>
      </c>
      <c r="AB31" s="117">
        <v>0</v>
      </c>
      <c r="AC31" s="88">
        <v>1</v>
      </c>
      <c r="AD31" s="89">
        <v>1</v>
      </c>
      <c r="AE31" s="89">
        <v>1</v>
      </c>
      <c r="AF31" s="89">
        <v>1</v>
      </c>
      <c r="AG31" s="592"/>
      <c r="AH31" s="593"/>
      <c r="AI31" s="89">
        <v>1</v>
      </c>
      <c r="AJ31" s="89">
        <v>1</v>
      </c>
      <c r="AK31" s="89">
        <v>1</v>
      </c>
      <c r="AL31" s="122">
        <v>1</v>
      </c>
      <c r="AM31" s="107">
        <v>1</v>
      </c>
      <c r="AN31" s="108">
        <v>1</v>
      </c>
      <c r="AO31" s="108">
        <v>1</v>
      </c>
      <c r="AP31" s="108">
        <v>1</v>
      </c>
      <c r="AQ31" s="108">
        <v>1</v>
      </c>
      <c r="AR31" s="108">
        <v>1</v>
      </c>
      <c r="AS31" s="108">
        <v>0</v>
      </c>
      <c r="AT31" s="108">
        <v>0</v>
      </c>
      <c r="AU31" s="108">
        <v>0</v>
      </c>
      <c r="AV31" s="131">
        <v>0</v>
      </c>
      <c r="AW31" s="126">
        <v>1</v>
      </c>
      <c r="AX31" s="127">
        <v>1</v>
      </c>
      <c r="AY31" s="127">
        <v>1</v>
      </c>
      <c r="AZ31" s="127">
        <v>1</v>
      </c>
      <c r="BA31" s="127">
        <v>1</v>
      </c>
      <c r="BB31" s="127">
        <v>1</v>
      </c>
      <c r="BC31" s="127">
        <v>1</v>
      </c>
      <c r="BD31" s="127">
        <v>1</v>
      </c>
      <c r="BE31" s="127">
        <v>1</v>
      </c>
      <c r="BF31" s="137">
        <v>1</v>
      </c>
      <c r="BG31" s="96">
        <v>0</v>
      </c>
      <c r="BH31" s="97">
        <v>0</v>
      </c>
      <c r="BI31" s="97">
        <v>0</v>
      </c>
      <c r="BJ31" s="97">
        <v>0</v>
      </c>
      <c r="BK31" s="97">
        <v>0</v>
      </c>
      <c r="BL31" s="100">
        <v>0</v>
      </c>
      <c r="BM31" s="100">
        <v>1</v>
      </c>
      <c r="BN31" s="100">
        <v>1</v>
      </c>
      <c r="BO31" s="100">
        <v>1</v>
      </c>
      <c r="BP31" s="101">
        <v>1</v>
      </c>
      <c r="BQ31" s="119">
        <v>1</v>
      </c>
      <c r="BR31" s="118">
        <v>1</v>
      </c>
      <c r="BS31" s="118">
        <v>1</v>
      </c>
      <c r="BT31" s="118">
        <v>1</v>
      </c>
      <c r="BU31" s="118">
        <v>1</v>
      </c>
      <c r="BV31" s="118">
        <v>1</v>
      </c>
      <c r="BW31" s="118">
        <v>1</v>
      </c>
      <c r="BX31" s="118">
        <v>1</v>
      </c>
      <c r="BY31" s="118">
        <v>1</v>
      </c>
      <c r="BZ31" s="120">
        <v>1</v>
      </c>
      <c r="CA31" s="537"/>
      <c r="CB31" s="538"/>
      <c r="CC31" s="538"/>
      <c r="CD31" s="538"/>
      <c r="CE31" s="538"/>
      <c r="CF31" s="538"/>
      <c r="CG31" s="538"/>
      <c r="CH31" s="538"/>
      <c r="CI31" s="538"/>
      <c r="CJ31" s="539"/>
      <c r="CK31" s="110">
        <v>1</v>
      </c>
      <c r="CL31" s="109">
        <v>1</v>
      </c>
      <c r="CM31" s="109">
        <v>1</v>
      </c>
      <c r="CN31" s="109">
        <v>1</v>
      </c>
      <c r="CO31" s="109">
        <v>1</v>
      </c>
      <c r="CP31" s="109">
        <v>1</v>
      </c>
      <c r="CQ31" s="109">
        <v>1</v>
      </c>
      <c r="CR31" s="109">
        <v>1</v>
      </c>
      <c r="CS31" s="109">
        <v>1</v>
      </c>
      <c r="CT31" s="111">
        <v>1</v>
      </c>
      <c r="CU31" s="128">
        <v>1</v>
      </c>
      <c r="CV31" s="129">
        <v>1</v>
      </c>
      <c r="CW31" s="129">
        <v>1</v>
      </c>
      <c r="CX31" s="129">
        <v>1</v>
      </c>
      <c r="CY31" s="129">
        <v>1</v>
      </c>
      <c r="CZ31" s="129">
        <v>1</v>
      </c>
      <c r="DA31" s="129">
        <v>1</v>
      </c>
      <c r="DB31" s="129">
        <v>1</v>
      </c>
      <c r="DC31" s="129">
        <v>1</v>
      </c>
      <c r="DD31" s="138">
        <v>1</v>
      </c>
      <c r="DE31" s="156">
        <v>1</v>
      </c>
      <c r="DF31" s="157">
        <v>1</v>
      </c>
      <c r="DG31" s="157">
        <v>1</v>
      </c>
      <c r="DH31" s="157">
        <v>1</v>
      </c>
      <c r="DI31" s="157">
        <v>1</v>
      </c>
      <c r="DJ31" s="157">
        <v>1</v>
      </c>
      <c r="DK31" s="157">
        <v>1</v>
      </c>
      <c r="DL31" s="157">
        <v>1</v>
      </c>
      <c r="DM31" s="157">
        <v>1</v>
      </c>
      <c r="DN31" s="158">
        <v>1</v>
      </c>
      <c r="DO31" s="119">
        <v>1</v>
      </c>
      <c r="DP31" s="118">
        <v>1</v>
      </c>
      <c r="DQ31" s="118">
        <v>1</v>
      </c>
      <c r="DR31" s="118">
        <v>1</v>
      </c>
      <c r="DS31" s="118">
        <v>1</v>
      </c>
      <c r="DT31" s="118">
        <v>1</v>
      </c>
      <c r="DU31" s="118">
        <v>1</v>
      </c>
      <c r="DV31" s="118">
        <v>1</v>
      </c>
      <c r="DW31" s="118">
        <v>1</v>
      </c>
      <c r="DX31" s="120">
        <v>1</v>
      </c>
      <c r="DY31" s="90">
        <v>1</v>
      </c>
      <c r="DZ31" s="91">
        <v>1</v>
      </c>
      <c r="EA31" s="91">
        <v>1</v>
      </c>
      <c r="EB31" s="91">
        <v>1</v>
      </c>
      <c r="EC31" s="91">
        <v>1</v>
      </c>
      <c r="ED31" s="91">
        <v>1</v>
      </c>
      <c r="EE31" s="91">
        <v>1</v>
      </c>
      <c r="EF31" s="91">
        <v>1</v>
      </c>
      <c r="EG31" s="91">
        <v>1</v>
      </c>
      <c r="EH31" s="92">
        <v>1</v>
      </c>
      <c r="EI31" s="110">
        <v>1</v>
      </c>
      <c r="EJ31" s="109">
        <v>1</v>
      </c>
      <c r="EK31" s="109">
        <v>1</v>
      </c>
      <c r="EL31" s="109">
        <v>1</v>
      </c>
      <c r="EM31" s="109">
        <v>1</v>
      </c>
      <c r="EN31" s="109">
        <v>1</v>
      </c>
      <c r="EO31" s="109">
        <v>1</v>
      </c>
      <c r="EP31" s="109">
        <v>1</v>
      </c>
      <c r="EQ31" s="109">
        <v>1</v>
      </c>
      <c r="ER31" s="132">
        <v>1</v>
      </c>
      <c r="ES31" s="175">
        <f t="shared" si="1"/>
        <v>0</v>
      </c>
      <c r="ET31" s="175">
        <f t="shared" si="2"/>
        <v>0</v>
      </c>
      <c r="EU31" s="175">
        <f t="shared" si="3"/>
        <v>8</v>
      </c>
      <c r="EV31" s="175">
        <f t="shared" si="4"/>
        <v>6</v>
      </c>
      <c r="EW31" s="175">
        <f t="shared" si="14"/>
        <v>4</v>
      </c>
      <c r="EX31" s="175">
        <f t="shared" si="15"/>
        <v>10</v>
      </c>
      <c r="EY31" s="175">
        <f t="shared" si="5"/>
        <v>10</v>
      </c>
      <c r="EZ31" s="176">
        <f t="shared" si="6"/>
        <v>0</v>
      </c>
      <c r="FA31" s="175">
        <f t="shared" si="7"/>
        <v>10</v>
      </c>
      <c r="FB31" s="175">
        <f t="shared" si="8"/>
        <v>10</v>
      </c>
      <c r="FC31" s="175">
        <f t="shared" si="9"/>
        <v>10</v>
      </c>
      <c r="FD31" s="175">
        <f t="shared" si="10"/>
        <v>10</v>
      </c>
      <c r="FE31" s="175">
        <f t="shared" si="11"/>
        <v>10</v>
      </c>
      <c r="FF31" s="175">
        <f t="shared" si="12"/>
        <v>10</v>
      </c>
      <c r="FG31" s="37">
        <f t="shared" si="17"/>
        <v>29</v>
      </c>
      <c r="FH31" s="165">
        <f t="shared" si="13"/>
        <v>98</v>
      </c>
      <c r="FI31" s="165">
        <f>SUM(I7:ER7)-SUM(ES31:FF31)</f>
        <v>30</v>
      </c>
      <c r="FJ31" s="165">
        <f t="shared" si="16"/>
        <v>128</v>
      </c>
      <c r="FK31" s="7"/>
    </row>
    <row r="32" spans="1:167" ht="15.75" customHeight="1">
      <c r="A32" s="2"/>
      <c r="B32" s="3">
        <f t="shared" si="0"/>
        <v>1</v>
      </c>
      <c r="C32" s="182">
        <f t="shared" si="18"/>
        <v>25</v>
      </c>
      <c r="D32" s="183" t="s">
        <v>169</v>
      </c>
      <c r="E32" s="178"/>
      <c r="F32" s="177">
        <v>17</v>
      </c>
      <c r="G32" s="628">
        <v>45915</v>
      </c>
      <c r="H32" s="629"/>
      <c r="I32" s="96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8">
        <v>0</v>
      </c>
      <c r="S32" s="115">
        <v>0</v>
      </c>
      <c r="T32" s="116">
        <v>0</v>
      </c>
      <c r="U32" s="116">
        <v>0</v>
      </c>
      <c r="V32" s="118">
        <v>0</v>
      </c>
      <c r="W32" s="116">
        <v>0</v>
      </c>
      <c r="X32" s="116">
        <v>0</v>
      </c>
      <c r="Y32" s="116">
        <v>0</v>
      </c>
      <c r="Z32" s="116">
        <v>0</v>
      </c>
      <c r="AA32" s="116">
        <v>0</v>
      </c>
      <c r="AB32" s="117">
        <v>0</v>
      </c>
      <c r="AC32" s="88">
        <v>1</v>
      </c>
      <c r="AD32" s="89">
        <v>1</v>
      </c>
      <c r="AE32" s="89">
        <v>1</v>
      </c>
      <c r="AF32" s="89">
        <v>1</v>
      </c>
      <c r="AG32" s="592"/>
      <c r="AH32" s="593"/>
      <c r="AI32" s="89">
        <v>1</v>
      </c>
      <c r="AJ32" s="89">
        <v>1</v>
      </c>
      <c r="AK32" s="89">
        <v>1</v>
      </c>
      <c r="AL32" s="122">
        <v>1</v>
      </c>
      <c r="AM32" s="107">
        <v>1</v>
      </c>
      <c r="AN32" s="108">
        <v>1</v>
      </c>
      <c r="AO32" s="108">
        <v>1</v>
      </c>
      <c r="AP32" s="108">
        <v>1</v>
      </c>
      <c r="AQ32" s="108">
        <v>1</v>
      </c>
      <c r="AR32" s="108">
        <v>1</v>
      </c>
      <c r="AS32" s="108">
        <v>1</v>
      </c>
      <c r="AT32" s="108">
        <v>1</v>
      </c>
      <c r="AU32" s="108">
        <v>1</v>
      </c>
      <c r="AV32" s="131">
        <v>1</v>
      </c>
      <c r="AW32" s="126">
        <v>1</v>
      </c>
      <c r="AX32" s="127">
        <v>1</v>
      </c>
      <c r="AY32" s="127">
        <v>1</v>
      </c>
      <c r="AZ32" s="127">
        <v>1</v>
      </c>
      <c r="BA32" s="127">
        <v>1</v>
      </c>
      <c r="BB32" s="127">
        <v>1</v>
      </c>
      <c r="BC32" s="127">
        <v>1</v>
      </c>
      <c r="BD32" s="127">
        <v>1</v>
      </c>
      <c r="BE32" s="127">
        <v>1</v>
      </c>
      <c r="BF32" s="137">
        <v>1</v>
      </c>
      <c r="BG32" s="96">
        <v>1</v>
      </c>
      <c r="BH32" s="97">
        <v>1</v>
      </c>
      <c r="BI32" s="97">
        <v>1</v>
      </c>
      <c r="BJ32" s="97">
        <v>1</v>
      </c>
      <c r="BK32" s="97">
        <v>1</v>
      </c>
      <c r="BL32" s="100">
        <v>1</v>
      </c>
      <c r="BM32" s="100">
        <v>1</v>
      </c>
      <c r="BN32" s="100">
        <v>1</v>
      </c>
      <c r="BO32" s="100">
        <v>1</v>
      </c>
      <c r="BP32" s="101">
        <v>1</v>
      </c>
      <c r="BQ32" s="119">
        <v>1</v>
      </c>
      <c r="BR32" s="118">
        <v>1</v>
      </c>
      <c r="BS32" s="118">
        <v>1</v>
      </c>
      <c r="BT32" s="118">
        <v>1</v>
      </c>
      <c r="BU32" s="118">
        <v>1</v>
      </c>
      <c r="BV32" s="118">
        <v>1</v>
      </c>
      <c r="BW32" s="118">
        <v>1</v>
      </c>
      <c r="BX32" s="118">
        <v>1</v>
      </c>
      <c r="BY32" s="118">
        <v>1</v>
      </c>
      <c r="BZ32" s="120">
        <v>1</v>
      </c>
      <c r="CA32" s="537"/>
      <c r="CB32" s="538"/>
      <c r="CC32" s="538"/>
      <c r="CD32" s="538"/>
      <c r="CE32" s="538"/>
      <c r="CF32" s="538"/>
      <c r="CG32" s="538"/>
      <c r="CH32" s="538"/>
      <c r="CI32" s="538"/>
      <c r="CJ32" s="539"/>
      <c r="CK32" s="110">
        <v>1</v>
      </c>
      <c r="CL32" s="109">
        <v>1</v>
      </c>
      <c r="CM32" s="109">
        <v>1</v>
      </c>
      <c r="CN32" s="109">
        <v>1</v>
      </c>
      <c r="CO32" s="109">
        <v>1</v>
      </c>
      <c r="CP32" s="109">
        <v>1</v>
      </c>
      <c r="CQ32" s="109">
        <v>1</v>
      </c>
      <c r="CR32" s="109">
        <v>1</v>
      </c>
      <c r="CS32" s="109">
        <v>0</v>
      </c>
      <c r="CT32" s="111">
        <v>0</v>
      </c>
      <c r="CU32" s="128">
        <v>0</v>
      </c>
      <c r="CV32" s="129">
        <v>1</v>
      </c>
      <c r="CW32" s="129">
        <v>1</v>
      </c>
      <c r="CX32" s="129">
        <v>1</v>
      </c>
      <c r="CY32" s="129">
        <v>1</v>
      </c>
      <c r="CZ32" s="129">
        <v>0</v>
      </c>
      <c r="DA32" s="129">
        <v>0</v>
      </c>
      <c r="DB32" s="129">
        <v>0</v>
      </c>
      <c r="DC32" s="129">
        <v>0</v>
      </c>
      <c r="DD32" s="138">
        <v>0</v>
      </c>
      <c r="DE32" s="156">
        <v>1</v>
      </c>
      <c r="DF32" s="157">
        <v>1</v>
      </c>
      <c r="DG32" s="157">
        <v>1</v>
      </c>
      <c r="DH32" s="157">
        <v>1</v>
      </c>
      <c r="DI32" s="157">
        <v>1</v>
      </c>
      <c r="DJ32" s="157">
        <v>1</v>
      </c>
      <c r="DK32" s="157">
        <v>1</v>
      </c>
      <c r="DL32" s="157">
        <v>1</v>
      </c>
      <c r="DM32" s="157">
        <v>1</v>
      </c>
      <c r="DN32" s="158">
        <v>1</v>
      </c>
      <c r="DO32" s="119">
        <v>1</v>
      </c>
      <c r="DP32" s="118">
        <v>1</v>
      </c>
      <c r="DQ32" s="118">
        <v>1</v>
      </c>
      <c r="DR32" s="118">
        <v>1</v>
      </c>
      <c r="DS32" s="118">
        <v>1</v>
      </c>
      <c r="DT32" s="118">
        <v>1</v>
      </c>
      <c r="DU32" s="118">
        <v>1</v>
      </c>
      <c r="DV32" s="118">
        <v>1</v>
      </c>
      <c r="DW32" s="118">
        <v>1</v>
      </c>
      <c r="DX32" s="120">
        <v>1</v>
      </c>
      <c r="DY32" s="90">
        <v>1</v>
      </c>
      <c r="DZ32" s="91">
        <v>1</v>
      </c>
      <c r="EA32" s="91">
        <v>1</v>
      </c>
      <c r="EB32" s="91">
        <v>1</v>
      </c>
      <c r="EC32" s="91">
        <v>1</v>
      </c>
      <c r="ED32" s="91">
        <v>1</v>
      </c>
      <c r="EE32" s="91">
        <v>1</v>
      </c>
      <c r="EF32" s="91">
        <v>1</v>
      </c>
      <c r="EG32" s="91">
        <v>1</v>
      </c>
      <c r="EH32" s="92">
        <v>1</v>
      </c>
      <c r="EI32" s="110">
        <v>1</v>
      </c>
      <c r="EJ32" s="109">
        <v>1</v>
      </c>
      <c r="EK32" s="109">
        <v>1</v>
      </c>
      <c r="EL32" s="109">
        <v>1</v>
      </c>
      <c r="EM32" s="109">
        <v>1</v>
      </c>
      <c r="EN32" s="109">
        <v>1</v>
      </c>
      <c r="EO32" s="109">
        <v>1</v>
      </c>
      <c r="EP32" s="109">
        <v>1</v>
      </c>
      <c r="EQ32" s="109">
        <v>1</v>
      </c>
      <c r="ER32" s="132">
        <v>1</v>
      </c>
      <c r="ES32" s="175">
        <f t="shared" si="1"/>
        <v>0</v>
      </c>
      <c r="ET32" s="175">
        <f t="shared" si="2"/>
        <v>0</v>
      </c>
      <c r="EU32" s="175">
        <f t="shared" si="3"/>
        <v>8</v>
      </c>
      <c r="EV32" s="175">
        <f t="shared" si="4"/>
        <v>10</v>
      </c>
      <c r="EW32" s="175">
        <f t="shared" si="14"/>
        <v>10</v>
      </c>
      <c r="EX32" s="175">
        <f t="shared" si="15"/>
        <v>10</v>
      </c>
      <c r="EY32" s="175">
        <f t="shared" si="5"/>
        <v>10</v>
      </c>
      <c r="EZ32" s="176">
        <f t="shared" si="6"/>
        <v>0</v>
      </c>
      <c r="FA32" s="175">
        <f t="shared" si="7"/>
        <v>8</v>
      </c>
      <c r="FB32" s="175">
        <f t="shared" si="8"/>
        <v>4</v>
      </c>
      <c r="FC32" s="175">
        <f t="shared" si="9"/>
        <v>10</v>
      </c>
      <c r="FD32" s="175">
        <f t="shared" si="10"/>
        <v>10</v>
      </c>
      <c r="FE32" s="175">
        <f t="shared" si="11"/>
        <v>10</v>
      </c>
      <c r="FF32" s="175">
        <f t="shared" si="12"/>
        <v>10</v>
      </c>
      <c r="FG32" s="37">
        <f t="shared" si="17"/>
        <v>30</v>
      </c>
      <c r="FH32" s="165">
        <f t="shared" si="13"/>
        <v>100</v>
      </c>
      <c r="FI32" s="165">
        <f>SUM(I7:ER7)-SUM(ES32:FF32)</f>
        <v>28</v>
      </c>
      <c r="FJ32" s="165">
        <f t="shared" si="16"/>
        <v>128</v>
      </c>
      <c r="FK32" s="7"/>
    </row>
    <row r="33" spans="1:167" ht="15.75" customHeight="1">
      <c r="A33" s="2"/>
      <c r="B33" s="3">
        <f t="shared" si="0"/>
        <v>1</v>
      </c>
      <c r="C33" s="182">
        <f t="shared" si="18"/>
        <v>26</v>
      </c>
      <c r="D33" s="183" t="s">
        <v>170</v>
      </c>
      <c r="E33" s="178"/>
      <c r="F33" s="177">
        <v>16</v>
      </c>
      <c r="G33" s="628">
        <v>45915</v>
      </c>
      <c r="H33" s="629"/>
      <c r="I33" s="96">
        <v>0</v>
      </c>
      <c r="J33" s="97">
        <v>0</v>
      </c>
      <c r="K33" s="97">
        <v>0</v>
      </c>
      <c r="L33" s="97">
        <v>0</v>
      </c>
      <c r="M33" s="97">
        <v>0</v>
      </c>
      <c r="N33" s="97">
        <v>0</v>
      </c>
      <c r="O33" s="97">
        <v>0</v>
      </c>
      <c r="P33" s="97">
        <v>0</v>
      </c>
      <c r="Q33" s="97">
        <v>0</v>
      </c>
      <c r="R33" s="98">
        <v>0</v>
      </c>
      <c r="S33" s="115">
        <v>0</v>
      </c>
      <c r="T33" s="116">
        <v>0</v>
      </c>
      <c r="U33" s="116">
        <v>0</v>
      </c>
      <c r="V33" s="116">
        <v>0</v>
      </c>
      <c r="W33" s="116">
        <v>0</v>
      </c>
      <c r="X33" s="116">
        <v>0</v>
      </c>
      <c r="Y33" s="116">
        <v>0</v>
      </c>
      <c r="Z33" s="116">
        <v>0</v>
      </c>
      <c r="AA33" s="116">
        <v>0</v>
      </c>
      <c r="AB33" s="117">
        <v>0</v>
      </c>
      <c r="AC33" s="88">
        <v>0</v>
      </c>
      <c r="AD33" s="89">
        <v>0</v>
      </c>
      <c r="AE33" s="89">
        <v>1</v>
      </c>
      <c r="AF33" s="89">
        <v>1</v>
      </c>
      <c r="AG33" s="592"/>
      <c r="AH33" s="593"/>
      <c r="AI33" s="89">
        <v>0</v>
      </c>
      <c r="AJ33" s="89">
        <v>0</v>
      </c>
      <c r="AK33" s="89">
        <v>0</v>
      </c>
      <c r="AL33" s="122">
        <v>0</v>
      </c>
      <c r="AM33" s="107">
        <v>0</v>
      </c>
      <c r="AN33" s="108">
        <v>0</v>
      </c>
      <c r="AO33" s="108">
        <v>0</v>
      </c>
      <c r="AP33" s="108">
        <v>0</v>
      </c>
      <c r="AQ33" s="108">
        <v>0</v>
      </c>
      <c r="AR33" s="108">
        <v>0</v>
      </c>
      <c r="AS33" s="108">
        <v>0</v>
      </c>
      <c r="AT33" s="108">
        <v>0</v>
      </c>
      <c r="AU33" s="108">
        <v>0</v>
      </c>
      <c r="AV33" s="131">
        <v>0</v>
      </c>
      <c r="AW33" s="126">
        <v>0</v>
      </c>
      <c r="AX33" s="127">
        <v>0</v>
      </c>
      <c r="AY33" s="127">
        <v>0</v>
      </c>
      <c r="AZ33" s="127">
        <v>0</v>
      </c>
      <c r="BA33" s="127">
        <v>0</v>
      </c>
      <c r="BB33" s="127">
        <v>0</v>
      </c>
      <c r="BC33" s="127">
        <v>0</v>
      </c>
      <c r="BD33" s="127">
        <v>0</v>
      </c>
      <c r="BE33" s="127">
        <v>0</v>
      </c>
      <c r="BF33" s="137">
        <v>0</v>
      </c>
      <c r="BG33" s="96">
        <v>0</v>
      </c>
      <c r="BH33" s="97">
        <v>0</v>
      </c>
      <c r="BI33" s="97">
        <v>0</v>
      </c>
      <c r="BJ33" s="97">
        <v>0</v>
      </c>
      <c r="BK33" s="97">
        <v>0</v>
      </c>
      <c r="BL33" s="97">
        <v>0</v>
      </c>
      <c r="BM33" s="100">
        <v>0</v>
      </c>
      <c r="BN33" s="100">
        <v>0</v>
      </c>
      <c r="BO33" s="100">
        <v>0</v>
      </c>
      <c r="BP33" s="101">
        <v>0</v>
      </c>
      <c r="BQ33" s="119">
        <v>0</v>
      </c>
      <c r="BR33" s="118">
        <v>0</v>
      </c>
      <c r="BS33" s="118">
        <v>0</v>
      </c>
      <c r="BT33" s="118">
        <v>0</v>
      </c>
      <c r="BU33" s="118">
        <v>0</v>
      </c>
      <c r="BV33" s="118">
        <v>0</v>
      </c>
      <c r="BW33" s="118">
        <v>0</v>
      </c>
      <c r="BX33" s="118">
        <v>0</v>
      </c>
      <c r="BY33" s="118">
        <v>0</v>
      </c>
      <c r="BZ33" s="120">
        <v>0</v>
      </c>
      <c r="CA33" s="537"/>
      <c r="CB33" s="538"/>
      <c r="CC33" s="538"/>
      <c r="CD33" s="538"/>
      <c r="CE33" s="538"/>
      <c r="CF33" s="538"/>
      <c r="CG33" s="538"/>
      <c r="CH33" s="538"/>
      <c r="CI33" s="538"/>
      <c r="CJ33" s="539"/>
      <c r="CK33" s="110">
        <v>0</v>
      </c>
      <c r="CL33" s="109">
        <v>0</v>
      </c>
      <c r="CM33" s="109">
        <v>0</v>
      </c>
      <c r="CN33" s="109">
        <v>0</v>
      </c>
      <c r="CO33" s="109">
        <v>0</v>
      </c>
      <c r="CP33" s="109">
        <v>0</v>
      </c>
      <c r="CQ33" s="109">
        <v>0</v>
      </c>
      <c r="CR33" s="109">
        <v>0</v>
      </c>
      <c r="CS33" s="109">
        <v>0</v>
      </c>
      <c r="CT33" s="111">
        <v>0</v>
      </c>
      <c r="CU33" s="128">
        <v>0</v>
      </c>
      <c r="CV33" s="129">
        <v>0</v>
      </c>
      <c r="CW33" s="129">
        <v>0</v>
      </c>
      <c r="CX33" s="129">
        <v>0</v>
      </c>
      <c r="CY33" s="129">
        <v>0</v>
      </c>
      <c r="CZ33" s="129">
        <v>0</v>
      </c>
      <c r="DA33" s="129">
        <v>0</v>
      </c>
      <c r="DB33" s="129">
        <v>0</v>
      </c>
      <c r="DC33" s="129">
        <v>0</v>
      </c>
      <c r="DD33" s="138">
        <v>0</v>
      </c>
      <c r="DE33" s="156">
        <v>0</v>
      </c>
      <c r="DF33" s="157">
        <v>0</v>
      </c>
      <c r="DG33" s="157">
        <v>0</v>
      </c>
      <c r="DH33" s="157">
        <v>0</v>
      </c>
      <c r="DI33" s="157">
        <v>0</v>
      </c>
      <c r="DJ33" s="157">
        <v>0</v>
      </c>
      <c r="DK33" s="157">
        <v>0</v>
      </c>
      <c r="DL33" s="157">
        <v>0</v>
      </c>
      <c r="DM33" s="157">
        <v>0</v>
      </c>
      <c r="DN33" s="158">
        <v>0</v>
      </c>
      <c r="DO33" s="119">
        <v>0</v>
      </c>
      <c r="DP33" s="118">
        <v>0</v>
      </c>
      <c r="DQ33" s="118">
        <v>0</v>
      </c>
      <c r="DR33" s="118">
        <v>0</v>
      </c>
      <c r="DS33" s="118">
        <v>0</v>
      </c>
      <c r="DT33" s="118">
        <v>0</v>
      </c>
      <c r="DU33" s="118">
        <v>0</v>
      </c>
      <c r="DV33" s="118">
        <v>0</v>
      </c>
      <c r="DW33" s="118">
        <v>0</v>
      </c>
      <c r="DX33" s="120">
        <v>0</v>
      </c>
      <c r="DY33" s="90">
        <v>0</v>
      </c>
      <c r="DZ33" s="91">
        <v>0</v>
      </c>
      <c r="EA33" s="91">
        <v>0</v>
      </c>
      <c r="EB33" s="91">
        <v>0</v>
      </c>
      <c r="EC33" s="91">
        <v>0</v>
      </c>
      <c r="ED33" s="91">
        <v>0</v>
      </c>
      <c r="EE33" s="91">
        <v>0</v>
      </c>
      <c r="EF33" s="91">
        <v>0</v>
      </c>
      <c r="EG33" s="91">
        <v>0</v>
      </c>
      <c r="EH33" s="92">
        <v>0</v>
      </c>
      <c r="EI33" s="110">
        <v>0</v>
      </c>
      <c r="EJ33" s="109">
        <v>0</v>
      </c>
      <c r="EK33" s="109">
        <v>0</v>
      </c>
      <c r="EL33" s="109">
        <v>0</v>
      </c>
      <c r="EM33" s="109">
        <v>0</v>
      </c>
      <c r="EN33" s="109">
        <v>0</v>
      </c>
      <c r="EO33" s="109">
        <v>0</v>
      </c>
      <c r="EP33" s="109">
        <v>0</v>
      </c>
      <c r="EQ33" s="109">
        <v>0</v>
      </c>
      <c r="ER33" s="132">
        <v>0</v>
      </c>
      <c r="ES33" s="175">
        <f t="shared" si="1"/>
        <v>0</v>
      </c>
      <c r="ET33" s="175">
        <f t="shared" si="2"/>
        <v>0</v>
      </c>
      <c r="EU33" s="175">
        <f t="shared" si="3"/>
        <v>2</v>
      </c>
      <c r="EV33" s="175">
        <f t="shared" si="4"/>
        <v>0</v>
      </c>
      <c r="EW33" s="175">
        <f t="shared" si="14"/>
        <v>0</v>
      </c>
      <c r="EX33" s="175">
        <f t="shared" si="15"/>
        <v>0</v>
      </c>
      <c r="EY33" s="175">
        <f t="shared" si="5"/>
        <v>0</v>
      </c>
      <c r="EZ33" s="176">
        <f t="shared" si="6"/>
        <v>0</v>
      </c>
      <c r="FA33" s="175">
        <f t="shared" si="7"/>
        <v>0</v>
      </c>
      <c r="FB33" s="175">
        <f t="shared" si="8"/>
        <v>0</v>
      </c>
      <c r="FC33" s="175">
        <f t="shared" si="9"/>
        <v>0</v>
      </c>
      <c r="FD33" s="175">
        <f t="shared" si="10"/>
        <v>0</v>
      </c>
      <c r="FE33" s="175">
        <f t="shared" si="11"/>
        <v>0</v>
      </c>
      <c r="FF33" s="175">
        <f t="shared" si="12"/>
        <v>0</v>
      </c>
      <c r="FG33" s="37">
        <f t="shared" si="17"/>
        <v>31</v>
      </c>
      <c r="FH33" s="165">
        <f t="shared" si="13"/>
        <v>2</v>
      </c>
      <c r="FI33" s="165">
        <f>SUM(I7:ER7)-SUM(ES33:FF33)</f>
        <v>126</v>
      </c>
      <c r="FJ33" s="165">
        <f t="shared" si="16"/>
        <v>128</v>
      </c>
      <c r="FK33" s="7"/>
    </row>
    <row r="34" spans="1:167" ht="15.75" customHeight="1">
      <c r="A34" s="2"/>
      <c r="B34" s="3">
        <f t="shared" si="0"/>
        <v>1</v>
      </c>
      <c r="C34" s="182">
        <f t="shared" si="18"/>
        <v>27</v>
      </c>
      <c r="D34" s="183" t="s">
        <v>171</v>
      </c>
      <c r="E34" s="178"/>
      <c r="F34" s="177">
        <v>17</v>
      </c>
      <c r="G34" s="628">
        <v>45915</v>
      </c>
      <c r="H34" s="629"/>
      <c r="I34" s="96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8">
        <v>0</v>
      </c>
      <c r="S34" s="115">
        <v>0</v>
      </c>
      <c r="T34" s="116">
        <v>0</v>
      </c>
      <c r="U34" s="116">
        <v>0</v>
      </c>
      <c r="V34" s="116">
        <v>0</v>
      </c>
      <c r="W34" s="116">
        <v>0</v>
      </c>
      <c r="X34" s="116">
        <v>0</v>
      </c>
      <c r="Y34" s="116">
        <v>0</v>
      </c>
      <c r="Z34" s="116">
        <v>0</v>
      </c>
      <c r="AA34" s="116">
        <v>0</v>
      </c>
      <c r="AB34" s="117">
        <v>0</v>
      </c>
      <c r="AC34" s="88">
        <v>0</v>
      </c>
      <c r="AD34" s="89">
        <v>0</v>
      </c>
      <c r="AE34" s="89">
        <v>0</v>
      </c>
      <c r="AF34" s="89">
        <v>0</v>
      </c>
      <c r="AG34" s="592"/>
      <c r="AH34" s="593"/>
      <c r="AI34" s="89">
        <v>0</v>
      </c>
      <c r="AJ34" s="89">
        <v>0</v>
      </c>
      <c r="AK34" s="89">
        <v>0</v>
      </c>
      <c r="AL34" s="122">
        <v>0</v>
      </c>
      <c r="AM34" s="107">
        <v>1</v>
      </c>
      <c r="AN34" s="108">
        <v>1</v>
      </c>
      <c r="AO34" s="108">
        <v>1</v>
      </c>
      <c r="AP34" s="108">
        <v>1</v>
      </c>
      <c r="AQ34" s="108">
        <v>1</v>
      </c>
      <c r="AR34" s="108">
        <v>1</v>
      </c>
      <c r="AS34" s="108">
        <v>1</v>
      </c>
      <c r="AT34" s="108">
        <v>1</v>
      </c>
      <c r="AU34" s="108">
        <v>1</v>
      </c>
      <c r="AV34" s="131">
        <v>1</v>
      </c>
      <c r="AW34" s="126">
        <v>1</v>
      </c>
      <c r="AX34" s="127">
        <v>1</v>
      </c>
      <c r="AY34" s="127">
        <v>1</v>
      </c>
      <c r="AZ34" s="127">
        <v>1</v>
      </c>
      <c r="BA34" s="127">
        <v>1</v>
      </c>
      <c r="BB34" s="127">
        <v>1</v>
      </c>
      <c r="BC34" s="127">
        <v>1</v>
      </c>
      <c r="BD34" s="127">
        <v>1</v>
      </c>
      <c r="BE34" s="127">
        <v>1</v>
      </c>
      <c r="BF34" s="137">
        <v>1</v>
      </c>
      <c r="BG34" s="96">
        <v>1</v>
      </c>
      <c r="BH34" s="97">
        <v>1</v>
      </c>
      <c r="BI34" s="97">
        <v>1</v>
      </c>
      <c r="BJ34" s="97">
        <v>1</v>
      </c>
      <c r="BK34" s="97">
        <v>1</v>
      </c>
      <c r="BL34" s="100">
        <v>1</v>
      </c>
      <c r="BM34" s="100">
        <v>1</v>
      </c>
      <c r="BN34" s="100">
        <v>1</v>
      </c>
      <c r="BO34" s="100">
        <v>1</v>
      </c>
      <c r="BP34" s="101">
        <v>1</v>
      </c>
      <c r="BQ34" s="119">
        <v>1</v>
      </c>
      <c r="BR34" s="118">
        <v>1</v>
      </c>
      <c r="BS34" s="118">
        <v>1</v>
      </c>
      <c r="BT34" s="118">
        <v>1</v>
      </c>
      <c r="BU34" s="118">
        <v>1</v>
      </c>
      <c r="BV34" s="118">
        <v>1</v>
      </c>
      <c r="BW34" s="118">
        <v>1</v>
      </c>
      <c r="BX34" s="118">
        <v>1</v>
      </c>
      <c r="BY34" s="118">
        <v>1</v>
      </c>
      <c r="BZ34" s="120">
        <v>1</v>
      </c>
      <c r="CA34" s="537"/>
      <c r="CB34" s="538"/>
      <c r="CC34" s="538"/>
      <c r="CD34" s="538"/>
      <c r="CE34" s="538"/>
      <c r="CF34" s="538"/>
      <c r="CG34" s="538"/>
      <c r="CH34" s="538"/>
      <c r="CI34" s="538"/>
      <c r="CJ34" s="539"/>
      <c r="CK34" s="110">
        <v>0</v>
      </c>
      <c r="CL34" s="109">
        <v>0</v>
      </c>
      <c r="CM34" s="109">
        <v>0</v>
      </c>
      <c r="CN34" s="109">
        <v>0</v>
      </c>
      <c r="CO34" s="109">
        <v>1</v>
      </c>
      <c r="CP34" s="109">
        <v>1</v>
      </c>
      <c r="CQ34" s="109">
        <v>1</v>
      </c>
      <c r="CR34" s="109">
        <v>1</v>
      </c>
      <c r="CS34" s="109">
        <v>1</v>
      </c>
      <c r="CT34" s="111">
        <v>1</v>
      </c>
      <c r="CU34" s="128">
        <v>1</v>
      </c>
      <c r="CV34" s="129">
        <v>1</v>
      </c>
      <c r="CW34" s="129">
        <v>1</v>
      </c>
      <c r="CX34" s="129">
        <v>1</v>
      </c>
      <c r="CY34" s="129">
        <v>1</v>
      </c>
      <c r="CZ34" s="129">
        <v>1</v>
      </c>
      <c r="DA34" s="129">
        <v>1</v>
      </c>
      <c r="DB34" s="129">
        <v>1</v>
      </c>
      <c r="DC34" s="129">
        <v>1</v>
      </c>
      <c r="DD34" s="138">
        <v>1</v>
      </c>
      <c r="DE34" s="156">
        <v>1</v>
      </c>
      <c r="DF34" s="157">
        <v>1</v>
      </c>
      <c r="DG34" s="157">
        <v>1</v>
      </c>
      <c r="DH34" s="157">
        <v>1</v>
      </c>
      <c r="DI34" s="157">
        <v>1</v>
      </c>
      <c r="DJ34" s="157">
        <v>1</v>
      </c>
      <c r="DK34" s="157">
        <v>1</v>
      </c>
      <c r="DL34" s="157">
        <v>1</v>
      </c>
      <c r="DM34" s="157">
        <v>1</v>
      </c>
      <c r="DN34" s="158">
        <v>1</v>
      </c>
      <c r="DO34" s="119">
        <v>1</v>
      </c>
      <c r="DP34" s="118">
        <v>1</v>
      </c>
      <c r="DQ34" s="118">
        <v>1</v>
      </c>
      <c r="DR34" s="118">
        <v>1</v>
      </c>
      <c r="DS34" s="118">
        <v>1</v>
      </c>
      <c r="DT34" s="118">
        <v>1</v>
      </c>
      <c r="DU34" s="118">
        <v>1</v>
      </c>
      <c r="DV34" s="118">
        <v>1</v>
      </c>
      <c r="DW34" s="118">
        <v>1</v>
      </c>
      <c r="DX34" s="120">
        <v>1</v>
      </c>
      <c r="DY34" s="90">
        <v>1</v>
      </c>
      <c r="DZ34" s="91">
        <v>1</v>
      </c>
      <c r="EA34" s="91">
        <v>1</v>
      </c>
      <c r="EB34" s="91">
        <v>1</v>
      </c>
      <c r="EC34" s="91">
        <v>1</v>
      </c>
      <c r="ED34" s="91">
        <v>1</v>
      </c>
      <c r="EE34" s="91">
        <v>1</v>
      </c>
      <c r="EF34" s="91">
        <v>1</v>
      </c>
      <c r="EG34" s="91">
        <v>1</v>
      </c>
      <c r="EH34" s="92">
        <v>1</v>
      </c>
      <c r="EI34" s="110">
        <v>1</v>
      </c>
      <c r="EJ34" s="109">
        <v>1</v>
      </c>
      <c r="EK34" s="109">
        <v>1</v>
      </c>
      <c r="EL34" s="109">
        <v>1</v>
      </c>
      <c r="EM34" s="109">
        <v>1</v>
      </c>
      <c r="EN34" s="109">
        <v>1</v>
      </c>
      <c r="EO34" s="109">
        <v>1</v>
      </c>
      <c r="EP34" s="109">
        <v>1</v>
      </c>
      <c r="EQ34" s="109">
        <v>1</v>
      </c>
      <c r="ER34" s="132">
        <v>1</v>
      </c>
      <c r="ES34" s="175">
        <f t="shared" si="1"/>
        <v>0</v>
      </c>
      <c r="ET34" s="175">
        <f t="shared" si="2"/>
        <v>0</v>
      </c>
      <c r="EU34" s="175">
        <f t="shared" si="3"/>
        <v>0</v>
      </c>
      <c r="EV34" s="175">
        <f t="shared" si="4"/>
        <v>10</v>
      </c>
      <c r="EW34" s="175">
        <f t="shared" si="14"/>
        <v>10</v>
      </c>
      <c r="EX34" s="175">
        <f t="shared" si="15"/>
        <v>10</v>
      </c>
      <c r="EY34" s="175">
        <f t="shared" si="5"/>
        <v>10</v>
      </c>
      <c r="EZ34" s="176">
        <f t="shared" si="6"/>
        <v>0</v>
      </c>
      <c r="FA34" s="175">
        <f t="shared" si="7"/>
        <v>6</v>
      </c>
      <c r="FB34" s="175">
        <f t="shared" si="8"/>
        <v>10</v>
      </c>
      <c r="FC34" s="175">
        <f t="shared" si="9"/>
        <v>10</v>
      </c>
      <c r="FD34" s="175">
        <f t="shared" si="10"/>
        <v>10</v>
      </c>
      <c r="FE34" s="175">
        <f t="shared" si="11"/>
        <v>10</v>
      </c>
      <c r="FF34" s="175">
        <f t="shared" si="12"/>
        <v>10</v>
      </c>
      <c r="FG34" s="37">
        <f t="shared" si="17"/>
        <v>32</v>
      </c>
      <c r="FH34" s="165">
        <f t="shared" si="13"/>
        <v>96</v>
      </c>
      <c r="FI34" s="165">
        <f>SUM(I7:ER7)-SUM(ES34:FF34)</f>
        <v>32</v>
      </c>
      <c r="FJ34" s="165">
        <f t="shared" si="16"/>
        <v>128</v>
      </c>
      <c r="FK34" s="7"/>
    </row>
    <row r="35" spans="1:167" ht="15.75" customHeight="1">
      <c r="A35" s="2"/>
      <c r="B35" s="3">
        <f t="shared" si="0"/>
        <v>1</v>
      </c>
      <c r="C35" s="182">
        <f t="shared" si="18"/>
        <v>28</v>
      </c>
      <c r="D35" s="183" t="s">
        <v>172</v>
      </c>
      <c r="E35" s="178"/>
      <c r="F35" s="177">
        <v>16</v>
      </c>
      <c r="G35" s="628">
        <v>45915</v>
      </c>
      <c r="H35" s="629"/>
      <c r="I35" s="96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8">
        <v>0</v>
      </c>
      <c r="S35" s="115">
        <v>0</v>
      </c>
      <c r="T35" s="116">
        <v>0</v>
      </c>
      <c r="U35" s="116">
        <v>0</v>
      </c>
      <c r="V35" s="116">
        <v>0</v>
      </c>
      <c r="W35" s="116">
        <v>0</v>
      </c>
      <c r="X35" s="116">
        <v>0</v>
      </c>
      <c r="Y35" s="116">
        <v>0</v>
      </c>
      <c r="Z35" s="116">
        <v>0</v>
      </c>
      <c r="AA35" s="116">
        <v>0</v>
      </c>
      <c r="AB35" s="117">
        <v>0</v>
      </c>
      <c r="AC35" s="88">
        <v>0</v>
      </c>
      <c r="AD35" s="89">
        <v>0</v>
      </c>
      <c r="AE35" s="89">
        <v>0</v>
      </c>
      <c r="AF35" s="89">
        <v>0</v>
      </c>
      <c r="AG35" s="592"/>
      <c r="AH35" s="593"/>
      <c r="AI35" s="89">
        <v>0</v>
      </c>
      <c r="AJ35" s="89">
        <v>0</v>
      </c>
      <c r="AK35" s="89">
        <v>0</v>
      </c>
      <c r="AL35" s="122">
        <v>0</v>
      </c>
      <c r="AM35" s="107">
        <v>0</v>
      </c>
      <c r="AN35" s="108">
        <v>0</v>
      </c>
      <c r="AO35" s="108">
        <v>0</v>
      </c>
      <c r="AP35" s="108">
        <v>0</v>
      </c>
      <c r="AQ35" s="108">
        <v>0</v>
      </c>
      <c r="AR35" s="108">
        <v>0</v>
      </c>
      <c r="AS35" s="108">
        <v>0</v>
      </c>
      <c r="AT35" s="108">
        <v>0</v>
      </c>
      <c r="AU35" s="108">
        <v>0</v>
      </c>
      <c r="AV35" s="131">
        <v>0</v>
      </c>
      <c r="AW35" s="126">
        <v>0</v>
      </c>
      <c r="AX35" s="127">
        <v>0</v>
      </c>
      <c r="AY35" s="127">
        <v>0</v>
      </c>
      <c r="AZ35" s="127">
        <v>0</v>
      </c>
      <c r="BA35" s="127">
        <v>1</v>
      </c>
      <c r="BB35" s="127">
        <v>1</v>
      </c>
      <c r="BC35" s="127">
        <v>1</v>
      </c>
      <c r="BD35" s="127">
        <v>1</v>
      </c>
      <c r="BE35" s="127">
        <v>1</v>
      </c>
      <c r="BF35" s="137">
        <v>1</v>
      </c>
      <c r="BG35" s="96">
        <v>1</v>
      </c>
      <c r="BH35" s="97">
        <v>1</v>
      </c>
      <c r="BI35" s="97">
        <v>1</v>
      </c>
      <c r="BJ35" s="97">
        <v>1</v>
      </c>
      <c r="BK35" s="97">
        <v>1</v>
      </c>
      <c r="BL35" s="100">
        <v>1</v>
      </c>
      <c r="BM35" s="100">
        <v>1</v>
      </c>
      <c r="BN35" s="100">
        <v>1</v>
      </c>
      <c r="BO35" s="100">
        <v>1</v>
      </c>
      <c r="BP35" s="101">
        <v>1</v>
      </c>
      <c r="BQ35" s="119">
        <v>1</v>
      </c>
      <c r="BR35" s="118">
        <v>1</v>
      </c>
      <c r="BS35" s="118">
        <v>1</v>
      </c>
      <c r="BT35" s="118">
        <v>1</v>
      </c>
      <c r="BU35" s="118">
        <v>1</v>
      </c>
      <c r="BV35" s="118">
        <v>1</v>
      </c>
      <c r="BW35" s="118">
        <v>0</v>
      </c>
      <c r="BX35" s="118">
        <v>0</v>
      </c>
      <c r="BY35" s="118">
        <v>0</v>
      </c>
      <c r="BZ35" s="120">
        <v>0</v>
      </c>
      <c r="CA35" s="537"/>
      <c r="CB35" s="538"/>
      <c r="CC35" s="538"/>
      <c r="CD35" s="538"/>
      <c r="CE35" s="538"/>
      <c r="CF35" s="538"/>
      <c r="CG35" s="538"/>
      <c r="CH35" s="538"/>
      <c r="CI35" s="538"/>
      <c r="CJ35" s="539"/>
      <c r="CK35" s="110">
        <v>1</v>
      </c>
      <c r="CL35" s="109">
        <v>1</v>
      </c>
      <c r="CM35" s="109">
        <v>1</v>
      </c>
      <c r="CN35" s="109">
        <v>1</v>
      </c>
      <c r="CO35" s="109">
        <v>1</v>
      </c>
      <c r="CP35" s="109">
        <v>1</v>
      </c>
      <c r="CQ35" s="109">
        <v>1</v>
      </c>
      <c r="CR35" s="109">
        <v>1</v>
      </c>
      <c r="CS35" s="109">
        <v>1</v>
      </c>
      <c r="CT35" s="111">
        <v>1</v>
      </c>
      <c r="CU35" s="128">
        <v>1</v>
      </c>
      <c r="CV35" s="129">
        <v>0</v>
      </c>
      <c r="CW35" s="129">
        <v>0</v>
      </c>
      <c r="CX35" s="129">
        <v>1</v>
      </c>
      <c r="CY35" s="129">
        <v>1</v>
      </c>
      <c r="CZ35" s="129">
        <v>1</v>
      </c>
      <c r="DA35" s="129">
        <v>1</v>
      </c>
      <c r="DB35" s="129">
        <v>1</v>
      </c>
      <c r="DC35" s="129">
        <v>1</v>
      </c>
      <c r="DD35" s="138">
        <v>1</v>
      </c>
      <c r="DE35" s="156">
        <v>1</v>
      </c>
      <c r="DF35" s="157">
        <v>1</v>
      </c>
      <c r="DG35" s="157">
        <v>1</v>
      </c>
      <c r="DH35" s="157">
        <v>1</v>
      </c>
      <c r="DI35" s="157">
        <v>1</v>
      </c>
      <c r="DJ35" s="157">
        <v>1</v>
      </c>
      <c r="DK35" s="157">
        <v>1</v>
      </c>
      <c r="DL35" s="157">
        <v>1</v>
      </c>
      <c r="DM35" s="157">
        <v>1</v>
      </c>
      <c r="DN35" s="158">
        <v>1</v>
      </c>
      <c r="DO35" s="119">
        <v>1</v>
      </c>
      <c r="DP35" s="118">
        <v>1</v>
      </c>
      <c r="DQ35" s="118">
        <v>1</v>
      </c>
      <c r="DR35" s="118">
        <v>1</v>
      </c>
      <c r="DS35" s="118">
        <v>1</v>
      </c>
      <c r="DT35" s="118">
        <v>1</v>
      </c>
      <c r="DU35" s="118">
        <v>1</v>
      </c>
      <c r="DV35" s="118">
        <v>1</v>
      </c>
      <c r="DW35" s="118">
        <v>1</v>
      </c>
      <c r="DX35" s="120">
        <v>1</v>
      </c>
      <c r="DY35" s="90">
        <v>1</v>
      </c>
      <c r="DZ35" s="91">
        <v>1</v>
      </c>
      <c r="EA35" s="91">
        <v>1</v>
      </c>
      <c r="EB35" s="91">
        <v>1</v>
      </c>
      <c r="EC35" s="91">
        <v>1</v>
      </c>
      <c r="ED35" s="91">
        <v>1</v>
      </c>
      <c r="EE35" s="91">
        <v>1</v>
      </c>
      <c r="EF35" s="91">
        <v>1</v>
      </c>
      <c r="EG35" s="91">
        <v>1</v>
      </c>
      <c r="EH35" s="92">
        <v>1</v>
      </c>
      <c r="EI35" s="110">
        <v>1</v>
      </c>
      <c r="EJ35" s="109">
        <v>1</v>
      </c>
      <c r="EK35" s="109">
        <v>1</v>
      </c>
      <c r="EL35" s="109">
        <v>1</v>
      </c>
      <c r="EM35" s="109">
        <v>1</v>
      </c>
      <c r="EN35" s="109">
        <v>1</v>
      </c>
      <c r="EO35" s="109">
        <v>1</v>
      </c>
      <c r="EP35" s="109">
        <v>1</v>
      </c>
      <c r="EQ35" s="109">
        <v>1</v>
      </c>
      <c r="ER35" s="132">
        <v>1</v>
      </c>
      <c r="ES35" s="175">
        <f t="shared" si="1"/>
        <v>0</v>
      </c>
      <c r="ET35" s="175">
        <f t="shared" si="2"/>
        <v>0</v>
      </c>
      <c r="EU35" s="175">
        <f t="shared" si="3"/>
        <v>0</v>
      </c>
      <c r="EV35" s="175">
        <f t="shared" si="4"/>
        <v>0</v>
      </c>
      <c r="EW35" s="175">
        <f t="shared" si="14"/>
        <v>10</v>
      </c>
      <c r="EX35" s="175">
        <f t="shared" si="15"/>
        <v>6</v>
      </c>
      <c r="EY35" s="175">
        <f t="shared" si="5"/>
        <v>6</v>
      </c>
      <c r="EZ35" s="176">
        <f t="shared" si="6"/>
        <v>0</v>
      </c>
      <c r="FA35" s="175">
        <f t="shared" si="7"/>
        <v>10</v>
      </c>
      <c r="FB35" s="175">
        <f t="shared" si="8"/>
        <v>8</v>
      </c>
      <c r="FC35" s="175">
        <f t="shared" si="9"/>
        <v>10</v>
      </c>
      <c r="FD35" s="175">
        <f t="shared" si="10"/>
        <v>10</v>
      </c>
      <c r="FE35" s="175">
        <f t="shared" si="11"/>
        <v>10</v>
      </c>
      <c r="FF35" s="175">
        <f t="shared" si="12"/>
        <v>10</v>
      </c>
      <c r="FG35" s="37">
        <f t="shared" si="17"/>
        <v>33</v>
      </c>
      <c r="FH35" s="165">
        <f t="shared" si="13"/>
        <v>80</v>
      </c>
      <c r="FI35" s="165">
        <f>SUM(I7:ER7)-SUM(ES35:FF35)</f>
        <v>48</v>
      </c>
      <c r="FJ35" s="165">
        <f t="shared" si="16"/>
        <v>128</v>
      </c>
      <c r="FK35" s="7"/>
    </row>
    <row r="36" spans="1:167" ht="15.75" customHeight="1">
      <c r="A36" s="2"/>
      <c r="B36" s="3">
        <f t="shared" si="0"/>
        <v>0</v>
      </c>
      <c r="C36" s="182">
        <f t="shared" si="18"/>
        <v>29</v>
      </c>
      <c r="D36" s="184"/>
      <c r="E36" s="178"/>
      <c r="F36" s="178"/>
      <c r="G36" s="628">
        <v>45915</v>
      </c>
      <c r="H36" s="629"/>
      <c r="I36" s="99"/>
      <c r="J36" s="100"/>
      <c r="K36" s="100"/>
      <c r="L36" s="100"/>
      <c r="M36" s="100"/>
      <c r="N36" s="100"/>
      <c r="O36" s="100"/>
      <c r="P36" s="100"/>
      <c r="Q36" s="100"/>
      <c r="R36" s="101"/>
      <c r="S36" s="119"/>
      <c r="T36" s="118"/>
      <c r="U36" s="118"/>
      <c r="V36" s="118"/>
      <c r="W36" s="118"/>
      <c r="X36" s="118"/>
      <c r="Y36" s="118"/>
      <c r="Z36" s="118"/>
      <c r="AA36" s="118"/>
      <c r="AB36" s="120"/>
      <c r="AC36" s="90"/>
      <c r="AD36" s="91"/>
      <c r="AE36" s="91"/>
      <c r="AF36" s="91"/>
      <c r="AG36" s="592"/>
      <c r="AH36" s="593"/>
      <c r="AI36" s="91"/>
      <c r="AJ36" s="91"/>
      <c r="AK36" s="91"/>
      <c r="AL36" s="123"/>
      <c r="AM36" s="110"/>
      <c r="AN36" s="109"/>
      <c r="AO36" s="109"/>
      <c r="AP36" s="109"/>
      <c r="AQ36" s="109"/>
      <c r="AR36" s="109"/>
      <c r="AS36" s="109"/>
      <c r="AT36" s="109"/>
      <c r="AU36" s="109"/>
      <c r="AV36" s="132"/>
      <c r="AW36" s="128"/>
      <c r="AX36" s="129"/>
      <c r="AY36" s="129"/>
      <c r="AZ36" s="129"/>
      <c r="BA36" s="129"/>
      <c r="BB36" s="129"/>
      <c r="BC36" s="129"/>
      <c r="BD36" s="129"/>
      <c r="BE36" s="129"/>
      <c r="BF36" s="138"/>
      <c r="BG36" s="99"/>
      <c r="BH36" s="100"/>
      <c r="BI36" s="100"/>
      <c r="BJ36" s="100"/>
      <c r="BK36" s="100"/>
      <c r="BL36" s="100"/>
      <c r="BM36" s="100"/>
      <c r="BN36" s="100"/>
      <c r="BO36" s="100"/>
      <c r="BP36" s="101"/>
      <c r="BQ36" s="119"/>
      <c r="BR36" s="118"/>
      <c r="BS36" s="118"/>
      <c r="BT36" s="118"/>
      <c r="BU36" s="118"/>
      <c r="BV36" s="118"/>
      <c r="BW36" s="118"/>
      <c r="BX36" s="118"/>
      <c r="BY36" s="118"/>
      <c r="BZ36" s="120"/>
      <c r="CA36" s="537"/>
      <c r="CB36" s="538"/>
      <c r="CC36" s="538"/>
      <c r="CD36" s="538"/>
      <c r="CE36" s="538"/>
      <c r="CF36" s="538"/>
      <c r="CG36" s="538"/>
      <c r="CH36" s="538"/>
      <c r="CI36" s="538"/>
      <c r="CJ36" s="539"/>
      <c r="CK36" s="110">
        <v>1</v>
      </c>
      <c r="CL36" s="109">
        <v>1</v>
      </c>
      <c r="CM36" s="109">
        <v>1</v>
      </c>
      <c r="CN36" s="109">
        <v>1</v>
      </c>
      <c r="CO36" s="109">
        <v>1</v>
      </c>
      <c r="CP36" s="109">
        <v>1</v>
      </c>
      <c r="CQ36" s="109">
        <v>1</v>
      </c>
      <c r="CR36" s="109">
        <v>1</v>
      </c>
      <c r="CS36" s="109">
        <v>1</v>
      </c>
      <c r="CT36" s="111">
        <v>1</v>
      </c>
      <c r="CU36" s="128">
        <v>1</v>
      </c>
      <c r="CV36" s="129">
        <v>1</v>
      </c>
      <c r="CW36" s="129">
        <v>1</v>
      </c>
      <c r="CX36" s="129">
        <v>1</v>
      </c>
      <c r="CY36" s="129">
        <v>0</v>
      </c>
      <c r="CZ36" s="129">
        <v>0</v>
      </c>
      <c r="DA36" s="129">
        <v>1</v>
      </c>
      <c r="DB36" s="129">
        <v>1</v>
      </c>
      <c r="DC36" s="129">
        <v>1</v>
      </c>
      <c r="DD36" s="138">
        <v>1</v>
      </c>
      <c r="DE36" s="156">
        <v>0</v>
      </c>
      <c r="DF36" s="157">
        <v>0</v>
      </c>
      <c r="DG36" s="157">
        <v>1</v>
      </c>
      <c r="DH36" s="157">
        <v>1</v>
      </c>
      <c r="DI36" s="157">
        <v>1</v>
      </c>
      <c r="DJ36" s="157">
        <v>1</v>
      </c>
      <c r="DK36" s="157">
        <v>1</v>
      </c>
      <c r="DL36" s="157">
        <v>1</v>
      </c>
      <c r="DM36" s="157">
        <v>1</v>
      </c>
      <c r="DN36" s="158">
        <v>1</v>
      </c>
      <c r="DO36" s="119">
        <v>1</v>
      </c>
      <c r="DP36" s="118">
        <v>1</v>
      </c>
      <c r="DQ36" s="118">
        <v>1</v>
      </c>
      <c r="DR36" s="118">
        <v>1</v>
      </c>
      <c r="DS36" s="118">
        <v>0</v>
      </c>
      <c r="DT36" s="118">
        <v>0</v>
      </c>
      <c r="DU36" s="118">
        <v>1</v>
      </c>
      <c r="DV36" s="118">
        <v>1</v>
      </c>
      <c r="DW36" s="118">
        <v>1</v>
      </c>
      <c r="DX36" s="120">
        <v>1</v>
      </c>
      <c r="DY36" s="90">
        <v>1</v>
      </c>
      <c r="DZ36" s="91">
        <v>1</v>
      </c>
      <c r="EA36" s="91">
        <v>1</v>
      </c>
      <c r="EB36" s="91">
        <v>1</v>
      </c>
      <c r="EC36" s="91">
        <v>1</v>
      </c>
      <c r="ED36" s="91">
        <v>1</v>
      </c>
      <c r="EE36" s="91">
        <v>1</v>
      </c>
      <c r="EF36" s="91">
        <v>1</v>
      </c>
      <c r="EG36" s="91">
        <v>1</v>
      </c>
      <c r="EH36" s="92">
        <v>1</v>
      </c>
      <c r="EI36" s="110">
        <v>1</v>
      </c>
      <c r="EJ36" s="109">
        <v>1</v>
      </c>
      <c r="EK36" s="109">
        <v>1</v>
      </c>
      <c r="EL36" s="109">
        <v>1</v>
      </c>
      <c r="EM36" s="109">
        <v>1</v>
      </c>
      <c r="EN36" s="109">
        <v>1</v>
      </c>
      <c r="EO36" s="109">
        <v>1</v>
      </c>
      <c r="EP36" s="109">
        <v>1</v>
      </c>
      <c r="EQ36" s="109">
        <v>1</v>
      </c>
      <c r="ER36" s="132">
        <v>1</v>
      </c>
      <c r="ES36" s="175">
        <f t="shared" si="1"/>
        <v>0</v>
      </c>
      <c r="ET36" s="175">
        <f t="shared" si="2"/>
        <v>0</v>
      </c>
      <c r="EU36" s="175">
        <f t="shared" si="3"/>
        <v>0</v>
      </c>
      <c r="EV36" s="175">
        <f t="shared" si="4"/>
        <v>0</v>
      </c>
      <c r="EW36" s="175">
        <f t="shared" si="14"/>
        <v>0</v>
      </c>
      <c r="EX36" s="175">
        <f t="shared" si="15"/>
        <v>0</v>
      </c>
      <c r="EY36" s="175">
        <f t="shared" si="5"/>
        <v>0</v>
      </c>
      <c r="EZ36" s="176">
        <f t="shared" si="6"/>
        <v>0</v>
      </c>
      <c r="FA36" s="175">
        <f t="shared" si="7"/>
        <v>10</v>
      </c>
      <c r="FB36" s="175">
        <f t="shared" si="8"/>
        <v>8</v>
      </c>
      <c r="FC36" s="175">
        <f t="shared" si="9"/>
        <v>8</v>
      </c>
      <c r="FD36" s="175">
        <f t="shared" si="10"/>
        <v>8</v>
      </c>
      <c r="FE36" s="175">
        <f t="shared" si="11"/>
        <v>10</v>
      </c>
      <c r="FF36" s="175">
        <f t="shared" si="12"/>
        <v>10</v>
      </c>
      <c r="FG36" s="37">
        <f t="shared" si="17"/>
        <v>34</v>
      </c>
      <c r="FH36" s="165">
        <f t="shared" si="13"/>
        <v>54</v>
      </c>
      <c r="FI36" s="165">
        <f>SUM(I7:ER7)-SUM(ES36:FF36)</f>
        <v>74</v>
      </c>
      <c r="FJ36" s="165">
        <f t="shared" si="16"/>
        <v>128</v>
      </c>
      <c r="FK36" s="7"/>
    </row>
    <row r="37" spans="1:167" ht="15.75" customHeight="1">
      <c r="A37" s="2"/>
      <c r="B37" s="3">
        <f t="shared" si="0"/>
        <v>0</v>
      </c>
      <c r="C37" s="182">
        <f t="shared" si="18"/>
        <v>30</v>
      </c>
      <c r="D37" s="184"/>
      <c r="E37" s="178"/>
      <c r="F37" s="178"/>
      <c r="G37" s="628">
        <v>45915</v>
      </c>
      <c r="H37" s="629"/>
      <c r="I37" s="99"/>
      <c r="J37" s="100"/>
      <c r="K37" s="100"/>
      <c r="L37" s="100"/>
      <c r="M37" s="100"/>
      <c r="N37" s="100"/>
      <c r="O37" s="100"/>
      <c r="P37" s="100"/>
      <c r="Q37" s="100"/>
      <c r="R37" s="101"/>
      <c r="S37" s="119"/>
      <c r="T37" s="118"/>
      <c r="U37" s="118"/>
      <c r="V37" s="118"/>
      <c r="W37" s="118"/>
      <c r="X37" s="118"/>
      <c r="Y37" s="118"/>
      <c r="Z37" s="118"/>
      <c r="AA37" s="118"/>
      <c r="AB37" s="120"/>
      <c r="AC37" s="90"/>
      <c r="AD37" s="91"/>
      <c r="AE37" s="91"/>
      <c r="AF37" s="91"/>
      <c r="AG37" s="592"/>
      <c r="AH37" s="593"/>
      <c r="AI37" s="91"/>
      <c r="AJ37" s="91"/>
      <c r="AK37" s="91"/>
      <c r="AL37" s="123"/>
      <c r="AM37" s="110"/>
      <c r="AN37" s="109"/>
      <c r="AO37" s="109"/>
      <c r="AP37" s="109"/>
      <c r="AQ37" s="109"/>
      <c r="AR37" s="109"/>
      <c r="AS37" s="109"/>
      <c r="AT37" s="109"/>
      <c r="AU37" s="109"/>
      <c r="AV37" s="132"/>
      <c r="AW37" s="128"/>
      <c r="AX37" s="129"/>
      <c r="AY37" s="129"/>
      <c r="AZ37" s="129"/>
      <c r="BA37" s="129"/>
      <c r="BB37" s="129"/>
      <c r="BC37" s="129"/>
      <c r="BD37" s="129"/>
      <c r="BE37" s="129"/>
      <c r="BF37" s="138"/>
      <c r="BG37" s="99"/>
      <c r="BH37" s="100"/>
      <c r="BI37" s="100"/>
      <c r="BJ37" s="100"/>
      <c r="BK37" s="100"/>
      <c r="BL37" s="100"/>
      <c r="BM37" s="100"/>
      <c r="BN37" s="100"/>
      <c r="BO37" s="100"/>
      <c r="BP37" s="101"/>
      <c r="BQ37" s="119"/>
      <c r="BR37" s="118"/>
      <c r="BS37" s="118"/>
      <c r="BT37" s="118"/>
      <c r="BU37" s="118"/>
      <c r="BV37" s="118"/>
      <c r="BW37" s="118"/>
      <c r="BX37" s="118"/>
      <c r="BY37" s="118"/>
      <c r="BZ37" s="120"/>
      <c r="CA37" s="537"/>
      <c r="CB37" s="538"/>
      <c r="CC37" s="538"/>
      <c r="CD37" s="538"/>
      <c r="CE37" s="538"/>
      <c r="CF37" s="538"/>
      <c r="CG37" s="538"/>
      <c r="CH37" s="538"/>
      <c r="CI37" s="538"/>
      <c r="CJ37" s="539"/>
      <c r="CK37" s="110"/>
      <c r="CL37" s="109"/>
      <c r="CM37" s="109"/>
      <c r="CN37" s="109"/>
      <c r="CO37" s="109"/>
      <c r="CP37" s="109"/>
      <c r="CQ37" s="109"/>
      <c r="CR37" s="109"/>
      <c r="CS37" s="109"/>
      <c r="CT37" s="111"/>
      <c r="CU37" s="128"/>
      <c r="CV37" s="129"/>
      <c r="CW37" s="129"/>
      <c r="CX37" s="129"/>
      <c r="CY37" s="129"/>
      <c r="CZ37" s="129"/>
      <c r="DA37" s="129"/>
      <c r="DB37" s="129"/>
      <c r="DC37" s="129"/>
      <c r="DD37" s="138"/>
      <c r="DE37" s="156"/>
      <c r="DF37" s="157"/>
      <c r="DG37" s="157"/>
      <c r="DH37" s="157"/>
      <c r="DI37" s="157"/>
      <c r="DJ37" s="157"/>
      <c r="DK37" s="157"/>
      <c r="DL37" s="157"/>
      <c r="DM37" s="157"/>
      <c r="DN37" s="158"/>
      <c r="DO37" s="119"/>
      <c r="DP37" s="118"/>
      <c r="DQ37" s="118"/>
      <c r="DR37" s="118"/>
      <c r="DS37" s="118"/>
      <c r="DT37" s="118"/>
      <c r="DU37" s="118"/>
      <c r="DV37" s="118"/>
      <c r="DW37" s="118"/>
      <c r="DX37" s="120"/>
      <c r="DY37" s="90"/>
      <c r="DZ37" s="91"/>
      <c r="EA37" s="91"/>
      <c r="EB37" s="91"/>
      <c r="EC37" s="91"/>
      <c r="ED37" s="91"/>
      <c r="EE37" s="91"/>
      <c r="EF37" s="91"/>
      <c r="EG37" s="91"/>
      <c r="EH37" s="92"/>
      <c r="EI37" s="110"/>
      <c r="EJ37" s="109"/>
      <c r="EK37" s="109"/>
      <c r="EL37" s="109"/>
      <c r="EM37" s="109"/>
      <c r="EN37" s="109"/>
      <c r="EO37" s="109"/>
      <c r="EP37" s="109"/>
      <c r="EQ37" s="109"/>
      <c r="ER37" s="132"/>
      <c r="ES37" s="176">
        <f t="shared" si="1"/>
        <v>0</v>
      </c>
      <c r="ET37" s="176">
        <f t="shared" ref="ET37:FD37" si="19">SUM(J37:S37)</f>
        <v>0</v>
      </c>
      <c r="EU37" s="176">
        <f t="shared" si="19"/>
        <v>0</v>
      </c>
      <c r="EV37" s="176">
        <f t="shared" si="19"/>
        <v>0</v>
      </c>
      <c r="EW37" s="175">
        <f t="shared" ref="EW37:EW72" si="20">SUM(BG37:BP37)</f>
        <v>0</v>
      </c>
      <c r="EX37" s="175">
        <f t="shared" si="19"/>
        <v>0</v>
      </c>
      <c r="EY37" s="175">
        <f t="shared" si="19"/>
        <v>0</v>
      </c>
      <c r="EZ37" s="176">
        <f t="shared" si="6"/>
        <v>0</v>
      </c>
      <c r="FA37" s="175">
        <f t="shared" si="19"/>
        <v>0</v>
      </c>
      <c r="FB37" s="175">
        <f t="shared" si="19"/>
        <v>0</v>
      </c>
      <c r="FC37" s="175">
        <f t="shared" si="19"/>
        <v>0</v>
      </c>
      <c r="FD37" s="175">
        <f t="shared" si="19"/>
        <v>0</v>
      </c>
      <c r="FE37" s="175">
        <f t="shared" si="11"/>
        <v>0</v>
      </c>
      <c r="FF37" s="175">
        <f t="shared" si="12"/>
        <v>0</v>
      </c>
      <c r="FG37" s="37">
        <f t="shared" si="17"/>
        <v>35</v>
      </c>
      <c r="FH37" s="165">
        <f t="shared" si="13"/>
        <v>0</v>
      </c>
      <c r="FI37" s="165">
        <f>SUM(I7:ER7)-SUM(ES37:FF37)</f>
        <v>128</v>
      </c>
      <c r="FJ37" s="165">
        <f t="shared" si="16"/>
        <v>128</v>
      </c>
      <c r="FK37" s="7"/>
    </row>
    <row r="38" spans="1:167" ht="15.75" customHeight="1">
      <c r="A38" s="2"/>
      <c r="B38" s="3">
        <f t="shared" si="0"/>
        <v>0</v>
      </c>
      <c r="C38" s="182">
        <f t="shared" si="18"/>
        <v>31</v>
      </c>
      <c r="D38" s="184"/>
      <c r="E38" s="178"/>
      <c r="F38" s="178"/>
      <c r="G38" s="628">
        <v>45915</v>
      </c>
      <c r="H38" s="629"/>
      <c r="I38" s="99"/>
      <c r="J38" s="100"/>
      <c r="K38" s="100"/>
      <c r="L38" s="100"/>
      <c r="M38" s="100"/>
      <c r="N38" s="100"/>
      <c r="O38" s="100"/>
      <c r="P38" s="100"/>
      <c r="Q38" s="100"/>
      <c r="R38" s="101"/>
      <c r="S38" s="119"/>
      <c r="T38" s="118"/>
      <c r="U38" s="118"/>
      <c r="V38" s="118"/>
      <c r="W38" s="118"/>
      <c r="X38" s="118"/>
      <c r="Y38" s="118"/>
      <c r="Z38" s="118"/>
      <c r="AA38" s="118"/>
      <c r="AB38" s="120"/>
      <c r="AC38" s="90"/>
      <c r="AD38" s="91"/>
      <c r="AE38" s="91"/>
      <c r="AF38" s="91"/>
      <c r="AG38" s="592"/>
      <c r="AH38" s="593"/>
      <c r="AI38" s="91"/>
      <c r="AJ38" s="91"/>
      <c r="AK38" s="91"/>
      <c r="AL38" s="123"/>
      <c r="AM38" s="110"/>
      <c r="AN38" s="109"/>
      <c r="AO38" s="109"/>
      <c r="AP38" s="109"/>
      <c r="AQ38" s="109"/>
      <c r="AR38" s="109"/>
      <c r="AS38" s="109"/>
      <c r="AT38" s="109"/>
      <c r="AU38" s="109"/>
      <c r="AV38" s="132"/>
      <c r="AW38" s="128"/>
      <c r="AX38" s="129"/>
      <c r="AY38" s="129"/>
      <c r="AZ38" s="129"/>
      <c r="BA38" s="129"/>
      <c r="BB38" s="129"/>
      <c r="BC38" s="129"/>
      <c r="BD38" s="129"/>
      <c r="BE38" s="129"/>
      <c r="BF38" s="138"/>
      <c r="BG38" s="99"/>
      <c r="BH38" s="100"/>
      <c r="BI38" s="100"/>
      <c r="BJ38" s="100"/>
      <c r="BK38" s="100"/>
      <c r="BL38" s="100"/>
      <c r="BM38" s="100"/>
      <c r="BN38" s="100"/>
      <c r="BO38" s="100"/>
      <c r="BP38" s="101"/>
      <c r="BQ38" s="119"/>
      <c r="BR38" s="118"/>
      <c r="BS38" s="118"/>
      <c r="BT38" s="118"/>
      <c r="BU38" s="118"/>
      <c r="BV38" s="118"/>
      <c r="BW38" s="118"/>
      <c r="BX38" s="118"/>
      <c r="BY38" s="118"/>
      <c r="BZ38" s="120"/>
      <c r="CA38" s="537"/>
      <c r="CB38" s="538"/>
      <c r="CC38" s="538"/>
      <c r="CD38" s="538"/>
      <c r="CE38" s="538"/>
      <c r="CF38" s="538"/>
      <c r="CG38" s="538"/>
      <c r="CH38" s="538"/>
      <c r="CI38" s="538"/>
      <c r="CJ38" s="539"/>
      <c r="CK38" s="110"/>
      <c r="CL38" s="109"/>
      <c r="CM38" s="109"/>
      <c r="CN38" s="109"/>
      <c r="CO38" s="109"/>
      <c r="CP38" s="109"/>
      <c r="CQ38" s="109"/>
      <c r="CR38" s="109"/>
      <c r="CS38" s="109"/>
      <c r="CT38" s="111"/>
      <c r="CU38" s="128"/>
      <c r="CV38" s="129"/>
      <c r="CW38" s="129"/>
      <c r="CX38" s="129"/>
      <c r="CY38" s="129"/>
      <c r="CZ38" s="129"/>
      <c r="DA38" s="129"/>
      <c r="DB38" s="129"/>
      <c r="DC38" s="129"/>
      <c r="DD38" s="138"/>
      <c r="DE38" s="156"/>
      <c r="DF38" s="157"/>
      <c r="DG38" s="157"/>
      <c r="DH38" s="157"/>
      <c r="DI38" s="157"/>
      <c r="DJ38" s="157"/>
      <c r="DK38" s="157"/>
      <c r="DL38" s="157"/>
      <c r="DM38" s="157"/>
      <c r="DN38" s="158"/>
      <c r="DO38" s="119"/>
      <c r="DP38" s="118"/>
      <c r="DQ38" s="118"/>
      <c r="DR38" s="118"/>
      <c r="DS38" s="118"/>
      <c r="DT38" s="118"/>
      <c r="DU38" s="118"/>
      <c r="DV38" s="118"/>
      <c r="DW38" s="118"/>
      <c r="DX38" s="120"/>
      <c r="DY38" s="90"/>
      <c r="DZ38" s="91"/>
      <c r="EA38" s="91"/>
      <c r="EB38" s="91"/>
      <c r="EC38" s="91"/>
      <c r="ED38" s="91"/>
      <c r="EE38" s="91"/>
      <c r="EF38" s="91"/>
      <c r="EG38" s="91"/>
      <c r="EH38" s="92"/>
      <c r="EI38" s="110"/>
      <c r="EJ38" s="109"/>
      <c r="EK38" s="109"/>
      <c r="EL38" s="109"/>
      <c r="EM38" s="109"/>
      <c r="EN38" s="109"/>
      <c r="EO38" s="109"/>
      <c r="EP38" s="109"/>
      <c r="EQ38" s="109"/>
      <c r="ER38" s="132"/>
      <c r="ES38" s="176">
        <f t="shared" si="1"/>
        <v>0</v>
      </c>
      <c r="ET38" s="176">
        <f t="shared" ref="ET38:FD38" si="21">SUM(J38:S38)</f>
        <v>0</v>
      </c>
      <c r="EU38" s="176">
        <f t="shared" si="21"/>
        <v>0</v>
      </c>
      <c r="EV38" s="176">
        <f t="shared" si="21"/>
        <v>0</v>
      </c>
      <c r="EW38" s="175">
        <f t="shared" si="20"/>
        <v>0</v>
      </c>
      <c r="EX38" s="175">
        <f t="shared" si="21"/>
        <v>0</v>
      </c>
      <c r="EY38" s="175">
        <f t="shared" si="21"/>
        <v>0</v>
      </c>
      <c r="EZ38" s="176">
        <f t="shared" si="21"/>
        <v>0</v>
      </c>
      <c r="FA38" s="175">
        <f t="shared" si="21"/>
        <v>0</v>
      </c>
      <c r="FB38" s="175">
        <f t="shared" si="21"/>
        <v>0</v>
      </c>
      <c r="FC38" s="175">
        <f t="shared" si="21"/>
        <v>0</v>
      </c>
      <c r="FD38" s="175">
        <f t="shared" si="21"/>
        <v>0</v>
      </c>
      <c r="FE38" s="175">
        <f t="shared" si="11"/>
        <v>0</v>
      </c>
      <c r="FF38" s="175">
        <f t="shared" si="12"/>
        <v>0</v>
      </c>
      <c r="FG38" s="37">
        <f t="shared" si="17"/>
        <v>36</v>
      </c>
      <c r="FH38" s="165">
        <f t="shared" si="13"/>
        <v>0</v>
      </c>
      <c r="FI38" s="165">
        <f>SUM(I7:ER7)-SUM(ES38:FF38)</f>
        <v>128</v>
      </c>
      <c r="FJ38" s="165">
        <f t="shared" si="16"/>
        <v>128</v>
      </c>
      <c r="FK38" s="7"/>
    </row>
    <row r="39" spans="1:167" ht="15.75" customHeight="1">
      <c r="A39" s="2"/>
      <c r="B39" s="3">
        <f t="shared" si="0"/>
        <v>0</v>
      </c>
      <c r="C39" s="182">
        <f t="shared" si="18"/>
        <v>32</v>
      </c>
      <c r="D39" s="184"/>
      <c r="E39" s="178"/>
      <c r="F39" s="178"/>
      <c r="G39" s="628">
        <v>45915</v>
      </c>
      <c r="H39" s="629"/>
      <c r="I39" s="99"/>
      <c r="J39" s="100"/>
      <c r="K39" s="100"/>
      <c r="L39" s="100"/>
      <c r="M39" s="100"/>
      <c r="N39" s="100"/>
      <c r="O39" s="100"/>
      <c r="P39" s="100"/>
      <c r="Q39" s="100"/>
      <c r="R39" s="101"/>
      <c r="S39" s="119"/>
      <c r="T39" s="118"/>
      <c r="U39" s="118"/>
      <c r="V39" s="118"/>
      <c r="W39" s="118"/>
      <c r="X39" s="118"/>
      <c r="Y39" s="118"/>
      <c r="Z39" s="118"/>
      <c r="AA39" s="118"/>
      <c r="AB39" s="120"/>
      <c r="AC39" s="90"/>
      <c r="AD39" s="91"/>
      <c r="AE39" s="91"/>
      <c r="AF39" s="91"/>
      <c r="AG39" s="592"/>
      <c r="AH39" s="593"/>
      <c r="AI39" s="91"/>
      <c r="AJ39" s="91"/>
      <c r="AK39" s="91"/>
      <c r="AL39" s="123"/>
      <c r="AM39" s="110"/>
      <c r="AN39" s="109"/>
      <c r="AO39" s="109"/>
      <c r="AP39" s="109"/>
      <c r="AQ39" s="109"/>
      <c r="AR39" s="109"/>
      <c r="AS39" s="109"/>
      <c r="AT39" s="109"/>
      <c r="AU39" s="109"/>
      <c r="AV39" s="132"/>
      <c r="AW39" s="128"/>
      <c r="AX39" s="129"/>
      <c r="AY39" s="129"/>
      <c r="AZ39" s="129"/>
      <c r="BA39" s="129"/>
      <c r="BB39" s="129"/>
      <c r="BC39" s="129"/>
      <c r="BD39" s="129"/>
      <c r="BE39" s="129"/>
      <c r="BF39" s="138"/>
      <c r="BG39" s="99"/>
      <c r="BH39" s="100"/>
      <c r="BI39" s="100"/>
      <c r="BJ39" s="100"/>
      <c r="BK39" s="100"/>
      <c r="BL39" s="100"/>
      <c r="BM39" s="100"/>
      <c r="BN39" s="100"/>
      <c r="BO39" s="100"/>
      <c r="BP39" s="101"/>
      <c r="BQ39" s="119"/>
      <c r="BR39" s="118"/>
      <c r="BS39" s="118"/>
      <c r="BT39" s="118"/>
      <c r="BU39" s="118"/>
      <c r="BV39" s="118"/>
      <c r="BW39" s="118"/>
      <c r="BX39" s="118"/>
      <c r="BY39" s="118"/>
      <c r="BZ39" s="120"/>
      <c r="CA39" s="537"/>
      <c r="CB39" s="538"/>
      <c r="CC39" s="538"/>
      <c r="CD39" s="538"/>
      <c r="CE39" s="538"/>
      <c r="CF39" s="538"/>
      <c r="CG39" s="538"/>
      <c r="CH39" s="538"/>
      <c r="CI39" s="538"/>
      <c r="CJ39" s="539"/>
      <c r="CK39" s="110"/>
      <c r="CL39" s="109"/>
      <c r="CM39" s="109"/>
      <c r="CN39" s="109"/>
      <c r="CO39" s="109"/>
      <c r="CP39" s="109"/>
      <c r="CQ39" s="109"/>
      <c r="CR39" s="109"/>
      <c r="CS39" s="109"/>
      <c r="CT39" s="111"/>
      <c r="CU39" s="128"/>
      <c r="CV39" s="129"/>
      <c r="CW39" s="129"/>
      <c r="CX39" s="129"/>
      <c r="CY39" s="129"/>
      <c r="CZ39" s="129"/>
      <c r="DA39" s="129"/>
      <c r="DB39" s="129"/>
      <c r="DC39" s="129"/>
      <c r="DD39" s="138"/>
      <c r="DE39" s="156"/>
      <c r="DF39" s="157"/>
      <c r="DG39" s="157"/>
      <c r="DH39" s="157"/>
      <c r="DI39" s="157"/>
      <c r="DJ39" s="157"/>
      <c r="DK39" s="157"/>
      <c r="DL39" s="157"/>
      <c r="DM39" s="157"/>
      <c r="DN39" s="158"/>
      <c r="DO39" s="119"/>
      <c r="DP39" s="118"/>
      <c r="DQ39" s="118"/>
      <c r="DR39" s="118"/>
      <c r="DS39" s="118"/>
      <c r="DT39" s="118"/>
      <c r="DU39" s="118"/>
      <c r="DV39" s="118"/>
      <c r="DW39" s="118"/>
      <c r="DX39" s="120"/>
      <c r="DY39" s="90"/>
      <c r="DZ39" s="91"/>
      <c r="EA39" s="91"/>
      <c r="EB39" s="91"/>
      <c r="EC39" s="91"/>
      <c r="ED39" s="91"/>
      <c r="EE39" s="91"/>
      <c r="EF39" s="91"/>
      <c r="EG39" s="91"/>
      <c r="EH39" s="92"/>
      <c r="EI39" s="110"/>
      <c r="EJ39" s="109"/>
      <c r="EK39" s="109"/>
      <c r="EL39" s="109"/>
      <c r="EM39" s="109"/>
      <c r="EN39" s="109"/>
      <c r="EO39" s="109"/>
      <c r="EP39" s="109"/>
      <c r="EQ39" s="109"/>
      <c r="ER39" s="132"/>
      <c r="ES39" s="176">
        <f t="shared" si="1"/>
        <v>0</v>
      </c>
      <c r="ET39" s="176">
        <f t="shared" ref="ET39:FD39" si="22">SUM(J39:S39)</f>
        <v>0</v>
      </c>
      <c r="EU39" s="176">
        <f t="shared" si="22"/>
        <v>0</v>
      </c>
      <c r="EV39" s="176">
        <f t="shared" si="22"/>
        <v>0</v>
      </c>
      <c r="EW39" s="175">
        <f t="shared" si="20"/>
        <v>0</v>
      </c>
      <c r="EX39" s="175">
        <f t="shared" si="22"/>
        <v>0</v>
      </c>
      <c r="EY39" s="175">
        <f t="shared" si="22"/>
        <v>0</v>
      </c>
      <c r="EZ39" s="176">
        <f t="shared" si="22"/>
        <v>0</v>
      </c>
      <c r="FA39" s="175">
        <f t="shared" si="22"/>
        <v>0</v>
      </c>
      <c r="FB39" s="175">
        <f t="shared" si="22"/>
        <v>0</v>
      </c>
      <c r="FC39" s="175">
        <f t="shared" si="22"/>
        <v>0</v>
      </c>
      <c r="FD39" s="175">
        <f t="shared" si="22"/>
        <v>0</v>
      </c>
      <c r="FE39" s="175">
        <f t="shared" si="11"/>
        <v>0</v>
      </c>
      <c r="FF39" s="175">
        <f t="shared" si="12"/>
        <v>0</v>
      </c>
      <c r="FG39" s="37">
        <f t="shared" si="17"/>
        <v>37</v>
      </c>
      <c r="FH39" s="165">
        <f t="shared" si="13"/>
        <v>0</v>
      </c>
      <c r="FI39" s="165">
        <f>SUM(I7:ER7)-SUM(ES39:FF39)</f>
        <v>128</v>
      </c>
      <c r="FJ39" s="165">
        <f t="shared" si="16"/>
        <v>128</v>
      </c>
      <c r="FK39" s="7"/>
    </row>
    <row r="40" spans="1:167" ht="15.75" customHeight="1">
      <c r="A40" s="2"/>
      <c r="B40" s="3">
        <f t="shared" si="0"/>
        <v>0</v>
      </c>
      <c r="C40" s="182">
        <f t="shared" si="18"/>
        <v>33</v>
      </c>
      <c r="D40" s="184"/>
      <c r="E40" s="178"/>
      <c r="F40" s="178"/>
      <c r="G40" s="628">
        <v>45915</v>
      </c>
      <c r="H40" s="629"/>
      <c r="I40" s="99"/>
      <c r="J40" s="100"/>
      <c r="K40" s="100"/>
      <c r="L40" s="100"/>
      <c r="M40" s="100"/>
      <c r="N40" s="100"/>
      <c r="O40" s="100"/>
      <c r="P40" s="100"/>
      <c r="Q40" s="100"/>
      <c r="R40" s="101"/>
      <c r="S40" s="119"/>
      <c r="T40" s="118"/>
      <c r="U40" s="118"/>
      <c r="V40" s="118"/>
      <c r="W40" s="118"/>
      <c r="X40" s="118"/>
      <c r="Y40" s="118"/>
      <c r="Z40" s="118"/>
      <c r="AA40" s="118"/>
      <c r="AB40" s="120"/>
      <c r="AC40" s="90"/>
      <c r="AD40" s="91"/>
      <c r="AE40" s="91"/>
      <c r="AF40" s="91"/>
      <c r="AG40" s="592"/>
      <c r="AH40" s="593"/>
      <c r="AI40" s="91"/>
      <c r="AJ40" s="91"/>
      <c r="AK40" s="91"/>
      <c r="AL40" s="123"/>
      <c r="AM40" s="110"/>
      <c r="AN40" s="109"/>
      <c r="AO40" s="109"/>
      <c r="AP40" s="109"/>
      <c r="AQ40" s="109"/>
      <c r="AR40" s="109"/>
      <c r="AS40" s="109"/>
      <c r="AT40" s="109"/>
      <c r="AU40" s="109"/>
      <c r="AV40" s="132"/>
      <c r="AW40" s="128"/>
      <c r="AX40" s="129"/>
      <c r="AY40" s="129"/>
      <c r="AZ40" s="129"/>
      <c r="BA40" s="129"/>
      <c r="BB40" s="129"/>
      <c r="BC40" s="129"/>
      <c r="BD40" s="129"/>
      <c r="BE40" s="129"/>
      <c r="BF40" s="138"/>
      <c r="BG40" s="99"/>
      <c r="BH40" s="100"/>
      <c r="BI40" s="100"/>
      <c r="BJ40" s="100"/>
      <c r="BK40" s="100"/>
      <c r="BL40" s="100"/>
      <c r="BM40" s="100"/>
      <c r="BN40" s="100"/>
      <c r="BO40" s="100"/>
      <c r="BP40" s="101"/>
      <c r="BQ40" s="119"/>
      <c r="BR40" s="118"/>
      <c r="BS40" s="118"/>
      <c r="BT40" s="118"/>
      <c r="BU40" s="118"/>
      <c r="BV40" s="118"/>
      <c r="BW40" s="118"/>
      <c r="BX40" s="118"/>
      <c r="BY40" s="118"/>
      <c r="BZ40" s="120"/>
      <c r="CA40" s="537"/>
      <c r="CB40" s="538"/>
      <c r="CC40" s="538"/>
      <c r="CD40" s="538"/>
      <c r="CE40" s="538"/>
      <c r="CF40" s="538"/>
      <c r="CG40" s="538"/>
      <c r="CH40" s="538"/>
      <c r="CI40" s="538"/>
      <c r="CJ40" s="539"/>
      <c r="CK40" s="110"/>
      <c r="CL40" s="109"/>
      <c r="CM40" s="109"/>
      <c r="CN40" s="109"/>
      <c r="CO40" s="109"/>
      <c r="CP40" s="109"/>
      <c r="CQ40" s="109"/>
      <c r="CR40" s="109"/>
      <c r="CS40" s="109"/>
      <c r="CT40" s="111"/>
      <c r="CU40" s="128"/>
      <c r="CV40" s="129"/>
      <c r="CW40" s="129"/>
      <c r="CX40" s="129"/>
      <c r="CY40" s="129"/>
      <c r="CZ40" s="129"/>
      <c r="DA40" s="129"/>
      <c r="DB40" s="129"/>
      <c r="DC40" s="129"/>
      <c r="DD40" s="138"/>
      <c r="DE40" s="156"/>
      <c r="DF40" s="157"/>
      <c r="DG40" s="157"/>
      <c r="DH40" s="157"/>
      <c r="DI40" s="157"/>
      <c r="DJ40" s="157"/>
      <c r="DK40" s="157"/>
      <c r="DL40" s="157"/>
      <c r="DM40" s="157"/>
      <c r="DN40" s="158"/>
      <c r="DO40" s="119"/>
      <c r="DP40" s="118"/>
      <c r="DQ40" s="118"/>
      <c r="DR40" s="118"/>
      <c r="DS40" s="118"/>
      <c r="DT40" s="118"/>
      <c r="DU40" s="118"/>
      <c r="DV40" s="118"/>
      <c r="DW40" s="118"/>
      <c r="DX40" s="120"/>
      <c r="DY40" s="90"/>
      <c r="DZ40" s="91"/>
      <c r="EA40" s="91"/>
      <c r="EB40" s="91"/>
      <c r="EC40" s="91"/>
      <c r="ED40" s="91"/>
      <c r="EE40" s="91"/>
      <c r="EF40" s="91"/>
      <c r="EG40" s="91"/>
      <c r="EH40" s="92"/>
      <c r="EI40" s="110"/>
      <c r="EJ40" s="109"/>
      <c r="EK40" s="109"/>
      <c r="EL40" s="109"/>
      <c r="EM40" s="109"/>
      <c r="EN40" s="109"/>
      <c r="EO40" s="109"/>
      <c r="EP40" s="109"/>
      <c r="EQ40" s="109"/>
      <c r="ER40" s="132"/>
      <c r="ES40" s="176">
        <f t="shared" si="1"/>
        <v>0</v>
      </c>
      <c r="ET40" s="176">
        <f t="shared" ref="ET40:FD40" si="23">SUM(J40:S40)</f>
        <v>0</v>
      </c>
      <c r="EU40" s="176">
        <f t="shared" si="23"/>
        <v>0</v>
      </c>
      <c r="EV40" s="176">
        <f t="shared" si="23"/>
        <v>0</v>
      </c>
      <c r="EW40" s="175">
        <f t="shared" si="20"/>
        <v>0</v>
      </c>
      <c r="EX40" s="175">
        <f t="shared" si="23"/>
        <v>0</v>
      </c>
      <c r="EY40" s="175">
        <f t="shared" si="23"/>
        <v>0</v>
      </c>
      <c r="EZ40" s="176">
        <f t="shared" si="23"/>
        <v>0</v>
      </c>
      <c r="FA40" s="175">
        <f t="shared" si="23"/>
        <v>0</v>
      </c>
      <c r="FB40" s="175">
        <f t="shared" si="23"/>
        <v>0</v>
      </c>
      <c r="FC40" s="175">
        <f t="shared" si="23"/>
        <v>0</v>
      </c>
      <c r="FD40" s="175">
        <f t="shared" si="23"/>
        <v>0</v>
      </c>
      <c r="FE40" s="175">
        <f t="shared" si="11"/>
        <v>0</v>
      </c>
      <c r="FF40" s="175">
        <f t="shared" si="12"/>
        <v>0</v>
      </c>
      <c r="FG40" s="37">
        <f t="shared" si="17"/>
        <v>38</v>
      </c>
      <c r="FH40" s="165">
        <f t="shared" si="13"/>
        <v>0</v>
      </c>
      <c r="FI40" s="165">
        <f>SUM(I7:ER7)-SUM(ES40:FF40)</f>
        <v>128</v>
      </c>
      <c r="FJ40" s="165">
        <f t="shared" si="16"/>
        <v>128</v>
      </c>
      <c r="FK40" s="7"/>
    </row>
    <row r="41" spans="1:167" ht="15.75" customHeight="1">
      <c r="A41" s="2"/>
      <c r="B41" s="3">
        <f t="shared" si="0"/>
        <v>0</v>
      </c>
      <c r="C41" s="182">
        <f t="shared" si="18"/>
        <v>34</v>
      </c>
      <c r="D41" s="184"/>
      <c r="E41" s="178"/>
      <c r="F41" s="178"/>
      <c r="G41" s="628">
        <v>45915</v>
      </c>
      <c r="H41" s="629"/>
      <c r="I41" s="99"/>
      <c r="J41" s="100"/>
      <c r="K41" s="100"/>
      <c r="L41" s="100"/>
      <c r="M41" s="100"/>
      <c r="N41" s="100"/>
      <c r="O41" s="100"/>
      <c r="P41" s="100"/>
      <c r="Q41" s="100"/>
      <c r="R41" s="101"/>
      <c r="S41" s="119"/>
      <c r="T41" s="118"/>
      <c r="U41" s="118"/>
      <c r="V41" s="118"/>
      <c r="W41" s="118"/>
      <c r="X41" s="118"/>
      <c r="Y41" s="118"/>
      <c r="Z41" s="118"/>
      <c r="AA41" s="118"/>
      <c r="AB41" s="120"/>
      <c r="AC41" s="90"/>
      <c r="AD41" s="91"/>
      <c r="AE41" s="91"/>
      <c r="AF41" s="91"/>
      <c r="AG41" s="592"/>
      <c r="AH41" s="593"/>
      <c r="AI41" s="91"/>
      <c r="AJ41" s="91"/>
      <c r="AK41" s="91"/>
      <c r="AL41" s="123"/>
      <c r="AM41" s="110"/>
      <c r="AN41" s="109"/>
      <c r="AO41" s="109"/>
      <c r="AP41" s="109"/>
      <c r="AQ41" s="109"/>
      <c r="AR41" s="109"/>
      <c r="AS41" s="109"/>
      <c r="AT41" s="109"/>
      <c r="AU41" s="109"/>
      <c r="AV41" s="132"/>
      <c r="AW41" s="128"/>
      <c r="AX41" s="129"/>
      <c r="AY41" s="129"/>
      <c r="AZ41" s="129"/>
      <c r="BA41" s="129"/>
      <c r="BB41" s="129"/>
      <c r="BC41" s="129"/>
      <c r="BD41" s="129"/>
      <c r="BE41" s="129"/>
      <c r="BF41" s="138"/>
      <c r="BG41" s="99"/>
      <c r="BH41" s="100"/>
      <c r="BI41" s="100"/>
      <c r="BJ41" s="100"/>
      <c r="BK41" s="100"/>
      <c r="BL41" s="100"/>
      <c r="BM41" s="100"/>
      <c r="BN41" s="100"/>
      <c r="BO41" s="100"/>
      <c r="BP41" s="101"/>
      <c r="BQ41" s="119"/>
      <c r="BR41" s="118"/>
      <c r="BS41" s="118"/>
      <c r="BT41" s="118"/>
      <c r="BU41" s="118"/>
      <c r="BV41" s="118"/>
      <c r="BW41" s="118"/>
      <c r="BX41" s="118"/>
      <c r="BY41" s="118"/>
      <c r="BZ41" s="120"/>
      <c r="CA41" s="537"/>
      <c r="CB41" s="538"/>
      <c r="CC41" s="538"/>
      <c r="CD41" s="538"/>
      <c r="CE41" s="538"/>
      <c r="CF41" s="538"/>
      <c r="CG41" s="538"/>
      <c r="CH41" s="538"/>
      <c r="CI41" s="538"/>
      <c r="CJ41" s="539"/>
      <c r="CK41" s="110"/>
      <c r="CL41" s="109"/>
      <c r="CM41" s="109"/>
      <c r="CN41" s="109"/>
      <c r="CO41" s="109"/>
      <c r="CP41" s="109"/>
      <c r="CQ41" s="109"/>
      <c r="CR41" s="109"/>
      <c r="CS41" s="109"/>
      <c r="CT41" s="111"/>
      <c r="CU41" s="128"/>
      <c r="CV41" s="129"/>
      <c r="CW41" s="129"/>
      <c r="CX41" s="129"/>
      <c r="CY41" s="129"/>
      <c r="CZ41" s="129"/>
      <c r="DA41" s="129"/>
      <c r="DB41" s="129"/>
      <c r="DC41" s="129"/>
      <c r="DD41" s="138"/>
      <c r="DE41" s="156"/>
      <c r="DF41" s="157"/>
      <c r="DG41" s="157"/>
      <c r="DH41" s="157"/>
      <c r="DI41" s="157"/>
      <c r="DJ41" s="157"/>
      <c r="DK41" s="157"/>
      <c r="DL41" s="157"/>
      <c r="DM41" s="157"/>
      <c r="DN41" s="158"/>
      <c r="DO41" s="119"/>
      <c r="DP41" s="118"/>
      <c r="DQ41" s="118"/>
      <c r="DR41" s="118"/>
      <c r="DS41" s="118"/>
      <c r="DT41" s="118"/>
      <c r="DU41" s="118"/>
      <c r="DV41" s="118"/>
      <c r="DW41" s="118"/>
      <c r="DX41" s="120"/>
      <c r="DY41" s="90"/>
      <c r="DZ41" s="91"/>
      <c r="EA41" s="91"/>
      <c r="EB41" s="91"/>
      <c r="EC41" s="91"/>
      <c r="ED41" s="91"/>
      <c r="EE41" s="91"/>
      <c r="EF41" s="91"/>
      <c r="EG41" s="91"/>
      <c r="EH41" s="92"/>
      <c r="EI41" s="110"/>
      <c r="EJ41" s="109"/>
      <c r="EK41" s="109"/>
      <c r="EL41" s="109"/>
      <c r="EM41" s="109"/>
      <c r="EN41" s="109"/>
      <c r="EO41" s="109"/>
      <c r="EP41" s="109"/>
      <c r="EQ41" s="109"/>
      <c r="ER41" s="132"/>
      <c r="ES41" s="176">
        <f t="shared" si="1"/>
        <v>0</v>
      </c>
      <c r="ET41" s="176">
        <f t="shared" ref="ET41:FD41" si="24">SUM(J41:S41)</f>
        <v>0</v>
      </c>
      <c r="EU41" s="176">
        <f t="shared" si="24"/>
        <v>0</v>
      </c>
      <c r="EV41" s="176">
        <f t="shared" si="24"/>
        <v>0</v>
      </c>
      <c r="EW41" s="175">
        <f t="shared" si="20"/>
        <v>0</v>
      </c>
      <c r="EX41" s="175">
        <f t="shared" si="24"/>
        <v>0</v>
      </c>
      <c r="EY41" s="175">
        <f t="shared" si="24"/>
        <v>0</v>
      </c>
      <c r="EZ41" s="176">
        <f t="shared" si="24"/>
        <v>0</v>
      </c>
      <c r="FA41" s="175">
        <f t="shared" si="24"/>
        <v>0</v>
      </c>
      <c r="FB41" s="175">
        <f t="shared" si="24"/>
        <v>0</v>
      </c>
      <c r="FC41" s="175">
        <f t="shared" si="24"/>
        <v>0</v>
      </c>
      <c r="FD41" s="175">
        <f t="shared" si="24"/>
        <v>0</v>
      </c>
      <c r="FE41" s="175">
        <f t="shared" si="11"/>
        <v>0</v>
      </c>
      <c r="FF41" s="175">
        <f t="shared" si="12"/>
        <v>0</v>
      </c>
      <c r="FG41" s="37">
        <f t="shared" si="17"/>
        <v>39</v>
      </c>
      <c r="FH41" s="165">
        <f t="shared" si="13"/>
        <v>0</v>
      </c>
      <c r="FI41" s="165">
        <f>SUM(I7:ER7)-SUM(ES41:FF41)</f>
        <v>128</v>
      </c>
      <c r="FJ41" s="165">
        <f t="shared" si="16"/>
        <v>128</v>
      </c>
      <c r="FK41" s="7"/>
    </row>
    <row r="42" spans="1:167" ht="15.75" customHeight="1">
      <c r="A42" s="2"/>
      <c r="B42" s="3">
        <f t="shared" si="0"/>
        <v>0</v>
      </c>
      <c r="C42" s="182">
        <f t="shared" si="18"/>
        <v>35</v>
      </c>
      <c r="D42" s="184"/>
      <c r="E42" s="178"/>
      <c r="F42" s="178"/>
      <c r="G42" s="628">
        <v>45915</v>
      </c>
      <c r="H42" s="629"/>
      <c r="I42" s="99"/>
      <c r="J42" s="100"/>
      <c r="K42" s="100"/>
      <c r="L42" s="100"/>
      <c r="M42" s="100"/>
      <c r="N42" s="100"/>
      <c r="O42" s="100"/>
      <c r="P42" s="100"/>
      <c r="Q42" s="100"/>
      <c r="R42" s="101"/>
      <c r="S42" s="119"/>
      <c r="T42" s="118"/>
      <c r="U42" s="118"/>
      <c r="V42" s="118"/>
      <c r="W42" s="118"/>
      <c r="X42" s="118"/>
      <c r="Y42" s="118"/>
      <c r="Z42" s="118"/>
      <c r="AA42" s="118"/>
      <c r="AB42" s="120"/>
      <c r="AC42" s="90"/>
      <c r="AD42" s="91"/>
      <c r="AE42" s="91"/>
      <c r="AF42" s="91"/>
      <c r="AG42" s="592"/>
      <c r="AH42" s="593"/>
      <c r="AI42" s="91"/>
      <c r="AJ42" s="91"/>
      <c r="AK42" s="91"/>
      <c r="AL42" s="123"/>
      <c r="AM42" s="110"/>
      <c r="AN42" s="109"/>
      <c r="AO42" s="109"/>
      <c r="AP42" s="109"/>
      <c r="AQ42" s="109"/>
      <c r="AR42" s="109"/>
      <c r="AS42" s="109"/>
      <c r="AT42" s="109"/>
      <c r="AU42" s="109"/>
      <c r="AV42" s="132"/>
      <c r="AW42" s="128"/>
      <c r="AX42" s="129"/>
      <c r="AY42" s="129"/>
      <c r="AZ42" s="129"/>
      <c r="BA42" s="129"/>
      <c r="BB42" s="129"/>
      <c r="BC42" s="129"/>
      <c r="BD42" s="129"/>
      <c r="BE42" s="129"/>
      <c r="BF42" s="138"/>
      <c r="BG42" s="99"/>
      <c r="BH42" s="100"/>
      <c r="BI42" s="100"/>
      <c r="BJ42" s="100"/>
      <c r="BK42" s="100"/>
      <c r="BL42" s="100"/>
      <c r="BM42" s="100"/>
      <c r="BN42" s="100"/>
      <c r="BO42" s="100"/>
      <c r="BP42" s="101"/>
      <c r="BQ42" s="119"/>
      <c r="BR42" s="118"/>
      <c r="BS42" s="118"/>
      <c r="BT42" s="118"/>
      <c r="BU42" s="118"/>
      <c r="BV42" s="118"/>
      <c r="BW42" s="118"/>
      <c r="BX42" s="118"/>
      <c r="BY42" s="118"/>
      <c r="BZ42" s="120"/>
      <c r="CA42" s="537"/>
      <c r="CB42" s="538"/>
      <c r="CC42" s="538"/>
      <c r="CD42" s="538"/>
      <c r="CE42" s="538"/>
      <c r="CF42" s="538"/>
      <c r="CG42" s="538"/>
      <c r="CH42" s="538"/>
      <c r="CI42" s="538"/>
      <c r="CJ42" s="539"/>
      <c r="CK42" s="110"/>
      <c r="CL42" s="109"/>
      <c r="CM42" s="109"/>
      <c r="CN42" s="109"/>
      <c r="CO42" s="109"/>
      <c r="CP42" s="109"/>
      <c r="CQ42" s="109"/>
      <c r="CR42" s="109"/>
      <c r="CS42" s="109"/>
      <c r="CT42" s="111"/>
      <c r="CU42" s="128"/>
      <c r="CV42" s="129"/>
      <c r="CW42" s="129"/>
      <c r="CX42" s="129"/>
      <c r="CY42" s="129"/>
      <c r="CZ42" s="129"/>
      <c r="DA42" s="129"/>
      <c r="DB42" s="129"/>
      <c r="DC42" s="129"/>
      <c r="DD42" s="138"/>
      <c r="DE42" s="156"/>
      <c r="DF42" s="157"/>
      <c r="DG42" s="157"/>
      <c r="DH42" s="157"/>
      <c r="DI42" s="157"/>
      <c r="DJ42" s="157"/>
      <c r="DK42" s="157"/>
      <c r="DL42" s="157"/>
      <c r="DM42" s="157"/>
      <c r="DN42" s="158"/>
      <c r="DO42" s="119"/>
      <c r="DP42" s="118"/>
      <c r="DQ42" s="118"/>
      <c r="DR42" s="118"/>
      <c r="DS42" s="118"/>
      <c r="DT42" s="118"/>
      <c r="DU42" s="118"/>
      <c r="DV42" s="118"/>
      <c r="DW42" s="118"/>
      <c r="DX42" s="120"/>
      <c r="DY42" s="90"/>
      <c r="DZ42" s="91"/>
      <c r="EA42" s="91"/>
      <c r="EB42" s="91"/>
      <c r="EC42" s="91"/>
      <c r="ED42" s="91"/>
      <c r="EE42" s="91"/>
      <c r="EF42" s="91"/>
      <c r="EG42" s="91"/>
      <c r="EH42" s="92"/>
      <c r="EI42" s="110"/>
      <c r="EJ42" s="109"/>
      <c r="EK42" s="109"/>
      <c r="EL42" s="109"/>
      <c r="EM42" s="109"/>
      <c r="EN42" s="109"/>
      <c r="EO42" s="109"/>
      <c r="EP42" s="109"/>
      <c r="EQ42" s="109"/>
      <c r="ER42" s="132"/>
      <c r="ES42" s="176">
        <f t="shared" si="1"/>
        <v>0</v>
      </c>
      <c r="ET42" s="176">
        <f t="shared" ref="ET42:FD42" si="25">SUM(J42:S42)</f>
        <v>0</v>
      </c>
      <c r="EU42" s="176">
        <f t="shared" si="25"/>
        <v>0</v>
      </c>
      <c r="EV42" s="176">
        <f t="shared" si="25"/>
        <v>0</v>
      </c>
      <c r="EW42" s="175">
        <f t="shared" si="20"/>
        <v>0</v>
      </c>
      <c r="EX42" s="175">
        <f t="shared" si="25"/>
        <v>0</v>
      </c>
      <c r="EY42" s="175">
        <f t="shared" si="25"/>
        <v>0</v>
      </c>
      <c r="EZ42" s="176">
        <f t="shared" si="25"/>
        <v>0</v>
      </c>
      <c r="FA42" s="175">
        <f t="shared" si="25"/>
        <v>0</v>
      </c>
      <c r="FB42" s="175">
        <f t="shared" si="25"/>
        <v>0</v>
      </c>
      <c r="FC42" s="175">
        <f t="shared" si="25"/>
        <v>0</v>
      </c>
      <c r="FD42" s="175">
        <f t="shared" si="25"/>
        <v>0</v>
      </c>
      <c r="FE42" s="175">
        <f t="shared" si="11"/>
        <v>0</v>
      </c>
      <c r="FF42" s="175">
        <f t="shared" si="12"/>
        <v>0</v>
      </c>
      <c r="FG42" s="37">
        <f t="shared" si="17"/>
        <v>40</v>
      </c>
      <c r="FH42" s="165">
        <f t="shared" si="13"/>
        <v>0</v>
      </c>
      <c r="FI42" s="165">
        <f>SUM(I7:ER7)-SUM(ES42:FF42)</f>
        <v>128</v>
      </c>
      <c r="FJ42" s="165">
        <f t="shared" si="16"/>
        <v>128</v>
      </c>
      <c r="FK42" s="7"/>
    </row>
    <row r="43" spans="1:167" ht="15.75" customHeight="1">
      <c r="A43" s="2"/>
      <c r="B43" s="3">
        <f t="shared" si="0"/>
        <v>0</v>
      </c>
      <c r="C43" s="182">
        <f t="shared" si="18"/>
        <v>36</v>
      </c>
      <c r="D43" s="184"/>
      <c r="E43" s="178"/>
      <c r="F43" s="178"/>
      <c r="G43" s="628">
        <v>45915</v>
      </c>
      <c r="H43" s="629"/>
      <c r="I43" s="99"/>
      <c r="J43" s="100"/>
      <c r="K43" s="100"/>
      <c r="L43" s="100"/>
      <c r="M43" s="100"/>
      <c r="N43" s="100"/>
      <c r="O43" s="100"/>
      <c r="P43" s="100"/>
      <c r="Q43" s="100"/>
      <c r="R43" s="101"/>
      <c r="S43" s="119"/>
      <c r="T43" s="118"/>
      <c r="U43" s="118"/>
      <c r="V43" s="118"/>
      <c r="W43" s="118"/>
      <c r="X43" s="118"/>
      <c r="Y43" s="118"/>
      <c r="Z43" s="118"/>
      <c r="AA43" s="118"/>
      <c r="AB43" s="120"/>
      <c r="AC43" s="90"/>
      <c r="AD43" s="91"/>
      <c r="AE43" s="91"/>
      <c r="AF43" s="91"/>
      <c r="AG43" s="592"/>
      <c r="AH43" s="593"/>
      <c r="AI43" s="91"/>
      <c r="AJ43" s="91"/>
      <c r="AK43" s="91"/>
      <c r="AL43" s="123"/>
      <c r="AM43" s="110"/>
      <c r="AN43" s="109"/>
      <c r="AO43" s="109"/>
      <c r="AP43" s="109"/>
      <c r="AQ43" s="109"/>
      <c r="AR43" s="109"/>
      <c r="AS43" s="109"/>
      <c r="AT43" s="109"/>
      <c r="AU43" s="109"/>
      <c r="AV43" s="132"/>
      <c r="AW43" s="128"/>
      <c r="AX43" s="129"/>
      <c r="AY43" s="129"/>
      <c r="AZ43" s="129"/>
      <c r="BA43" s="129"/>
      <c r="BB43" s="129"/>
      <c r="BC43" s="129"/>
      <c r="BD43" s="129"/>
      <c r="BE43" s="129"/>
      <c r="BF43" s="138"/>
      <c r="BG43" s="99"/>
      <c r="BH43" s="100"/>
      <c r="BI43" s="100"/>
      <c r="BJ43" s="100"/>
      <c r="BK43" s="100"/>
      <c r="BL43" s="100"/>
      <c r="BM43" s="100"/>
      <c r="BN43" s="100"/>
      <c r="BO43" s="100"/>
      <c r="BP43" s="101"/>
      <c r="BQ43" s="119"/>
      <c r="BR43" s="118"/>
      <c r="BS43" s="118"/>
      <c r="BT43" s="118"/>
      <c r="BU43" s="118"/>
      <c r="BV43" s="118"/>
      <c r="BW43" s="118"/>
      <c r="BX43" s="118"/>
      <c r="BY43" s="118"/>
      <c r="BZ43" s="120"/>
      <c r="CA43" s="537"/>
      <c r="CB43" s="538"/>
      <c r="CC43" s="538"/>
      <c r="CD43" s="538"/>
      <c r="CE43" s="538"/>
      <c r="CF43" s="538"/>
      <c r="CG43" s="538"/>
      <c r="CH43" s="538"/>
      <c r="CI43" s="538"/>
      <c r="CJ43" s="539"/>
      <c r="CK43" s="110"/>
      <c r="CL43" s="109"/>
      <c r="CM43" s="109"/>
      <c r="CN43" s="109"/>
      <c r="CO43" s="109"/>
      <c r="CP43" s="109"/>
      <c r="CQ43" s="109"/>
      <c r="CR43" s="109"/>
      <c r="CS43" s="109"/>
      <c r="CT43" s="111"/>
      <c r="CU43" s="128"/>
      <c r="CV43" s="129"/>
      <c r="CW43" s="129"/>
      <c r="CX43" s="129"/>
      <c r="CY43" s="129"/>
      <c r="CZ43" s="129"/>
      <c r="DA43" s="129"/>
      <c r="DB43" s="129"/>
      <c r="DC43" s="129"/>
      <c r="DD43" s="138"/>
      <c r="DE43" s="156"/>
      <c r="DF43" s="157"/>
      <c r="DG43" s="157"/>
      <c r="DH43" s="157"/>
      <c r="DI43" s="157"/>
      <c r="DJ43" s="157"/>
      <c r="DK43" s="157"/>
      <c r="DL43" s="157"/>
      <c r="DM43" s="157"/>
      <c r="DN43" s="158"/>
      <c r="DO43" s="119"/>
      <c r="DP43" s="118"/>
      <c r="DQ43" s="118"/>
      <c r="DR43" s="118"/>
      <c r="DS43" s="118"/>
      <c r="DT43" s="118"/>
      <c r="DU43" s="118"/>
      <c r="DV43" s="118"/>
      <c r="DW43" s="118"/>
      <c r="DX43" s="120"/>
      <c r="DY43" s="90"/>
      <c r="DZ43" s="91"/>
      <c r="EA43" s="91"/>
      <c r="EB43" s="91"/>
      <c r="EC43" s="91"/>
      <c r="ED43" s="91"/>
      <c r="EE43" s="91"/>
      <c r="EF43" s="91"/>
      <c r="EG43" s="91"/>
      <c r="EH43" s="92"/>
      <c r="EI43" s="110"/>
      <c r="EJ43" s="109"/>
      <c r="EK43" s="109"/>
      <c r="EL43" s="109"/>
      <c r="EM43" s="109"/>
      <c r="EN43" s="109"/>
      <c r="EO43" s="109"/>
      <c r="EP43" s="109"/>
      <c r="EQ43" s="109"/>
      <c r="ER43" s="132"/>
      <c r="ES43" s="176">
        <f t="shared" si="1"/>
        <v>0</v>
      </c>
      <c r="ET43" s="176">
        <f t="shared" ref="ET43:FD43" si="26">SUM(J43:S43)</f>
        <v>0</v>
      </c>
      <c r="EU43" s="176">
        <f t="shared" si="26"/>
        <v>0</v>
      </c>
      <c r="EV43" s="176">
        <f t="shared" si="26"/>
        <v>0</v>
      </c>
      <c r="EW43" s="175">
        <f t="shared" si="20"/>
        <v>0</v>
      </c>
      <c r="EX43" s="175">
        <f t="shared" si="26"/>
        <v>0</v>
      </c>
      <c r="EY43" s="175">
        <f t="shared" si="26"/>
        <v>0</v>
      </c>
      <c r="EZ43" s="176">
        <f t="shared" si="26"/>
        <v>0</v>
      </c>
      <c r="FA43" s="175">
        <f t="shared" si="26"/>
        <v>0</v>
      </c>
      <c r="FB43" s="175">
        <f t="shared" si="26"/>
        <v>0</v>
      </c>
      <c r="FC43" s="175">
        <f t="shared" si="26"/>
        <v>0</v>
      </c>
      <c r="FD43" s="175">
        <f t="shared" si="26"/>
        <v>0</v>
      </c>
      <c r="FE43" s="175">
        <f t="shared" si="11"/>
        <v>0</v>
      </c>
      <c r="FF43" s="175">
        <f t="shared" si="12"/>
        <v>0</v>
      </c>
      <c r="FG43" s="37">
        <f t="shared" si="17"/>
        <v>41</v>
      </c>
      <c r="FH43" s="165">
        <f t="shared" si="13"/>
        <v>0</v>
      </c>
      <c r="FI43" s="165">
        <f>SUM(I7:ER7)-SUM(ES43:FF43)</f>
        <v>128</v>
      </c>
      <c r="FJ43" s="165">
        <f t="shared" si="16"/>
        <v>128</v>
      </c>
      <c r="FK43" s="7"/>
    </row>
    <row r="44" spans="1:167" ht="15.75" customHeight="1">
      <c r="A44" s="2"/>
      <c r="B44" s="3">
        <f t="shared" si="0"/>
        <v>0</v>
      </c>
      <c r="C44" s="182">
        <f t="shared" si="18"/>
        <v>37</v>
      </c>
      <c r="D44" s="184"/>
      <c r="E44" s="178"/>
      <c r="F44" s="178"/>
      <c r="G44" s="628">
        <v>45915</v>
      </c>
      <c r="H44" s="629"/>
      <c r="I44" s="99"/>
      <c r="J44" s="100"/>
      <c r="K44" s="100"/>
      <c r="L44" s="100"/>
      <c r="M44" s="100"/>
      <c r="N44" s="100"/>
      <c r="O44" s="100"/>
      <c r="P44" s="100"/>
      <c r="Q44" s="100"/>
      <c r="R44" s="101"/>
      <c r="S44" s="119"/>
      <c r="T44" s="118"/>
      <c r="U44" s="118"/>
      <c r="V44" s="118"/>
      <c r="W44" s="118"/>
      <c r="X44" s="118"/>
      <c r="Y44" s="118"/>
      <c r="Z44" s="118"/>
      <c r="AA44" s="118"/>
      <c r="AB44" s="120"/>
      <c r="AC44" s="90"/>
      <c r="AD44" s="91"/>
      <c r="AE44" s="91"/>
      <c r="AF44" s="91"/>
      <c r="AG44" s="592"/>
      <c r="AH44" s="593"/>
      <c r="AI44" s="91"/>
      <c r="AJ44" s="91"/>
      <c r="AK44" s="91"/>
      <c r="AL44" s="123"/>
      <c r="AM44" s="110"/>
      <c r="AN44" s="109"/>
      <c r="AO44" s="109"/>
      <c r="AP44" s="109"/>
      <c r="AQ44" s="109"/>
      <c r="AR44" s="109"/>
      <c r="AS44" s="109"/>
      <c r="AT44" s="109"/>
      <c r="AU44" s="109"/>
      <c r="AV44" s="132"/>
      <c r="AW44" s="128"/>
      <c r="AX44" s="129"/>
      <c r="AY44" s="129"/>
      <c r="AZ44" s="129"/>
      <c r="BA44" s="129"/>
      <c r="BB44" s="129"/>
      <c r="BC44" s="129"/>
      <c r="BD44" s="129"/>
      <c r="BE44" s="129"/>
      <c r="BF44" s="138"/>
      <c r="BG44" s="99"/>
      <c r="BH44" s="100"/>
      <c r="BI44" s="100"/>
      <c r="BJ44" s="100"/>
      <c r="BK44" s="100"/>
      <c r="BL44" s="100"/>
      <c r="BM44" s="100"/>
      <c r="BN44" s="100"/>
      <c r="BO44" s="100"/>
      <c r="BP44" s="101"/>
      <c r="BQ44" s="119"/>
      <c r="BR44" s="118"/>
      <c r="BS44" s="118"/>
      <c r="BT44" s="118"/>
      <c r="BU44" s="118"/>
      <c r="BV44" s="118"/>
      <c r="BW44" s="118"/>
      <c r="BX44" s="118"/>
      <c r="BY44" s="118"/>
      <c r="BZ44" s="120"/>
      <c r="CA44" s="537"/>
      <c r="CB44" s="538"/>
      <c r="CC44" s="538"/>
      <c r="CD44" s="538"/>
      <c r="CE44" s="538"/>
      <c r="CF44" s="538"/>
      <c r="CG44" s="538"/>
      <c r="CH44" s="538"/>
      <c r="CI44" s="538"/>
      <c r="CJ44" s="539"/>
      <c r="CK44" s="110"/>
      <c r="CL44" s="109"/>
      <c r="CM44" s="109"/>
      <c r="CN44" s="109"/>
      <c r="CO44" s="109"/>
      <c r="CP44" s="109"/>
      <c r="CQ44" s="109"/>
      <c r="CR44" s="109"/>
      <c r="CS44" s="109"/>
      <c r="CT44" s="111"/>
      <c r="CU44" s="128"/>
      <c r="CV44" s="129"/>
      <c r="CW44" s="129"/>
      <c r="CX44" s="129"/>
      <c r="CY44" s="129"/>
      <c r="CZ44" s="129"/>
      <c r="DA44" s="129"/>
      <c r="DB44" s="129"/>
      <c r="DC44" s="129"/>
      <c r="DD44" s="138"/>
      <c r="DE44" s="156"/>
      <c r="DF44" s="157"/>
      <c r="DG44" s="157"/>
      <c r="DH44" s="157"/>
      <c r="DI44" s="157"/>
      <c r="DJ44" s="157"/>
      <c r="DK44" s="157"/>
      <c r="DL44" s="157"/>
      <c r="DM44" s="157"/>
      <c r="DN44" s="158"/>
      <c r="DO44" s="119"/>
      <c r="DP44" s="118"/>
      <c r="DQ44" s="118"/>
      <c r="DR44" s="118"/>
      <c r="DS44" s="118"/>
      <c r="DT44" s="118"/>
      <c r="DU44" s="118"/>
      <c r="DV44" s="118"/>
      <c r="DW44" s="118"/>
      <c r="DX44" s="120"/>
      <c r="DY44" s="90"/>
      <c r="DZ44" s="91"/>
      <c r="EA44" s="91"/>
      <c r="EB44" s="91"/>
      <c r="EC44" s="91"/>
      <c r="ED44" s="91"/>
      <c r="EE44" s="91"/>
      <c r="EF44" s="91"/>
      <c r="EG44" s="91"/>
      <c r="EH44" s="92"/>
      <c r="EI44" s="110"/>
      <c r="EJ44" s="109"/>
      <c r="EK44" s="109"/>
      <c r="EL44" s="109"/>
      <c r="EM44" s="109"/>
      <c r="EN44" s="109"/>
      <c r="EO44" s="109"/>
      <c r="EP44" s="109"/>
      <c r="EQ44" s="109"/>
      <c r="ER44" s="132"/>
      <c r="ES44" s="176">
        <f t="shared" si="1"/>
        <v>0</v>
      </c>
      <c r="ET44" s="176">
        <f t="shared" ref="ET44:FD44" si="27">SUM(J44:S44)</f>
        <v>0</v>
      </c>
      <c r="EU44" s="176">
        <f t="shared" si="27"/>
        <v>0</v>
      </c>
      <c r="EV44" s="176">
        <f t="shared" si="27"/>
        <v>0</v>
      </c>
      <c r="EW44" s="175">
        <f t="shared" si="20"/>
        <v>0</v>
      </c>
      <c r="EX44" s="175">
        <f t="shared" si="27"/>
        <v>0</v>
      </c>
      <c r="EY44" s="175">
        <f t="shared" si="27"/>
        <v>0</v>
      </c>
      <c r="EZ44" s="176">
        <f t="shared" si="27"/>
        <v>0</v>
      </c>
      <c r="FA44" s="175">
        <f t="shared" si="27"/>
        <v>0</v>
      </c>
      <c r="FB44" s="175">
        <f t="shared" si="27"/>
        <v>0</v>
      </c>
      <c r="FC44" s="175">
        <f t="shared" si="27"/>
        <v>0</v>
      </c>
      <c r="FD44" s="175">
        <f t="shared" si="27"/>
        <v>0</v>
      </c>
      <c r="FE44" s="175">
        <f t="shared" si="11"/>
        <v>0</v>
      </c>
      <c r="FF44" s="175">
        <f t="shared" si="12"/>
        <v>0</v>
      </c>
      <c r="FG44" s="37">
        <f t="shared" si="17"/>
        <v>42</v>
      </c>
      <c r="FH44" s="165">
        <f t="shared" si="13"/>
        <v>0</v>
      </c>
      <c r="FI44" s="165">
        <f>SUM(I7:ER7)-SUM(ES44:FF44)</f>
        <v>128</v>
      </c>
      <c r="FJ44" s="165">
        <f t="shared" si="16"/>
        <v>128</v>
      </c>
      <c r="FK44" s="7"/>
    </row>
    <row r="45" spans="1:167" ht="15.75" customHeight="1">
      <c r="A45" s="2"/>
      <c r="B45" s="3">
        <f t="shared" si="0"/>
        <v>0</v>
      </c>
      <c r="C45" s="182">
        <f t="shared" si="18"/>
        <v>38</v>
      </c>
      <c r="D45" s="184"/>
      <c r="E45" s="178"/>
      <c r="F45" s="178"/>
      <c r="G45" s="628">
        <v>45915</v>
      </c>
      <c r="H45" s="629"/>
      <c r="I45" s="99"/>
      <c r="J45" s="100"/>
      <c r="K45" s="100"/>
      <c r="L45" s="100"/>
      <c r="M45" s="100"/>
      <c r="N45" s="100"/>
      <c r="O45" s="100"/>
      <c r="P45" s="100"/>
      <c r="Q45" s="100"/>
      <c r="R45" s="101"/>
      <c r="S45" s="119"/>
      <c r="T45" s="118"/>
      <c r="U45" s="118"/>
      <c r="V45" s="118"/>
      <c r="W45" s="118"/>
      <c r="X45" s="118"/>
      <c r="Y45" s="118"/>
      <c r="Z45" s="118"/>
      <c r="AA45" s="118"/>
      <c r="AB45" s="120"/>
      <c r="AC45" s="90"/>
      <c r="AD45" s="91"/>
      <c r="AE45" s="91"/>
      <c r="AF45" s="91"/>
      <c r="AG45" s="592"/>
      <c r="AH45" s="593"/>
      <c r="AI45" s="91"/>
      <c r="AJ45" s="91"/>
      <c r="AK45" s="91"/>
      <c r="AL45" s="123"/>
      <c r="AM45" s="110"/>
      <c r="AN45" s="109"/>
      <c r="AO45" s="109"/>
      <c r="AP45" s="109"/>
      <c r="AQ45" s="109"/>
      <c r="AR45" s="109"/>
      <c r="AS45" s="109"/>
      <c r="AT45" s="109"/>
      <c r="AU45" s="109"/>
      <c r="AV45" s="132"/>
      <c r="AW45" s="128"/>
      <c r="AX45" s="129"/>
      <c r="AY45" s="129"/>
      <c r="AZ45" s="129"/>
      <c r="BA45" s="129"/>
      <c r="BB45" s="129"/>
      <c r="BC45" s="129"/>
      <c r="BD45" s="129"/>
      <c r="BE45" s="129"/>
      <c r="BF45" s="138"/>
      <c r="BG45" s="99"/>
      <c r="BH45" s="100"/>
      <c r="BI45" s="100"/>
      <c r="BJ45" s="100"/>
      <c r="BK45" s="100"/>
      <c r="BL45" s="100"/>
      <c r="BM45" s="100"/>
      <c r="BN45" s="100"/>
      <c r="BO45" s="100"/>
      <c r="BP45" s="101"/>
      <c r="BQ45" s="119"/>
      <c r="BR45" s="118"/>
      <c r="BS45" s="118"/>
      <c r="BT45" s="118"/>
      <c r="BU45" s="118"/>
      <c r="BV45" s="118"/>
      <c r="BW45" s="118"/>
      <c r="BX45" s="118"/>
      <c r="BY45" s="118"/>
      <c r="BZ45" s="120"/>
      <c r="CA45" s="537"/>
      <c r="CB45" s="538"/>
      <c r="CC45" s="538"/>
      <c r="CD45" s="538"/>
      <c r="CE45" s="538"/>
      <c r="CF45" s="538"/>
      <c r="CG45" s="538"/>
      <c r="CH45" s="538"/>
      <c r="CI45" s="538"/>
      <c r="CJ45" s="539"/>
      <c r="CK45" s="110"/>
      <c r="CL45" s="109"/>
      <c r="CM45" s="109"/>
      <c r="CN45" s="109"/>
      <c r="CO45" s="109"/>
      <c r="CP45" s="109"/>
      <c r="CQ45" s="109"/>
      <c r="CR45" s="109"/>
      <c r="CS45" s="109"/>
      <c r="CT45" s="111"/>
      <c r="CU45" s="128"/>
      <c r="CV45" s="129"/>
      <c r="CW45" s="129"/>
      <c r="CX45" s="129"/>
      <c r="CY45" s="129"/>
      <c r="CZ45" s="129"/>
      <c r="DA45" s="129"/>
      <c r="DB45" s="129"/>
      <c r="DC45" s="129"/>
      <c r="DD45" s="138"/>
      <c r="DE45" s="156"/>
      <c r="DF45" s="157"/>
      <c r="DG45" s="157"/>
      <c r="DH45" s="157"/>
      <c r="DI45" s="157"/>
      <c r="DJ45" s="157"/>
      <c r="DK45" s="157"/>
      <c r="DL45" s="157"/>
      <c r="DM45" s="157"/>
      <c r="DN45" s="158"/>
      <c r="DO45" s="119"/>
      <c r="DP45" s="118"/>
      <c r="DQ45" s="118"/>
      <c r="DR45" s="118"/>
      <c r="DS45" s="118"/>
      <c r="DT45" s="118"/>
      <c r="DU45" s="118"/>
      <c r="DV45" s="118"/>
      <c r="DW45" s="118"/>
      <c r="DX45" s="120"/>
      <c r="DY45" s="90"/>
      <c r="DZ45" s="91"/>
      <c r="EA45" s="91"/>
      <c r="EB45" s="91"/>
      <c r="EC45" s="91"/>
      <c r="ED45" s="91"/>
      <c r="EE45" s="91"/>
      <c r="EF45" s="91"/>
      <c r="EG45" s="91"/>
      <c r="EH45" s="92"/>
      <c r="EI45" s="110"/>
      <c r="EJ45" s="109"/>
      <c r="EK45" s="109"/>
      <c r="EL45" s="109"/>
      <c r="EM45" s="109"/>
      <c r="EN45" s="109"/>
      <c r="EO45" s="109"/>
      <c r="EP45" s="109"/>
      <c r="EQ45" s="109"/>
      <c r="ER45" s="132"/>
      <c r="ES45" s="176">
        <f t="shared" si="1"/>
        <v>0</v>
      </c>
      <c r="ET45" s="176">
        <f t="shared" ref="ET45:FD45" si="28">SUM(J45:S45)</f>
        <v>0</v>
      </c>
      <c r="EU45" s="176">
        <f t="shared" si="28"/>
        <v>0</v>
      </c>
      <c r="EV45" s="176">
        <f t="shared" si="28"/>
        <v>0</v>
      </c>
      <c r="EW45" s="175">
        <f t="shared" si="20"/>
        <v>0</v>
      </c>
      <c r="EX45" s="175">
        <f t="shared" si="28"/>
        <v>0</v>
      </c>
      <c r="EY45" s="175">
        <f t="shared" si="28"/>
        <v>0</v>
      </c>
      <c r="EZ45" s="176">
        <f t="shared" si="28"/>
        <v>0</v>
      </c>
      <c r="FA45" s="175">
        <f t="shared" si="28"/>
        <v>0</v>
      </c>
      <c r="FB45" s="175">
        <f t="shared" si="28"/>
        <v>0</v>
      </c>
      <c r="FC45" s="175">
        <f t="shared" si="28"/>
        <v>0</v>
      </c>
      <c r="FD45" s="175">
        <f t="shared" si="28"/>
        <v>0</v>
      </c>
      <c r="FE45" s="175">
        <f t="shared" si="11"/>
        <v>0</v>
      </c>
      <c r="FF45" s="175">
        <f t="shared" si="12"/>
        <v>0</v>
      </c>
      <c r="FG45" s="37">
        <f t="shared" si="17"/>
        <v>43</v>
      </c>
      <c r="FH45" s="165">
        <f t="shared" si="13"/>
        <v>0</v>
      </c>
      <c r="FI45" s="165">
        <f>SUM(I7:ER7)-SUM(ES45:FF45)</f>
        <v>128</v>
      </c>
      <c r="FJ45" s="165">
        <f t="shared" si="16"/>
        <v>128</v>
      </c>
      <c r="FK45" s="7"/>
    </row>
    <row r="46" spans="1:167" ht="15.75" customHeight="1">
      <c r="A46" s="2"/>
      <c r="B46" s="3">
        <f t="shared" si="0"/>
        <v>0</v>
      </c>
      <c r="C46" s="182">
        <f t="shared" si="18"/>
        <v>39</v>
      </c>
      <c r="D46" s="184"/>
      <c r="E46" s="178"/>
      <c r="F46" s="178"/>
      <c r="G46" s="628">
        <v>45915</v>
      </c>
      <c r="H46" s="629"/>
      <c r="I46" s="99"/>
      <c r="J46" s="100"/>
      <c r="K46" s="100"/>
      <c r="L46" s="100"/>
      <c r="M46" s="100"/>
      <c r="N46" s="100"/>
      <c r="O46" s="100"/>
      <c r="P46" s="100"/>
      <c r="Q46" s="100"/>
      <c r="R46" s="101"/>
      <c r="S46" s="119"/>
      <c r="T46" s="118"/>
      <c r="U46" s="118"/>
      <c r="V46" s="118"/>
      <c r="W46" s="118"/>
      <c r="X46" s="118"/>
      <c r="Y46" s="118"/>
      <c r="Z46" s="118"/>
      <c r="AA46" s="118"/>
      <c r="AB46" s="120"/>
      <c r="AC46" s="90"/>
      <c r="AD46" s="91"/>
      <c r="AE46" s="91"/>
      <c r="AF46" s="91"/>
      <c r="AG46" s="592"/>
      <c r="AH46" s="593"/>
      <c r="AI46" s="91"/>
      <c r="AJ46" s="91"/>
      <c r="AK46" s="91"/>
      <c r="AL46" s="123"/>
      <c r="AM46" s="110"/>
      <c r="AN46" s="109"/>
      <c r="AO46" s="109"/>
      <c r="AP46" s="109"/>
      <c r="AQ46" s="109"/>
      <c r="AR46" s="109"/>
      <c r="AS46" s="109"/>
      <c r="AT46" s="109"/>
      <c r="AU46" s="109"/>
      <c r="AV46" s="132"/>
      <c r="AW46" s="128"/>
      <c r="AX46" s="129"/>
      <c r="AY46" s="129"/>
      <c r="AZ46" s="129"/>
      <c r="BA46" s="129"/>
      <c r="BB46" s="129"/>
      <c r="BC46" s="129"/>
      <c r="BD46" s="129"/>
      <c r="BE46" s="129"/>
      <c r="BF46" s="138"/>
      <c r="BG46" s="99"/>
      <c r="BH46" s="100"/>
      <c r="BI46" s="100"/>
      <c r="BJ46" s="100"/>
      <c r="BK46" s="100"/>
      <c r="BL46" s="100"/>
      <c r="BM46" s="100"/>
      <c r="BN46" s="100"/>
      <c r="BO46" s="100"/>
      <c r="BP46" s="101"/>
      <c r="BQ46" s="119"/>
      <c r="BR46" s="118"/>
      <c r="BS46" s="118"/>
      <c r="BT46" s="118"/>
      <c r="BU46" s="118"/>
      <c r="BV46" s="118"/>
      <c r="BW46" s="118"/>
      <c r="BX46" s="118"/>
      <c r="BY46" s="118"/>
      <c r="BZ46" s="120"/>
      <c r="CA46" s="537"/>
      <c r="CB46" s="538"/>
      <c r="CC46" s="538"/>
      <c r="CD46" s="538"/>
      <c r="CE46" s="538"/>
      <c r="CF46" s="538"/>
      <c r="CG46" s="538"/>
      <c r="CH46" s="538"/>
      <c r="CI46" s="538"/>
      <c r="CJ46" s="539"/>
      <c r="CK46" s="110"/>
      <c r="CL46" s="109"/>
      <c r="CM46" s="109"/>
      <c r="CN46" s="109"/>
      <c r="CO46" s="109"/>
      <c r="CP46" s="109"/>
      <c r="CQ46" s="109"/>
      <c r="CR46" s="109"/>
      <c r="CS46" s="109"/>
      <c r="CT46" s="111"/>
      <c r="CU46" s="128"/>
      <c r="CV46" s="129"/>
      <c r="CW46" s="129"/>
      <c r="CX46" s="129"/>
      <c r="CY46" s="129"/>
      <c r="CZ46" s="129"/>
      <c r="DA46" s="129"/>
      <c r="DB46" s="129"/>
      <c r="DC46" s="129"/>
      <c r="DD46" s="138"/>
      <c r="DE46" s="156"/>
      <c r="DF46" s="157"/>
      <c r="DG46" s="157"/>
      <c r="DH46" s="157"/>
      <c r="DI46" s="157"/>
      <c r="DJ46" s="157"/>
      <c r="DK46" s="157"/>
      <c r="DL46" s="157"/>
      <c r="DM46" s="157"/>
      <c r="DN46" s="158"/>
      <c r="DO46" s="119"/>
      <c r="DP46" s="118"/>
      <c r="DQ46" s="118"/>
      <c r="DR46" s="118"/>
      <c r="DS46" s="118"/>
      <c r="DT46" s="118"/>
      <c r="DU46" s="118"/>
      <c r="DV46" s="118"/>
      <c r="DW46" s="118"/>
      <c r="DX46" s="120"/>
      <c r="DY46" s="90"/>
      <c r="DZ46" s="91"/>
      <c r="EA46" s="91"/>
      <c r="EB46" s="91"/>
      <c r="EC46" s="91"/>
      <c r="ED46" s="91"/>
      <c r="EE46" s="91"/>
      <c r="EF46" s="91"/>
      <c r="EG46" s="91"/>
      <c r="EH46" s="92"/>
      <c r="EI46" s="110"/>
      <c r="EJ46" s="109"/>
      <c r="EK46" s="109"/>
      <c r="EL46" s="109"/>
      <c r="EM46" s="109"/>
      <c r="EN46" s="109"/>
      <c r="EO46" s="109"/>
      <c r="EP46" s="109"/>
      <c r="EQ46" s="109"/>
      <c r="ER46" s="132"/>
      <c r="ES46" s="176">
        <f t="shared" si="1"/>
        <v>0</v>
      </c>
      <c r="ET46" s="176">
        <f t="shared" ref="ET46:FD46" si="29">SUM(J46:S46)</f>
        <v>0</v>
      </c>
      <c r="EU46" s="176">
        <f t="shared" si="29"/>
        <v>0</v>
      </c>
      <c r="EV46" s="176">
        <f t="shared" si="29"/>
        <v>0</v>
      </c>
      <c r="EW46" s="175">
        <f t="shared" si="20"/>
        <v>0</v>
      </c>
      <c r="EX46" s="175">
        <f t="shared" si="29"/>
        <v>0</v>
      </c>
      <c r="EY46" s="175">
        <f t="shared" si="29"/>
        <v>0</v>
      </c>
      <c r="EZ46" s="176">
        <f t="shared" si="29"/>
        <v>0</v>
      </c>
      <c r="FA46" s="175">
        <f t="shared" si="29"/>
        <v>0</v>
      </c>
      <c r="FB46" s="175">
        <f t="shared" si="29"/>
        <v>0</v>
      </c>
      <c r="FC46" s="175">
        <f t="shared" si="29"/>
        <v>0</v>
      </c>
      <c r="FD46" s="175">
        <f t="shared" si="29"/>
        <v>0</v>
      </c>
      <c r="FE46" s="175">
        <f t="shared" si="11"/>
        <v>0</v>
      </c>
      <c r="FF46" s="175">
        <f t="shared" si="12"/>
        <v>0</v>
      </c>
      <c r="FG46" s="37">
        <f t="shared" si="17"/>
        <v>44</v>
      </c>
      <c r="FH46" s="165">
        <f t="shared" si="13"/>
        <v>0</v>
      </c>
      <c r="FI46" s="165">
        <f>SUM(I7:ER7)-SUM(ES46:FF46)</f>
        <v>128</v>
      </c>
      <c r="FJ46" s="165">
        <f t="shared" si="16"/>
        <v>128</v>
      </c>
      <c r="FK46" s="7"/>
    </row>
    <row r="47" spans="1:167" ht="15.75" customHeight="1">
      <c r="A47" s="2"/>
      <c r="B47" s="3">
        <f t="shared" si="0"/>
        <v>0</v>
      </c>
      <c r="C47" s="182">
        <f t="shared" si="18"/>
        <v>40</v>
      </c>
      <c r="D47" s="184"/>
      <c r="E47" s="178"/>
      <c r="F47" s="178"/>
      <c r="G47" s="628">
        <v>45915</v>
      </c>
      <c r="H47" s="629"/>
      <c r="I47" s="99"/>
      <c r="J47" s="100"/>
      <c r="K47" s="100"/>
      <c r="L47" s="100"/>
      <c r="M47" s="100"/>
      <c r="N47" s="100"/>
      <c r="O47" s="100"/>
      <c r="P47" s="100"/>
      <c r="Q47" s="100"/>
      <c r="R47" s="101"/>
      <c r="S47" s="119"/>
      <c r="T47" s="118"/>
      <c r="U47" s="118"/>
      <c r="V47" s="118"/>
      <c r="W47" s="118"/>
      <c r="X47" s="118"/>
      <c r="Y47" s="118"/>
      <c r="Z47" s="118"/>
      <c r="AA47" s="118"/>
      <c r="AB47" s="120"/>
      <c r="AC47" s="90"/>
      <c r="AD47" s="91"/>
      <c r="AE47" s="91"/>
      <c r="AF47" s="91"/>
      <c r="AG47" s="592"/>
      <c r="AH47" s="593"/>
      <c r="AI47" s="91"/>
      <c r="AJ47" s="91"/>
      <c r="AK47" s="91"/>
      <c r="AL47" s="123"/>
      <c r="AM47" s="110"/>
      <c r="AN47" s="109"/>
      <c r="AO47" s="109"/>
      <c r="AP47" s="109"/>
      <c r="AQ47" s="109"/>
      <c r="AR47" s="109"/>
      <c r="AS47" s="109"/>
      <c r="AT47" s="109"/>
      <c r="AU47" s="109"/>
      <c r="AV47" s="132"/>
      <c r="AW47" s="128"/>
      <c r="AX47" s="129"/>
      <c r="AY47" s="129"/>
      <c r="AZ47" s="129"/>
      <c r="BA47" s="129"/>
      <c r="BB47" s="129"/>
      <c r="BC47" s="129"/>
      <c r="BD47" s="129"/>
      <c r="BE47" s="129"/>
      <c r="BF47" s="138"/>
      <c r="BG47" s="99"/>
      <c r="BH47" s="100"/>
      <c r="BI47" s="100"/>
      <c r="BJ47" s="100"/>
      <c r="BK47" s="100"/>
      <c r="BL47" s="100"/>
      <c r="BM47" s="100"/>
      <c r="BN47" s="100"/>
      <c r="BO47" s="100"/>
      <c r="BP47" s="101"/>
      <c r="BQ47" s="119"/>
      <c r="BR47" s="118"/>
      <c r="BS47" s="118"/>
      <c r="BT47" s="118"/>
      <c r="BU47" s="118"/>
      <c r="BV47" s="118"/>
      <c r="BW47" s="118"/>
      <c r="BX47" s="118"/>
      <c r="BY47" s="118"/>
      <c r="BZ47" s="120"/>
      <c r="CA47" s="537"/>
      <c r="CB47" s="538"/>
      <c r="CC47" s="538"/>
      <c r="CD47" s="538"/>
      <c r="CE47" s="538"/>
      <c r="CF47" s="538"/>
      <c r="CG47" s="538"/>
      <c r="CH47" s="538"/>
      <c r="CI47" s="538"/>
      <c r="CJ47" s="539"/>
      <c r="CK47" s="110"/>
      <c r="CL47" s="109"/>
      <c r="CM47" s="109"/>
      <c r="CN47" s="109"/>
      <c r="CO47" s="109"/>
      <c r="CP47" s="109"/>
      <c r="CQ47" s="109"/>
      <c r="CR47" s="109"/>
      <c r="CS47" s="109"/>
      <c r="CT47" s="111"/>
      <c r="CU47" s="128"/>
      <c r="CV47" s="129"/>
      <c r="CW47" s="129"/>
      <c r="CX47" s="129"/>
      <c r="CY47" s="129"/>
      <c r="CZ47" s="129"/>
      <c r="DA47" s="129"/>
      <c r="DB47" s="129"/>
      <c r="DC47" s="129"/>
      <c r="DD47" s="138"/>
      <c r="DE47" s="156"/>
      <c r="DF47" s="157"/>
      <c r="DG47" s="157"/>
      <c r="DH47" s="157"/>
      <c r="DI47" s="157"/>
      <c r="DJ47" s="157"/>
      <c r="DK47" s="157"/>
      <c r="DL47" s="157"/>
      <c r="DM47" s="157"/>
      <c r="DN47" s="158"/>
      <c r="DO47" s="119"/>
      <c r="DP47" s="118"/>
      <c r="DQ47" s="118"/>
      <c r="DR47" s="118"/>
      <c r="DS47" s="118"/>
      <c r="DT47" s="118"/>
      <c r="DU47" s="118"/>
      <c r="DV47" s="118"/>
      <c r="DW47" s="118"/>
      <c r="DX47" s="120"/>
      <c r="DY47" s="90"/>
      <c r="DZ47" s="91"/>
      <c r="EA47" s="91"/>
      <c r="EB47" s="91"/>
      <c r="EC47" s="91"/>
      <c r="ED47" s="91"/>
      <c r="EE47" s="91"/>
      <c r="EF47" s="91"/>
      <c r="EG47" s="91"/>
      <c r="EH47" s="92"/>
      <c r="EI47" s="110"/>
      <c r="EJ47" s="109"/>
      <c r="EK47" s="109"/>
      <c r="EL47" s="109"/>
      <c r="EM47" s="109"/>
      <c r="EN47" s="109"/>
      <c r="EO47" s="109"/>
      <c r="EP47" s="109"/>
      <c r="EQ47" s="109"/>
      <c r="ER47" s="132"/>
      <c r="ES47" s="176">
        <f t="shared" si="1"/>
        <v>0</v>
      </c>
      <c r="ET47" s="176">
        <f t="shared" ref="ET47:FD47" si="30">SUM(J47:S47)</f>
        <v>0</v>
      </c>
      <c r="EU47" s="176">
        <f t="shared" si="30"/>
        <v>0</v>
      </c>
      <c r="EV47" s="176">
        <f t="shared" si="30"/>
        <v>0</v>
      </c>
      <c r="EW47" s="175">
        <f t="shared" si="20"/>
        <v>0</v>
      </c>
      <c r="EX47" s="175">
        <f t="shared" si="30"/>
        <v>0</v>
      </c>
      <c r="EY47" s="175">
        <f t="shared" si="30"/>
        <v>0</v>
      </c>
      <c r="EZ47" s="176">
        <f t="shared" si="30"/>
        <v>0</v>
      </c>
      <c r="FA47" s="175">
        <f t="shared" si="30"/>
        <v>0</v>
      </c>
      <c r="FB47" s="175">
        <f t="shared" si="30"/>
        <v>0</v>
      </c>
      <c r="FC47" s="175">
        <f t="shared" si="30"/>
        <v>0</v>
      </c>
      <c r="FD47" s="175">
        <f t="shared" si="30"/>
        <v>0</v>
      </c>
      <c r="FE47" s="175">
        <f t="shared" si="11"/>
        <v>0</v>
      </c>
      <c r="FF47" s="175">
        <f t="shared" si="12"/>
        <v>0</v>
      </c>
      <c r="FG47" s="37">
        <f t="shared" si="17"/>
        <v>45</v>
      </c>
      <c r="FH47" s="165">
        <f t="shared" si="13"/>
        <v>0</v>
      </c>
      <c r="FI47" s="165">
        <f>SUM(I7:ER7)-SUM(ES47:FF47)</f>
        <v>128</v>
      </c>
      <c r="FJ47" s="165">
        <f t="shared" si="16"/>
        <v>128</v>
      </c>
      <c r="FK47" s="7"/>
    </row>
    <row r="48" spans="1:167" ht="15.75" customHeight="1">
      <c r="A48" s="2"/>
      <c r="B48" s="3">
        <f t="shared" si="0"/>
        <v>0</v>
      </c>
      <c r="C48" s="182">
        <f t="shared" si="18"/>
        <v>41</v>
      </c>
      <c r="D48" s="184"/>
      <c r="E48" s="178"/>
      <c r="F48" s="178"/>
      <c r="G48" s="628">
        <v>45915</v>
      </c>
      <c r="H48" s="629"/>
      <c r="I48" s="99"/>
      <c r="J48" s="100"/>
      <c r="K48" s="100"/>
      <c r="L48" s="100"/>
      <c r="M48" s="100"/>
      <c r="N48" s="100"/>
      <c r="O48" s="100"/>
      <c r="P48" s="100"/>
      <c r="Q48" s="100"/>
      <c r="R48" s="101"/>
      <c r="S48" s="119"/>
      <c r="T48" s="118"/>
      <c r="U48" s="118"/>
      <c r="V48" s="118"/>
      <c r="W48" s="118"/>
      <c r="X48" s="118"/>
      <c r="Y48" s="118"/>
      <c r="Z48" s="118"/>
      <c r="AA48" s="118"/>
      <c r="AB48" s="120"/>
      <c r="AC48" s="90"/>
      <c r="AD48" s="91"/>
      <c r="AE48" s="91"/>
      <c r="AF48" s="91"/>
      <c r="AG48" s="592"/>
      <c r="AH48" s="593"/>
      <c r="AI48" s="91"/>
      <c r="AJ48" s="91"/>
      <c r="AK48" s="91"/>
      <c r="AL48" s="123"/>
      <c r="AM48" s="110"/>
      <c r="AN48" s="109"/>
      <c r="AO48" s="109"/>
      <c r="AP48" s="109"/>
      <c r="AQ48" s="109"/>
      <c r="AR48" s="109"/>
      <c r="AS48" s="109"/>
      <c r="AT48" s="109"/>
      <c r="AU48" s="109"/>
      <c r="AV48" s="132"/>
      <c r="AW48" s="128"/>
      <c r="AX48" s="129"/>
      <c r="AY48" s="129"/>
      <c r="AZ48" s="129"/>
      <c r="BA48" s="129"/>
      <c r="BB48" s="129"/>
      <c r="BC48" s="129"/>
      <c r="BD48" s="129"/>
      <c r="BE48" s="129"/>
      <c r="BF48" s="138"/>
      <c r="BG48" s="99"/>
      <c r="BH48" s="100"/>
      <c r="BI48" s="100"/>
      <c r="BJ48" s="100"/>
      <c r="BK48" s="100"/>
      <c r="BL48" s="100"/>
      <c r="BM48" s="100"/>
      <c r="BN48" s="100"/>
      <c r="BO48" s="100"/>
      <c r="BP48" s="101"/>
      <c r="BQ48" s="119"/>
      <c r="BR48" s="118"/>
      <c r="BS48" s="118"/>
      <c r="BT48" s="118"/>
      <c r="BU48" s="118"/>
      <c r="BV48" s="118"/>
      <c r="BW48" s="118"/>
      <c r="BX48" s="118"/>
      <c r="BY48" s="118"/>
      <c r="BZ48" s="120"/>
      <c r="CA48" s="537"/>
      <c r="CB48" s="538"/>
      <c r="CC48" s="538"/>
      <c r="CD48" s="538"/>
      <c r="CE48" s="538"/>
      <c r="CF48" s="538"/>
      <c r="CG48" s="538"/>
      <c r="CH48" s="538"/>
      <c r="CI48" s="538"/>
      <c r="CJ48" s="539"/>
      <c r="CK48" s="110"/>
      <c r="CL48" s="109"/>
      <c r="CM48" s="109"/>
      <c r="CN48" s="109"/>
      <c r="CO48" s="109"/>
      <c r="CP48" s="109"/>
      <c r="CQ48" s="109"/>
      <c r="CR48" s="109"/>
      <c r="CS48" s="109"/>
      <c r="CT48" s="111"/>
      <c r="CU48" s="128"/>
      <c r="CV48" s="129"/>
      <c r="CW48" s="129"/>
      <c r="CX48" s="129"/>
      <c r="CY48" s="129"/>
      <c r="CZ48" s="129"/>
      <c r="DA48" s="129"/>
      <c r="DB48" s="129"/>
      <c r="DC48" s="129"/>
      <c r="DD48" s="138"/>
      <c r="DE48" s="156"/>
      <c r="DF48" s="157"/>
      <c r="DG48" s="157"/>
      <c r="DH48" s="157"/>
      <c r="DI48" s="157"/>
      <c r="DJ48" s="157"/>
      <c r="DK48" s="157"/>
      <c r="DL48" s="157"/>
      <c r="DM48" s="157"/>
      <c r="DN48" s="158"/>
      <c r="DO48" s="119"/>
      <c r="DP48" s="118"/>
      <c r="DQ48" s="118"/>
      <c r="DR48" s="118"/>
      <c r="DS48" s="118"/>
      <c r="DT48" s="118"/>
      <c r="DU48" s="118"/>
      <c r="DV48" s="118"/>
      <c r="DW48" s="118"/>
      <c r="DX48" s="120"/>
      <c r="DY48" s="90"/>
      <c r="DZ48" s="91"/>
      <c r="EA48" s="91"/>
      <c r="EB48" s="91"/>
      <c r="EC48" s="91"/>
      <c r="ED48" s="91"/>
      <c r="EE48" s="91"/>
      <c r="EF48" s="91"/>
      <c r="EG48" s="91"/>
      <c r="EH48" s="92"/>
      <c r="EI48" s="110"/>
      <c r="EJ48" s="109"/>
      <c r="EK48" s="109"/>
      <c r="EL48" s="109"/>
      <c r="EM48" s="109"/>
      <c r="EN48" s="109"/>
      <c r="EO48" s="109"/>
      <c r="EP48" s="109"/>
      <c r="EQ48" s="109"/>
      <c r="ER48" s="132"/>
      <c r="ES48" s="176">
        <f t="shared" si="1"/>
        <v>0</v>
      </c>
      <c r="ET48" s="176">
        <f t="shared" ref="ET48:FD48" si="31">SUM(J48:S48)</f>
        <v>0</v>
      </c>
      <c r="EU48" s="176">
        <f t="shared" si="31"/>
        <v>0</v>
      </c>
      <c r="EV48" s="176">
        <f t="shared" si="31"/>
        <v>0</v>
      </c>
      <c r="EW48" s="175">
        <f t="shared" si="20"/>
        <v>0</v>
      </c>
      <c r="EX48" s="175">
        <f t="shared" si="31"/>
        <v>0</v>
      </c>
      <c r="EY48" s="175">
        <f t="shared" si="31"/>
        <v>0</v>
      </c>
      <c r="EZ48" s="176">
        <f t="shared" si="31"/>
        <v>0</v>
      </c>
      <c r="FA48" s="175">
        <f t="shared" si="31"/>
        <v>0</v>
      </c>
      <c r="FB48" s="175">
        <f t="shared" si="31"/>
        <v>0</v>
      </c>
      <c r="FC48" s="175">
        <f t="shared" si="31"/>
        <v>0</v>
      </c>
      <c r="FD48" s="175">
        <f t="shared" si="31"/>
        <v>0</v>
      </c>
      <c r="FE48" s="175">
        <f t="shared" si="11"/>
        <v>0</v>
      </c>
      <c r="FF48" s="175">
        <f t="shared" si="12"/>
        <v>0</v>
      </c>
      <c r="FG48" s="37">
        <f t="shared" si="17"/>
        <v>46</v>
      </c>
      <c r="FH48" s="165">
        <f t="shared" si="13"/>
        <v>0</v>
      </c>
      <c r="FI48" s="165">
        <f>SUM(I7:ER7)-SUM(ES48:FF48)</f>
        <v>128</v>
      </c>
      <c r="FJ48" s="165">
        <f t="shared" si="16"/>
        <v>128</v>
      </c>
      <c r="FK48" s="7"/>
    </row>
    <row r="49" spans="1:167" ht="15.75" customHeight="1">
      <c r="A49" s="2"/>
      <c r="B49" s="3">
        <f t="shared" si="0"/>
        <v>0</v>
      </c>
      <c r="C49" s="182">
        <f t="shared" si="18"/>
        <v>42</v>
      </c>
      <c r="D49" s="184"/>
      <c r="E49" s="178"/>
      <c r="F49" s="178"/>
      <c r="G49" s="628">
        <v>45915</v>
      </c>
      <c r="H49" s="629"/>
      <c r="I49" s="99"/>
      <c r="J49" s="100"/>
      <c r="K49" s="100"/>
      <c r="L49" s="100"/>
      <c r="M49" s="100"/>
      <c r="N49" s="100"/>
      <c r="O49" s="100"/>
      <c r="P49" s="100"/>
      <c r="Q49" s="100"/>
      <c r="R49" s="101"/>
      <c r="S49" s="119"/>
      <c r="T49" s="118"/>
      <c r="U49" s="118"/>
      <c r="V49" s="118"/>
      <c r="W49" s="118"/>
      <c r="X49" s="118"/>
      <c r="Y49" s="118"/>
      <c r="Z49" s="118"/>
      <c r="AA49" s="118"/>
      <c r="AB49" s="120"/>
      <c r="AC49" s="90"/>
      <c r="AD49" s="91"/>
      <c r="AE49" s="91"/>
      <c r="AF49" s="91"/>
      <c r="AG49" s="592"/>
      <c r="AH49" s="593"/>
      <c r="AI49" s="91"/>
      <c r="AJ49" s="91"/>
      <c r="AK49" s="91"/>
      <c r="AL49" s="123"/>
      <c r="AM49" s="110"/>
      <c r="AN49" s="109"/>
      <c r="AO49" s="109"/>
      <c r="AP49" s="109"/>
      <c r="AQ49" s="109"/>
      <c r="AR49" s="109"/>
      <c r="AS49" s="109"/>
      <c r="AT49" s="109"/>
      <c r="AU49" s="109"/>
      <c r="AV49" s="132"/>
      <c r="AW49" s="128"/>
      <c r="AX49" s="129"/>
      <c r="AY49" s="129"/>
      <c r="AZ49" s="129"/>
      <c r="BA49" s="129"/>
      <c r="BB49" s="129"/>
      <c r="BC49" s="129"/>
      <c r="BD49" s="129"/>
      <c r="BE49" s="129"/>
      <c r="BF49" s="138"/>
      <c r="BG49" s="99"/>
      <c r="BH49" s="100"/>
      <c r="BI49" s="100"/>
      <c r="BJ49" s="100"/>
      <c r="BK49" s="100"/>
      <c r="BL49" s="100"/>
      <c r="BM49" s="100"/>
      <c r="BN49" s="100"/>
      <c r="BO49" s="100"/>
      <c r="BP49" s="101"/>
      <c r="BQ49" s="119"/>
      <c r="BR49" s="118"/>
      <c r="BS49" s="118"/>
      <c r="BT49" s="118"/>
      <c r="BU49" s="118"/>
      <c r="BV49" s="118"/>
      <c r="BW49" s="118"/>
      <c r="BX49" s="118"/>
      <c r="BY49" s="118"/>
      <c r="BZ49" s="120"/>
      <c r="CA49" s="537"/>
      <c r="CB49" s="538"/>
      <c r="CC49" s="538"/>
      <c r="CD49" s="538"/>
      <c r="CE49" s="538"/>
      <c r="CF49" s="538"/>
      <c r="CG49" s="538"/>
      <c r="CH49" s="538"/>
      <c r="CI49" s="538"/>
      <c r="CJ49" s="539"/>
      <c r="CK49" s="110"/>
      <c r="CL49" s="109"/>
      <c r="CM49" s="109"/>
      <c r="CN49" s="109"/>
      <c r="CO49" s="109"/>
      <c r="CP49" s="109"/>
      <c r="CQ49" s="109"/>
      <c r="CR49" s="109"/>
      <c r="CS49" s="109"/>
      <c r="CT49" s="111"/>
      <c r="CU49" s="128"/>
      <c r="CV49" s="129"/>
      <c r="CW49" s="129"/>
      <c r="CX49" s="129"/>
      <c r="CY49" s="129"/>
      <c r="CZ49" s="129"/>
      <c r="DA49" s="129"/>
      <c r="DB49" s="129"/>
      <c r="DC49" s="129"/>
      <c r="DD49" s="138"/>
      <c r="DE49" s="156"/>
      <c r="DF49" s="157"/>
      <c r="DG49" s="157"/>
      <c r="DH49" s="157"/>
      <c r="DI49" s="157"/>
      <c r="DJ49" s="157"/>
      <c r="DK49" s="157"/>
      <c r="DL49" s="157"/>
      <c r="DM49" s="157"/>
      <c r="DN49" s="158"/>
      <c r="DO49" s="119"/>
      <c r="DP49" s="118"/>
      <c r="DQ49" s="118"/>
      <c r="DR49" s="118"/>
      <c r="DS49" s="118"/>
      <c r="DT49" s="118"/>
      <c r="DU49" s="118"/>
      <c r="DV49" s="118"/>
      <c r="DW49" s="118"/>
      <c r="DX49" s="120"/>
      <c r="DY49" s="90"/>
      <c r="DZ49" s="91"/>
      <c r="EA49" s="91"/>
      <c r="EB49" s="91"/>
      <c r="EC49" s="91"/>
      <c r="ED49" s="91"/>
      <c r="EE49" s="91"/>
      <c r="EF49" s="91"/>
      <c r="EG49" s="91"/>
      <c r="EH49" s="92"/>
      <c r="EI49" s="110"/>
      <c r="EJ49" s="109"/>
      <c r="EK49" s="109"/>
      <c r="EL49" s="109"/>
      <c r="EM49" s="109"/>
      <c r="EN49" s="109"/>
      <c r="EO49" s="109"/>
      <c r="EP49" s="109"/>
      <c r="EQ49" s="109"/>
      <c r="ER49" s="132"/>
      <c r="ES49" s="176">
        <f t="shared" si="1"/>
        <v>0</v>
      </c>
      <c r="ET49" s="176">
        <f t="shared" ref="ET49:FD49" si="32">SUM(J49:S49)</f>
        <v>0</v>
      </c>
      <c r="EU49" s="176">
        <f t="shared" si="32"/>
        <v>0</v>
      </c>
      <c r="EV49" s="176">
        <f t="shared" si="32"/>
        <v>0</v>
      </c>
      <c r="EW49" s="175">
        <f t="shared" si="20"/>
        <v>0</v>
      </c>
      <c r="EX49" s="175">
        <f t="shared" si="32"/>
        <v>0</v>
      </c>
      <c r="EY49" s="175">
        <f t="shared" si="32"/>
        <v>0</v>
      </c>
      <c r="EZ49" s="176">
        <f t="shared" si="32"/>
        <v>0</v>
      </c>
      <c r="FA49" s="175">
        <f t="shared" si="32"/>
        <v>0</v>
      </c>
      <c r="FB49" s="175">
        <f t="shared" si="32"/>
        <v>0</v>
      </c>
      <c r="FC49" s="175">
        <f t="shared" si="32"/>
        <v>0</v>
      </c>
      <c r="FD49" s="175">
        <f t="shared" si="32"/>
        <v>0</v>
      </c>
      <c r="FE49" s="175">
        <f t="shared" si="11"/>
        <v>0</v>
      </c>
      <c r="FF49" s="175">
        <f t="shared" si="12"/>
        <v>0</v>
      </c>
      <c r="FG49" s="37">
        <f t="shared" si="17"/>
        <v>47</v>
      </c>
      <c r="FH49" s="165">
        <f t="shared" si="13"/>
        <v>0</v>
      </c>
      <c r="FI49" s="165">
        <f>SUM(I7:ER7)-SUM(ES49:FF49)</f>
        <v>128</v>
      </c>
      <c r="FJ49" s="165">
        <f t="shared" si="16"/>
        <v>128</v>
      </c>
      <c r="FK49" s="7"/>
    </row>
    <row r="50" spans="1:167" ht="15.75" customHeight="1">
      <c r="A50" s="2"/>
      <c r="B50" s="3">
        <f t="shared" si="0"/>
        <v>0</v>
      </c>
      <c r="C50" s="182">
        <f t="shared" si="18"/>
        <v>43</v>
      </c>
      <c r="D50" s="184"/>
      <c r="E50" s="178"/>
      <c r="F50" s="178"/>
      <c r="G50" s="628">
        <v>45915</v>
      </c>
      <c r="H50" s="629"/>
      <c r="I50" s="99"/>
      <c r="J50" s="100"/>
      <c r="K50" s="100"/>
      <c r="L50" s="100"/>
      <c r="M50" s="100"/>
      <c r="N50" s="100"/>
      <c r="O50" s="100"/>
      <c r="P50" s="100"/>
      <c r="Q50" s="100"/>
      <c r="R50" s="101"/>
      <c r="S50" s="119"/>
      <c r="T50" s="118"/>
      <c r="U50" s="118"/>
      <c r="V50" s="118"/>
      <c r="W50" s="118"/>
      <c r="X50" s="118"/>
      <c r="Y50" s="118"/>
      <c r="Z50" s="118"/>
      <c r="AA50" s="118"/>
      <c r="AB50" s="120"/>
      <c r="AC50" s="90"/>
      <c r="AD50" s="91"/>
      <c r="AE50" s="91"/>
      <c r="AF50" s="91"/>
      <c r="AG50" s="592"/>
      <c r="AH50" s="593"/>
      <c r="AI50" s="91"/>
      <c r="AJ50" s="91"/>
      <c r="AK50" s="91"/>
      <c r="AL50" s="123"/>
      <c r="AM50" s="110"/>
      <c r="AN50" s="109"/>
      <c r="AO50" s="109"/>
      <c r="AP50" s="109"/>
      <c r="AQ50" s="109"/>
      <c r="AR50" s="109"/>
      <c r="AS50" s="109"/>
      <c r="AT50" s="109"/>
      <c r="AU50" s="109"/>
      <c r="AV50" s="132"/>
      <c r="AW50" s="128"/>
      <c r="AX50" s="129"/>
      <c r="AY50" s="129"/>
      <c r="AZ50" s="129"/>
      <c r="BA50" s="129"/>
      <c r="BB50" s="129"/>
      <c r="BC50" s="129"/>
      <c r="BD50" s="129"/>
      <c r="BE50" s="129"/>
      <c r="BF50" s="138"/>
      <c r="BG50" s="99"/>
      <c r="BH50" s="100"/>
      <c r="BI50" s="100"/>
      <c r="BJ50" s="100"/>
      <c r="BK50" s="100"/>
      <c r="BL50" s="100"/>
      <c r="BM50" s="100"/>
      <c r="BN50" s="100"/>
      <c r="BO50" s="100"/>
      <c r="BP50" s="101"/>
      <c r="BQ50" s="119"/>
      <c r="BR50" s="118"/>
      <c r="BS50" s="118"/>
      <c r="BT50" s="118"/>
      <c r="BU50" s="118"/>
      <c r="BV50" s="118"/>
      <c r="BW50" s="118"/>
      <c r="BX50" s="118"/>
      <c r="BY50" s="118"/>
      <c r="BZ50" s="120"/>
      <c r="CA50" s="537"/>
      <c r="CB50" s="538"/>
      <c r="CC50" s="538"/>
      <c r="CD50" s="538"/>
      <c r="CE50" s="538"/>
      <c r="CF50" s="538"/>
      <c r="CG50" s="538"/>
      <c r="CH50" s="538"/>
      <c r="CI50" s="538"/>
      <c r="CJ50" s="539"/>
      <c r="CK50" s="110"/>
      <c r="CL50" s="109"/>
      <c r="CM50" s="109"/>
      <c r="CN50" s="109"/>
      <c r="CO50" s="109"/>
      <c r="CP50" s="109"/>
      <c r="CQ50" s="109"/>
      <c r="CR50" s="109"/>
      <c r="CS50" s="109"/>
      <c r="CT50" s="111"/>
      <c r="CU50" s="128"/>
      <c r="CV50" s="129"/>
      <c r="CW50" s="129"/>
      <c r="CX50" s="129"/>
      <c r="CY50" s="129"/>
      <c r="CZ50" s="129"/>
      <c r="DA50" s="129"/>
      <c r="DB50" s="129"/>
      <c r="DC50" s="129"/>
      <c r="DD50" s="138"/>
      <c r="DE50" s="156"/>
      <c r="DF50" s="157"/>
      <c r="DG50" s="157"/>
      <c r="DH50" s="157"/>
      <c r="DI50" s="157"/>
      <c r="DJ50" s="157"/>
      <c r="DK50" s="157"/>
      <c r="DL50" s="157"/>
      <c r="DM50" s="157"/>
      <c r="DN50" s="158"/>
      <c r="DO50" s="119"/>
      <c r="DP50" s="118"/>
      <c r="DQ50" s="118"/>
      <c r="DR50" s="118"/>
      <c r="DS50" s="118"/>
      <c r="DT50" s="118"/>
      <c r="DU50" s="118"/>
      <c r="DV50" s="118"/>
      <c r="DW50" s="118"/>
      <c r="DX50" s="120"/>
      <c r="DY50" s="90"/>
      <c r="DZ50" s="91"/>
      <c r="EA50" s="91"/>
      <c r="EB50" s="91"/>
      <c r="EC50" s="91"/>
      <c r="ED50" s="91"/>
      <c r="EE50" s="91"/>
      <c r="EF50" s="91"/>
      <c r="EG50" s="91"/>
      <c r="EH50" s="92"/>
      <c r="EI50" s="110"/>
      <c r="EJ50" s="109"/>
      <c r="EK50" s="109"/>
      <c r="EL50" s="109"/>
      <c r="EM50" s="109"/>
      <c r="EN50" s="109"/>
      <c r="EO50" s="109"/>
      <c r="EP50" s="109"/>
      <c r="EQ50" s="109"/>
      <c r="ER50" s="132"/>
      <c r="ES50" s="176">
        <f t="shared" si="1"/>
        <v>0</v>
      </c>
      <c r="ET50" s="176">
        <f t="shared" ref="ET50:FD50" si="33">SUM(J50:S50)</f>
        <v>0</v>
      </c>
      <c r="EU50" s="176">
        <f t="shared" si="33"/>
        <v>0</v>
      </c>
      <c r="EV50" s="176">
        <f t="shared" si="33"/>
        <v>0</v>
      </c>
      <c r="EW50" s="175">
        <f t="shared" si="20"/>
        <v>0</v>
      </c>
      <c r="EX50" s="175">
        <f t="shared" si="33"/>
        <v>0</v>
      </c>
      <c r="EY50" s="175">
        <f t="shared" si="33"/>
        <v>0</v>
      </c>
      <c r="EZ50" s="176">
        <f t="shared" si="33"/>
        <v>0</v>
      </c>
      <c r="FA50" s="175">
        <f t="shared" si="33"/>
        <v>0</v>
      </c>
      <c r="FB50" s="175">
        <f t="shared" si="33"/>
        <v>0</v>
      </c>
      <c r="FC50" s="175">
        <f t="shared" si="33"/>
        <v>0</v>
      </c>
      <c r="FD50" s="175">
        <f t="shared" si="33"/>
        <v>0</v>
      </c>
      <c r="FE50" s="175">
        <f t="shared" si="11"/>
        <v>0</v>
      </c>
      <c r="FF50" s="175">
        <f t="shared" si="12"/>
        <v>0</v>
      </c>
      <c r="FG50" s="37">
        <f t="shared" si="17"/>
        <v>48</v>
      </c>
      <c r="FH50" s="165">
        <f t="shared" si="13"/>
        <v>0</v>
      </c>
      <c r="FI50" s="165">
        <f>SUM(I7:ER7)-SUM(ES50:FF50)</f>
        <v>128</v>
      </c>
      <c r="FJ50" s="165">
        <f t="shared" si="16"/>
        <v>128</v>
      </c>
      <c r="FK50" s="7"/>
    </row>
    <row r="51" spans="1:167" ht="15.75" customHeight="1">
      <c r="A51" s="2"/>
      <c r="B51" s="3">
        <f t="shared" si="0"/>
        <v>0</v>
      </c>
      <c r="C51" s="182">
        <f t="shared" si="18"/>
        <v>44</v>
      </c>
      <c r="D51" s="184"/>
      <c r="E51" s="178"/>
      <c r="F51" s="178"/>
      <c r="G51" s="628">
        <v>45915</v>
      </c>
      <c r="H51" s="629"/>
      <c r="I51" s="99"/>
      <c r="J51" s="100"/>
      <c r="K51" s="100"/>
      <c r="L51" s="100"/>
      <c r="M51" s="100"/>
      <c r="N51" s="100"/>
      <c r="O51" s="100"/>
      <c r="P51" s="100"/>
      <c r="Q51" s="100"/>
      <c r="R51" s="101"/>
      <c r="S51" s="119"/>
      <c r="T51" s="118"/>
      <c r="U51" s="118"/>
      <c r="V51" s="118"/>
      <c r="W51" s="118"/>
      <c r="X51" s="118"/>
      <c r="Y51" s="118"/>
      <c r="Z51" s="118"/>
      <c r="AA51" s="118"/>
      <c r="AB51" s="120"/>
      <c r="AC51" s="90"/>
      <c r="AD51" s="91"/>
      <c r="AE51" s="91"/>
      <c r="AF51" s="91"/>
      <c r="AG51" s="592"/>
      <c r="AH51" s="593"/>
      <c r="AI51" s="91"/>
      <c r="AJ51" s="91"/>
      <c r="AK51" s="91"/>
      <c r="AL51" s="123"/>
      <c r="AM51" s="110"/>
      <c r="AN51" s="109"/>
      <c r="AO51" s="109"/>
      <c r="AP51" s="109"/>
      <c r="AQ51" s="109"/>
      <c r="AR51" s="109"/>
      <c r="AS51" s="109"/>
      <c r="AT51" s="109"/>
      <c r="AU51" s="109"/>
      <c r="AV51" s="132"/>
      <c r="AW51" s="128"/>
      <c r="AX51" s="129"/>
      <c r="AY51" s="129"/>
      <c r="AZ51" s="129"/>
      <c r="BA51" s="129"/>
      <c r="BB51" s="129"/>
      <c r="BC51" s="129"/>
      <c r="BD51" s="129"/>
      <c r="BE51" s="129"/>
      <c r="BF51" s="138"/>
      <c r="BG51" s="99"/>
      <c r="BH51" s="100"/>
      <c r="BI51" s="100"/>
      <c r="BJ51" s="100"/>
      <c r="BK51" s="100"/>
      <c r="BL51" s="100"/>
      <c r="BM51" s="100"/>
      <c r="BN51" s="100"/>
      <c r="BO51" s="100"/>
      <c r="BP51" s="101"/>
      <c r="BQ51" s="119"/>
      <c r="BR51" s="118"/>
      <c r="BS51" s="118"/>
      <c r="BT51" s="118"/>
      <c r="BU51" s="118"/>
      <c r="BV51" s="118"/>
      <c r="BW51" s="118"/>
      <c r="BX51" s="118"/>
      <c r="BY51" s="118"/>
      <c r="BZ51" s="120"/>
      <c r="CA51" s="537"/>
      <c r="CB51" s="538"/>
      <c r="CC51" s="538"/>
      <c r="CD51" s="538"/>
      <c r="CE51" s="538"/>
      <c r="CF51" s="538"/>
      <c r="CG51" s="538"/>
      <c r="CH51" s="538"/>
      <c r="CI51" s="538"/>
      <c r="CJ51" s="539"/>
      <c r="CK51" s="110"/>
      <c r="CL51" s="109"/>
      <c r="CM51" s="109"/>
      <c r="CN51" s="109"/>
      <c r="CO51" s="109"/>
      <c r="CP51" s="109"/>
      <c r="CQ51" s="109"/>
      <c r="CR51" s="109"/>
      <c r="CS51" s="109"/>
      <c r="CT51" s="111"/>
      <c r="CU51" s="128"/>
      <c r="CV51" s="129"/>
      <c r="CW51" s="129"/>
      <c r="CX51" s="129"/>
      <c r="CY51" s="129"/>
      <c r="CZ51" s="129"/>
      <c r="DA51" s="129"/>
      <c r="DB51" s="129"/>
      <c r="DC51" s="129"/>
      <c r="DD51" s="138"/>
      <c r="DE51" s="156"/>
      <c r="DF51" s="157"/>
      <c r="DG51" s="157"/>
      <c r="DH51" s="157"/>
      <c r="DI51" s="157"/>
      <c r="DJ51" s="157"/>
      <c r="DK51" s="157"/>
      <c r="DL51" s="157"/>
      <c r="DM51" s="157"/>
      <c r="DN51" s="158"/>
      <c r="DO51" s="119"/>
      <c r="DP51" s="118"/>
      <c r="DQ51" s="118"/>
      <c r="DR51" s="118"/>
      <c r="DS51" s="118"/>
      <c r="DT51" s="118"/>
      <c r="DU51" s="118"/>
      <c r="DV51" s="118"/>
      <c r="DW51" s="118"/>
      <c r="DX51" s="120"/>
      <c r="DY51" s="90"/>
      <c r="DZ51" s="91"/>
      <c r="EA51" s="91"/>
      <c r="EB51" s="91"/>
      <c r="EC51" s="91"/>
      <c r="ED51" s="91"/>
      <c r="EE51" s="91"/>
      <c r="EF51" s="91"/>
      <c r="EG51" s="91"/>
      <c r="EH51" s="92"/>
      <c r="EI51" s="110"/>
      <c r="EJ51" s="109"/>
      <c r="EK51" s="109"/>
      <c r="EL51" s="109"/>
      <c r="EM51" s="109"/>
      <c r="EN51" s="109"/>
      <c r="EO51" s="109"/>
      <c r="EP51" s="109"/>
      <c r="EQ51" s="109"/>
      <c r="ER51" s="132"/>
      <c r="ES51" s="176">
        <f t="shared" si="1"/>
        <v>0</v>
      </c>
      <c r="ET51" s="176">
        <f t="shared" ref="ET51:FD51" si="34">SUM(J51:S51)</f>
        <v>0</v>
      </c>
      <c r="EU51" s="176">
        <f t="shared" si="34"/>
        <v>0</v>
      </c>
      <c r="EV51" s="176">
        <f t="shared" si="34"/>
        <v>0</v>
      </c>
      <c r="EW51" s="175">
        <f t="shared" si="20"/>
        <v>0</v>
      </c>
      <c r="EX51" s="175">
        <f t="shared" si="34"/>
        <v>0</v>
      </c>
      <c r="EY51" s="175">
        <f t="shared" si="34"/>
        <v>0</v>
      </c>
      <c r="EZ51" s="176">
        <f t="shared" si="34"/>
        <v>0</v>
      </c>
      <c r="FA51" s="175">
        <f t="shared" si="34"/>
        <v>0</v>
      </c>
      <c r="FB51" s="175">
        <f t="shared" si="34"/>
        <v>0</v>
      </c>
      <c r="FC51" s="175">
        <f t="shared" si="34"/>
        <v>0</v>
      </c>
      <c r="FD51" s="175">
        <f t="shared" si="34"/>
        <v>0</v>
      </c>
      <c r="FE51" s="175">
        <f t="shared" si="11"/>
        <v>0</v>
      </c>
      <c r="FF51" s="175">
        <f t="shared" si="12"/>
        <v>0</v>
      </c>
      <c r="FG51" s="37">
        <f t="shared" si="17"/>
        <v>49</v>
      </c>
      <c r="FH51" s="165">
        <f t="shared" si="13"/>
        <v>0</v>
      </c>
      <c r="FI51" s="165">
        <f>SUM(I7:ER7)-SUM(ES51:FF51)</f>
        <v>128</v>
      </c>
      <c r="FJ51" s="165">
        <f t="shared" si="16"/>
        <v>128</v>
      </c>
      <c r="FK51" s="7"/>
    </row>
    <row r="52" spans="1:167" ht="15.75" customHeight="1">
      <c r="A52" s="2"/>
      <c r="B52" s="3">
        <f t="shared" si="0"/>
        <v>0</v>
      </c>
      <c r="C52" s="182">
        <f t="shared" si="18"/>
        <v>45</v>
      </c>
      <c r="D52" s="184"/>
      <c r="E52" s="178"/>
      <c r="F52" s="178"/>
      <c r="G52" s="628">
        <v>45915</v>
      </c>
      <c r="H52" s="629"/>
      <c r="I52" s="99"/>
      <c r="J52" s="100"/>
      <c r="K52" s="100"/>
      <c r="L52" s="100"/>
      <c r="M52" s="100"/>
      <c r="N52" s="100"/>
      <c r="O52" s="100"/>
      <c r="P52" s="100"/>
      <c r="Q52" s="100"/>
      <c r="R52" s="101"/>
      <c r="S52" s="119"/>
      <c r="T52" s="118"/>
      <c r="U52" s="118"/>
      <c r="V52" s="118"/>
      <c r="W52" s="118"/>
      <c r="X52" s="118"/>
      <c r="Y52" s="118"/>
      <c r="Z52" s="118"/>
      <c r="AA52" s="118"/>
      <c r="AB52" s="120"/>
      <c r="AC52" s="90"/>
      <c r="AD52" s="91"/>
      <c r="AE52" s="91"/>
      <c r="AF52" s="91"/>
      <c r="AG52" s="592"/>
      <c r="AH52" s="593"/>
      <c r="AI52" s="91"/>
      <c r="AJ52" s="91"/>
      <c r="AK52" s="91"/>
      <c r="AL52" s="123"/>
      <c r="AM52" s="110"/>
      <c r="AN52" s="109"/>
      <c r="AO52" s="109"/>
      <c r="AP52" s="109"/>
      <c r="AQ52" s="109"/>
      <c r="AR52" s="109"/>
      <c r="AS52" s="109"/>
      <c r="AT52" s="109"/>
      <c r="AU52" s="109"/>
      <c r="AV52" s="132"/>
      <c r="AW52" s="128"/>
      <c r="AX52" s="129"/>
      <c r="AY52" s="129"/>
      <c r="AZ52" s="129"/>
      <c r="BA52" s="129"/>
      <c r="BB52" s="129"/>
      <c r="BC52" s="129"/>
      <c r="BD52" s="129"/>
      <c r="BE52" s="129"/>
      <c r="BF52" s="138"/>
      <c r="BG52" s="99"/>
      <c r="BH52" s="100"/>
      <c r="BI52" s="100"/>
      <c r="BJ52" s="100"/>
      <c r="BK52" s="100"/>
      <c r="BL52" s="100"/>
      <c r="BM52" s="100"/>
      <c r="BN52" s="100"/>
      <c r="BO52" s="100"/>
      <c r="BP52" s="101"/>
      <c r="BQ52" s="119"/>
      <c r="BR52" s="118"/>
      <c r="BS52" s="118"/>
      <c r="BT52" s="118"/>
      <c r="BU52" s="118"/>
      <c r="BV52" s="118"/>
      <c r="BW52" s="118"/>
      <c r="BX52" s="118"/>
      <c r="BY52" s="118"/>
      <c r="BZ52" s="120"/>
      <c r="CA52" s="537"/>
      <c r="CB52" s="538"/>
      <c r="CC52" s="538"/>
      <c r="CD52" s="538"/>
      <c r="CE52" s="538"/>
      <c r="CF52" s="538"/>
      <c r="CG52" s="538"/>
      <c r="CH52" s="538"/>
      <c r="CI52" s="538"/>
      <c r="CJ52" s="539"/>
      <c r="CK52" s="110"/>
      <c r="CL52" s="109"/>
      <c r="CM52" s="109"/>
      <c r="CN52" s="109"/>
      <c r="CO52" s="109"/>
      <c r="CP52" s="109"/>
      <c r="CQ52" s="109"/>
      <c r="CR52" s="109"/>
      <c r="CS52" s="109"/>
      <c r="CT52" s="111"/>
      <c r="CU52" s="128"/>
      <c r="CV52" s="129"/>
      <c r="CW52" s="129"/>
      <c r="CX52" s="129"/>
      <c r="CY52" s="129"/>
      <c r="CZ52" s="129"/>
      <c r="DA52" s="129"/>
      <c r="DB52" s="129"/>
      <c r="DC52" s="129"/>
      <c r="DD52" s="138"/>
      <c r="DE52" s="156"/>
      <c r="DF52" s="157"/>
      <c r="DG52" s="157"/>
      <c r="DH52" s="157"/>
      <c r="DI52" s="157"/>
      <c r="DJ52" s="157"/>
      <c r="DK52" s="157"/>
      <c r="DL52" s="157"/>
      <c r="DM52" s="157"/>
      <c r="DN52" s="158"/>
      <c r="DO52" s="119"/>
      <c r="DP52" s="118"/>
      <c r="DQ52" s="118"/>
      <c r="DR52" s="118"/>
      <c r="DS52" s="118"/>
      <c r="DT52" s="118"/>
      <c r="DU52" s="118"/>
      <c r="DV52" s="118"/>
      <c r="DW52" s="118"/>
      <c r="DX52" s="120"/>
      <c r="DY52" s="90"/>
      <c r="DZ52" s="91"/>
      <c r="EA52" s="91"/>
      <c r="EB52" s="91"/>
      <c r="EC52" s="91"/>
      <c r="ED52" s="91"/>
      <c r="EE52" s="91"/>
      <c r="EF52" s="91"/>
      <c r="EG52" s="91"/>
      <c r="EH52" s="92"/>
      <c r="EI52" s="110"/>
      <c r="EJ52" s="109"/>
      <c r="EK52" s="109"/>
      <c r="EL52" s="109"/>
      <c r="EM52" s="109"/>
      <c r="EN52" s="109"/>
      <c r="EO52" s="109"/>
      <c r="EP52" s="109"/>
      <c r="EQ52" s="109"/>
      <c r="ER52" s="132"/>
      <c r="ES52" s="176">
        <f t="shared" si="1"/>
        <v>0</v>
      </c>
      <c r="ET52" s="176">
        <f t="shared" ref="ET52:FD52" si="35">SUM(J52:S52)</f>
        <v>0</v>
      </c>
      <c r="EU52" s="176">
        <f t="shared" si="35"/>
        <v>0</v>
      </c>
      <c r="EV52" s="176">
        <f t="shared" si="35"/>
        <v>0</v>
      </c>
      <c r="EW52" s="175">
        <f t="shared" si="20"/>
        <v>0</v>
      </c>
      <c r="EX52" s="175">
        <f t="shared" si="35"/>
        <v>0</v>
      </c>
      <c r="EY52" s="175">
        <f t="shared" si="35"/>
        <v>0</v>
      </c>
      <c r="EZ52" s="176">
        <f t="shared" si="35"/>
        <v>0</v>
      </c>
      <c r="FA52" s="175">
        <f t="shared" si="35"/>
        <v>0</v>
      </c>
      <c r="FB52" s="175">
        <f t="shared" si="35"/>
        <v>0</v>
      </c>
      <c r="FC52" s="175">
        <f t="shared" si="35"/>
        <v>0</v>
      </c>
      <c r="FD52" s="175">
        <f t="shared" si="35"/>
        <v>0</v>
      </c>
      <c r="FE52" s="175">
        <f t="shared" si="11"/>
        <v>0</v>
      </c>
      <c r="FF52" s="175">
        <f t="shared" si="12"/>
        <v>0</v>
      </c>
      <c r="FG52" s="37">
        <f t="shared" si="17"/>
        <v>50</v>
      </c>
      <c r="FH52" s="165">
        <f t="shared" si="13"/>
        <v>0</v>
      </c>
      <c r="FI52" s="165">
        <f>SUM(I7:ER7)-SUM(ES52:FF52)</f>
        <v>128</v>
      </c>
      <c r="FJ52" s="165">
        <f t="shared" si="16"/>
        <v>128</v>
      </c>
      <c r="FK52" s="7"/>
    </row>
    <row r="53" spans="1:167" ht="15.75" customHeight="1">
      <c r="A53" s="2"/>
      <c r="B53" s="3">
        <f t="shared" si="0"/>
        <v>0</v>
      </c>
      <c r="C53" s="182">
        <f t="shared" si="18"/>
        <v>46</v>
      </c>
      <c r="D53" s="184"/>
      <c r="E53" s="178"/>
      <c r="F53" s="178"/>
      <c r="G53" s="628">
        <v>45915</v>
      </c>
      <c r="H53" s="629"/>
      <c r="I53" s="99"/>
      <c r="J53" s="100"/>
      <c r="K53" s="100"/>
      <c r="L53" s="100"/>
      <c r="M53" s="100"/>
      <c r="N53" s="100"/>
      <c r="O53" s="100"/>
      <c r="P53" s="100"/>
      <c r="Q53" s="100"/>
      <c r="R53" s="101"/>
      <c r="S53" s="119"/>
      <c r="T53" s="118"/>
      <c r="U53" s="118"/>
      <c r="V53" s="118"/>
      <c r="W53" s="118"/>
      <c r="X53" s="118"/>
      <c r="Y53" s="118"/>
      <c r="Z53" s="118"/>
      <c r="AA53" s="118"/>
      <c r="AB53" s="120"/>
      <c r="AC53" s="90"/>
      <c r="AD53" s="91"/>
      <c r="AE53" s="91"/>
      <c r="AF53" s="91"/>
      <c r="AG53" s="592"/>
      <c r="AH53" s="593"/>
      <c r="AI53" s="91"/>
      <c r="AJ53" s="91"/>
      <c r="AK53" s="91"/>
      <c r="AL53" s="123"/>
      <c r="AM53" s="110"/>
      <c r="AN53" s="109"/>
      <c r="AO53" s="109"/>
      <c r="AP53" s="109"/>
      <c r="AQ53" s="109"/>
      <c r="AR53" s="109"/>
      <c r="AS53" s="109"/>
      <c r="AT53" s="109"/>
      <c r="AU53" s="109"/>
      <c r="AV53" s="132"/>
      <c r="AW53" s="128"/>
      <c r="AX53" s="129"/>
      <c r="AY53" s="129"/>
      <c r="AZ53" s="129"/>
      <c r="BA53" s="129"/>
      <c r="BB53" s="129"/>
      <c r="BC53" s="129"/>
      <c r="BD53" s="129"/>
      <c r="BE53" s="129"/>
      <c r="BF53" s="138"/>
      <c r="BG53" s="99"/>
      <c r="BH53" s="100"/>
      <c r="BI53" s="100"/>
      <c r="BJ53" s="100"/>
      <c r="BK53" s="100"/>
      <c r="BL53" s="100"/>
      <c r="BM53" s="100"/>
      <c r="BN53" s="100"/>
      <c r="BO53" s="100"/>
      <c r="BP53" s="101"/>
      <c r="BQ53" s="119"/>
      <c r="BR53" s="118"/>
      <c r="BS53" s="118"/>
      <c r="BT53" s="118"/>
      <c r="BU53" s="118"/>
      <c r="BV53" s="118"/>
      <c r="BW53" s="118"/>
      <c r="BX53" s="118"/>
      <c r="BY53" s="118"/>
      <c r="BZ53" s="120"/>
      <c r="CA53" s="537"/>
      <c r="CB53" s="538"/>
      <c r="CC53" s="538"/>
      <c r="CD53" s="538"/>
      <c r="CE53" s="538"/>
      <c r="CF53" s="538"/>
      <c r="CG53" s="538"/>
      <c r="CH53" s="538"/>
      <c r="CI53" s="538"/>
      <c r="CJ53" s="539"/>
      <c r="CK53" s="110"/>
      <c r="CL53" s="109"/>
      <c r="CM53" s="109"/>
      <c r="CN53" s="109"/>
      <c r="CO53" s="109"/>
      <c r="CP53" s="109"/>
      <c r="CQ53" s="109"/>
      <c r="CR53" s="109"/>
      <c r="CS53" s="109"/>
      <c r="CT53" s="111"/>
      <c r="CU53" s="128"/>
      <c r="CV53" s="129"/>
      <c r="CW53" s="129"/>
      <c r="CX53" s="129"/>
      <c r="CY53" s="129"/>
      <c r="CZ53" s="129"/>
      <c r="DA53" s="129"/>
      <c r="DB53" s="129"/>
      <c r="DC53" s="129"/>
      <c r="DD53" s="138"/>
      <c r="DE53" s="156"/>
      <c r="DF53" s="157"/>
      <c r="DG53" s="157"/>
      <c r="DH53" s="157"/>
      <c r="DI53" s="157"/>
      <c r="DJ53" s="157"/>
      <c r="DK53" s="157"/>
      <c r="DL53" s="157"/>
      <c r="DM53" s="157"/>
      <c r="DN53" s="158"/>
      <c r="DO53" s="119"/>
      <c r="DP53" s="118"/>
      <c r="DQ53" s="118"/>
      <c r="DR53" s="118"/>
      <c r="DS53" s="118"/>
      <c r="DT53" s="118"/>
      <c r="DU53" s="118"/>
      <c r="DV53" s="118"/>
      <c r="DW53" s="118"/>
      <c r="DX53" s="120"/>
      <c r="DY53" s="90"/>
      <c r="DZ53" s="91"/>
      <c r="EA53" s="91"/>
      <c r="EB53" s="91"/>
      <c r="EC53" s="91"/>
      <c r="ED53" s="91"/>
      <c r="EE53" s="91"/>
      <c r="EF53" s="91"/>
      <c r="EG53" s="91"/>
      <c r="EH53" s="92"/>
      <c r="EI53" s="110"/>
      <c r="EJ53" s="109"/>
      <c r="EK53" s="109"/>
      <c r="EL53" s="109"/>
      <c r="EM53" s="109"/>
      <c r="EN53" s="109"/>
      <c r="EO53" s="109"/>
      <c r="EP53" s="109"/>
      <c r="EQ53" s="109"/>
      <c r="ER53" s="132"/>
      <c r="ES53" s="176">
        <f t="shared" si="1"/>
        <v>0</v>
      </c>
      <c r="ET53" s="176">
        <f t="shared" ref="ET53:FD53" si="36">SUM(J53:S53)</f>
        <v>0</v>
      </c>
      <c r="EU53" s="176">
        <f t="shared" si="36"/>
        <v>0</v>
      </c>
      <c r="EV53" s="176">
        <f t="shared" si="36"/>
        <v>0</v>
      </c>
      <c r="EW53" s="175">
        <f t="shared" si="20"/>
        <v>0</v>
      </c>
      <c r="EX53" s="175">
        <f t="shared" si="36"/>
        <v>0</v>
      </c>
      <c r="EY53" s="175">
        <f t="shared" si="36"/>
        <v>0</v>
      </c>
      <c r="EZ53" s="176">
        <f t="shared" si="36"/>
        <v>0</v>
      </c>
      <c r="FA53" s="175">
        <f t="shared" si="36"/>
        <v>0</v>
      </c>
      <c r="FB53" s="175">
        <f t="shared" si="36"/>
        <v>0</v>
      </c>
      <c r="FC53" s="175">
        <f t="shared" si="36"/>
        <v>0</v>
      </c>
      <c r="FD53" s="175">
        <f t="shared" si="36"/>
        <v>0</v>
      </c>
      <c r="FE53" s="175">
        <f t="shared" si="11"/>
        <v>0</v>
      </c>
      <c r="FF53" s="175">
        <f t="shared" si="12"/>
        <v>0</v>
      </c>
      <c r="FG53" s="37">
        <f t="shared" si="17"/>
        <v>51</v>
      </c>
      <c r="FH53" s="165">
        <f t="shared" si="13"/>
        <v>0</v>
      </c>
      <c r="FI53" s="165">
        <f>SUM(I7:ER7)-SUM(ES53:FF53)</f>
        <v>128</v>
      </c>
      <c r="FJ53" s="165">
        <f t="shared" si="16"/>
        <v>128</v>
      </c>
      <c r="FK53" s="7"/>
    </row>
    <row r="54" spans="1:167" ht="15.75" customHeight="1">
      <c r="A54" s="2"/>
      <c r="B54" s="3">
        <f t="shared" si="0"/>
        <v>0</v>
      </c>
      <c r="C54" s="182">
        <f t="shared" si="18"/>
        <v>47</v>
      </c>
      <c r="D54" s="184"/>
      <c r="E54" s="178"/>
      <c r="F54" s="178"/>
      <c r="G54" s="628">
        <v>45915</v>
      </c>
      <c r="H54" s="629"/>
      <c r="I54" s="99"/>
      <c r="J54" s="100"/>
      <c r="K54" s="100"/>
      <c r="L54" s="100"/>
      <c r="M54" s="100"/>
      <c r="N54" s="100"/>
      <c r="O54" s="100"/>
      <c r="P54" s="100"/>
      <c r="Q54" s="100"/>
      <c r="R54" s="101"/>
      <c r="S54" s="119"/>
      <c r="T54" s="118"/>
      <c r="U54" s="118"/>
      <c r="V54" s="118"/>
      <c r="W54" s="118"/>
      <c r="X54" s="118"/>
      <c r="Y54" s="118"/>
      <c r="Z54" s="118"/>
      <c r="AA54" s="118"/>
      <c r="AB54" s="120"/>
      <c r="AC54" s="90"/>
      <c r="AD54" s="91"/>
      <c r="AE54" s="91"/>
      <c r="AF54" s="91"/>
      <c r="AG54" s="592"/>
      <c r="AH54" s="593"/>
      <c r="AI54" s="91"/>
      <c r="AJ54" s="91"/>
      <c r="AK54" s="91"/>
      <c r="AL54" s="123"/>
      <c r="AM54" s="110"/>
      <c r="AN54" s="109"/>
      <c r="AO54" s="109"/>
      <c r="AP54" s="109"/>
      <c r="AQ54" s="109"/>
      <c r="AR54" s="109"/>
      <c r="AS54" s="109"/>
      <c r="AT54" s="109"/>
      <c r="AU54" s="109"/>
      <c r="AV54" s="132"/>
      <c r="AW54" s="128"/>
      <c r="AX54" s="129"/>
      <c r="AY54" s="129"/>
      <c r="AZ54" s="129"/>
      <c r="BA54" s="129"/>
      <c r="BB54" s="129"/>
      <c r="BC54" s="129"/>
      <c r="BD54" s="129"/>
      <c r="BE54" s="129"/>
      <c r="BF54" s="138"/>
      <c r="BG54" s="99"/>
      <c r="BH54" s="100"/>
      <c r="BI54" s="100"/>
      <c r="BJ54" s="100"/>
      <c r="BK54" s="100"/>
      <c r="BL54" s="100"/>
      <c r="BM54" s="100"/>
      <c r="BN54" s="100"/>
      <c r="BO54" s="100"/>
      <c r="BP54" s="101"/>
      <c r="BQ54" s="119"/>
      <c r="BR54" s="118"/>
      <c r="BS54" s="118"/>
      <c r="BT54" s="118"/>
      <c r="BU54" s="118"/>
      <c r="BV54" s="118"/>
      <c r="BW54" s="118"/>
      <c r="BX54" s="118"/>
      <c r="BY54" s="118"/>
      <c r="BZ54" s="120"/>
      <c r="CA54" s="537"/>
      <c r="CB54" s="538"/>
      <c r="CC54" s="538"/>
      <c r="CD54" s="538"/>
      <c r="CE54" s="538"/>
      <c r="CF54" s="538"/>
      <c r="CG54" s="538"/>
      <c r="CH54" s="538"/>
      <c r="CI54" s="538"/>
      <c r="CJ54" s="539"/>
      <c r="CK54" s="110"/>
      <c r="CL54" s="109"/>
      <c r="CM54" s="109"/>
      <c r="CN54" s="109"/>
      <c r="CO54" s="109"/>
      <c r="CP54" s="109"/>
      <c r="CQ54" s="109"/>
      <c r="CR54" s="109"/>
      <c r="CS54" s="109"/>
      <c r="CT54" s="111"/>
      <c r="CU54" s="128"/>
      <c r="CV54" s="129"/>
      <c r="CW54" s="129"/>
      <c r="CX54" s="129"/>
      <c r="CY54" s="129"/>
      <c r="CZ54" s="129"/>
      <c r="DA54" s="129"/>
      <c r="DB54" s="129"/>
      <c r="DC54" s="129"/>
      <c r="DD54" s="138"/>
      <c r="DE54" s="156"/>
      <c r="DF54" s="157"/>
      <c r="DG54" s="157"/>
      <c r="DH54" s="157"/>
      <c r="DI54" s="157"/>
      <c r="DJ54" s="157"/>
      <c r="DK54" s="157"/>
      <c r="DL54" s="157"/>
      <c r="DM54" s="157"/>
      <c r="DN54" s="158"/>
      <c r="DO54" s="119"/>
      <c r="DP54" s="118"/>
      <c r="DQ54" s="118"/>
      <c r="DR54" s="118"/>
      <c r="DS54" s="118"/>
      <c r="DT54" s="118"/>
      <c r="DU54" s="118"/>
      <c r="DV54" s="118"/>
      <c r="DW54" s="118"/>
      <c r="DX54" s="120"/>
      <c r="DY54" s="90"/>
      <c r="DZ54" s="91"/>
      <c r="EA54" s="91"/>
      <c r="EB54" s="91"/>
      <c r="EC54" s="91"/>
      <c r="ED54" s="91"/>
      <c r="EE54" s="91"/>
      <c r="EF54" s="91"/>
      <c r="EG54" s="91"/>
      <c r="EH54" s="92"/>
      <c r="EI54" s="110"/>
      <c r="EJ54" s="109"/>
      <c r="EK54" s="109"/>
      <c r="EL54" s="109"/>
      <c r="EM54" s="109"/>
      <c r="EN54" s="109"/>
      <c r="EO54" s="109"/>
      <c r="EP54" s="109"/>
      <c r="EQ54" s="109"/>
      <c r="ER54" s="132"/>
      <c r="ES54" s="176">
        <f t="shared" si="1"/>
        <v>0</v>
      </c>
      <c r="ET54" s="176">
        <f t="shared" ref="ET54:FD54" si="37">SUM(J54:S54)</f>
        <v>0</v>
      </c>
      <c r="EU54" s="176">
        <f t="shared" si="37"/>
        <v>0</v>
      </c>
      <c r="EV54" s="176">
        <f t="shared" si="37"/>
        <v>0</v>
      </c>
      <c r="EW54" s="175">
        <f t="shared" si="20"/>
        <v>0</v>
      </c>
      <c r="EX54" s="175">
        <f t="shared" si="37"/>
        <v>0</v>
      </c>
      <c r="EY54" s="175">
        <f t="shared" si="37"/>
        <v>0</v>
      </c>
      <c r="EZ54" s="176">
        <f t="shared" si="37"/>
        <v>0</v>
      </c>
      <c r="FA54" s="175">
        <f t="shared" si="37"/>
        <v>0</v>
      </c>
      <c r="FB54" s="175">
        <f t="shared" si="37"/>
        <v>0</v>
      </c>
      <c r="FC54" s="175">
        <f t="shared" si="37"/>
        <v>0</v>
      </c>
      <c r="FD54" s="175">
        <f t="shared" si="37"/>
        <v>0</v>
      </c>
      <c r="FE54" s="175">
        <f t="shared" si="11"/>
        <v>0</v>
      </c>
      <c r="FF54" s="175">
        <f t="shared" si="12"/>
        <v>0</v>
      </c>
      <c r="FG54" s="37">
        <f t="shared" si="17"/>
        <v>52</v>
      </c>
      <c r="FH54" s="165">
        <f t="shared" si="13"/>
        <v>0</v>
      </c>
      <c r="FI54" s="165">
        <f>SUM(I7:ER7)-SUM(ES54:FF54)</f>
        <v>128</v>
      </c>
      <c r="FJ54" s="165">
        <f t="shared" si="16"/>
        <v>128</v>
      </c>
      <c r="FK54" s="7"/>
    </row>
    <row r="55" spans="1:167" ht="15.75" customHeight="1">
      <c r="A55" s="2"/>
      <c r="B55" s="3">
        <f t="shared" si="0"/>
        <v>0</v>
      </c>
      <c r="C55" s="182">
        <f t="shared" si="18"/>
        <v>48</v>
      </c>
      <c r="D55" s="184"/>
      <c r="E55" s="178"/>
      <c r="F55" s="178"/>
      <c r="G55" s="628">
        <v>45915</v>
      </c>
      <c r="H55" s="629"/>
      <c r="I55" s="99"/>
      <c r="J55" s="100"/>
      <c r="K55" s="100"/>
      <c r="L55" s="100"/>
      <c r="M55" s="100"/>
      <c r="N55" s="100"/>
      <c r="O55" s="100"/>
      <c r="P55" s="100"/>
      <c r="Q55" s="100"/>
      <c r="R55" s="101"/>
      <c r="S55" s="119"/>
      <c r="T55" s="118"/>
      <c r="U55" s="118"/>
      <c r="V55" s="118"/>
      <c r="W55" s="118"/>
      <c r="X55" s="118"/>
      <c r="Y55" s="118"/>
      <c r="Z55" s="118"/>
      <c r="AA55" s="118"/>
      <c r="AB55" s="120"/>
      <c r="AC55" s="90"/>
      <c r="AD55" s="91"/>
      <c r="AE55" s="91"/>
      <c r="AF55" s="91"/>
      <c r="AG55" s="592"/>
      <c r="AH55" s="593"/>
      <c r="AI55" s="91"/>
      <c r="AJ55" s="91"/>
      <c r="AK55" s="91"/>
      <c r="AL55" s="123"/>
      <c r="AM55" s="110"/>
      <c r="AN55" s="109"/>
      <c r="AO55" s="109"/>
      <c r="AP55" s="109"/>
      <c r="AQ55" s="109"/>
      <c r="AR55" s="109"/>
      <c r="AS55" s="109"/>
      <c r="AT55" s="109"/>
      <c r="AU55" s="109"/>
      <c r="AV55" s="132"/>
      <c r="AW55" s="128"/>
      <c r="AX55" s="129"/>
      <c r="AY55" s="129"/>
      <c r="AZ55" s="129"/>
      <c r="BA55" s="129"/>
      <c r="BB55" s="129"/>
      <c r="BC55" s="129"/>
      <c r="BD55" s="129"/>
      <c r="BE55" s="129"/>
      <c r="BF55" s="138"/>
      <c r="BG55" s="99"/>
      <c r="BH55" s="100"/>
      <c r="BI55" s="100"/>
      <c r="BJ55" s="100"/>
      <c r="BK55" s="100"/>
      <c r="BL55" s="100"/>
      <c r="BM55" s="100"/>
      <c r="BN55" s="100"/>
      <c r="BO55" s="100"/>
      <c r="BP55" s="101"/>
      <c r="BQ55" s="119"/>
      <c r="BR55" s="118"/>
      <c r="BS55" s="118"/>
      <c r="BT55" s="118"/>
      <c r="BU55" s="118"/>
      <c r="BV55" s="118"/>
      <c r="BW55" s="118"/>
      <c r="BX55" s="118"/>
      <c r="BY55" s="118"/>
      <c r="BZ55" s="120"/>
      <c r="CA55" s="537"/>
      <c r="CB55" s="538"/>
      <c r="CC55" s="538"/>
      <c r="CD55" s="538"/>
      <c r="CE55" s="538"/>
      <c r="CF55" s="538"/>
      <c r="CG55" s="538"/>
      <c r="CH55" s="538"/>
      <c r="CI55" s="538"/>
      <c r="CJ55" s="539"/>
      <c r="CK55" s="110"/>
      <c r="CL55" s="109"/>
      <c r="CM55" s="109"/>
      <c r="CN55" s="109"/>
      <c r="CO55" s="109"/>
      <c r="CP55" s="109"/>
      <c r="CQ55" s="109"/>
      <c r="CR55" s="109"/>
      <c r="CS55" s="109"/>
      <c r="CT55" s="111"/>
      <c r="CU55" s="128"/>
      <c r="CV55" s="129"/>
      <c r="CW55" s="129"/>
      <c r="CX55" s="129"/>
      <c r="CY55" s="129"/>
      <c r="CZ55" s="129"/>
      <c r="DA55" s="129"/>
      <c r="DB55" s="129"/>
      <c r="DC55" s="129"/>
      <c r="DD55" s="138"/>
      <c r="DE55" s="156"/>
      <c r="DF55" s="157"/>
      <c r="DG55" s="157"/>
      <c r="DH55" s="157"/>
      <c r="DI55" s="157"/>
      <c r="DJ55" s="157"/>
      <c r="DK55" s="157"/>
      <c r="DL55" s="157"/>
      <c r="DM55" s="157"/>
      <c r="DN55" s="158"/>
      <c r="DO55" s="119"/>
      <c r="DP55" s="118"/>
      <c r="DQ55" s="118"/>
      <c r="DR55" s="118"/>
      <c r="DS55" s="118"/>
      <c r="DT55" s="118"/>
      <c r="DU55" s="118"/>
      <c r="DV55" s="118"/>
      <c r="DW55" s="118"/>
      <c r="DX55" s="120"/>
      <c r="DY55" s="90"/>
      <c r="DZ55" s="91"/>
      <c r="EA55" s="91"/>
      <c r="EB55" s="91"/>
      <c r="EC55" s="91"/>
      <c r="ED55" s="91"/>
      <c r="EE55" s="91"/>
      <c r="EF55" s="91"/>
      <c r="EG55" s="91"/>
      <c r="EH55" s="92"/>
      <c r="EI55" s="110"/>
      <c r="EJ55" s="109"/>
      <c r="EK55" s="109"/>
      <c r="EL55" s="109"/>
      <c r="EM55" s="109"/>
      <c r="EN55" s="109"/>
      <c r="EO55" s="109"/>
      <c r="EP55" s="109"/>
      <c r="EQ55" s="109"/>
      <c r="ER55" s="132"/>
      <c r="ES55" s="176">
        <f t="shared" si="1"/>
        <v>0</v>
      </c>
      <c r="ET55" s="176">
        <f t="shared" ref="ET55:FD55" si="38">SUM(J55:S55)</f>
        <v>0</v>
      </c>
      <c r="EU55" s="176">
        <f t="shared" si="38"/>
        <v>0</v>
      </c>
      <c r="EV55" s="176">
        <f t="shared" si="38"/>
        <v>0</v>
      </c>
      <c r="EW55" s="175">
        <f t="shared" si="20"/>
        <v>0</v>
      </c>
      <c r="EX55" s="175">
        <f t="shared" si="38"/>
        <v>0</v>
      </c>
      <c r="EY55" s="175">
        <f t="shared" si="38"/>
        <v>0</v>
      </c>
      <c r="EZ55" s="176">
        <f t="shared" si="38"/>
        <v>0</v>
      </c>
      <c r="FA55" s="175">
        <f t="shared" si="38"/>
        <v>0</v>
      </c>
      <c r="FB55" s="175">
        <f t="shared" si="38"/>
        <v>0</v>
      </c>
      <c r="FC55" s="175">
        <f t="shared" si="38"/>
        <v>0</v>
      </c>
      <c r="FD55" s="175">
        <f t="shared" si="38"/>
        <v>0</v>
      </c>
      <c r="FE55" s="175">
        <f t="shared" si="11"/>
        <v>0</v>
      </c>
      <c r="FF55" s="175">
        <f t="shared" si="12"/>
        <v>0</v>
      </c>
      <c r="FG55" s="37">
        <f t="shared" si="17"/>
        <v>53</v>
      </c>
      <c r="FH55" s="165">
        <f t="shared" si="13"/>
        <v>0</v>
      </c>
      <c r="FI55" s="165">
        <f>SUM(I7:ER7)-SUM(ES55:FF55)</f>
        <v>128</v>
      </c>
      <c r="FJ55" s="165">
        <f t="shared" si="16"/>
        <v>128</v>
      </c>
      <c r="FK55" s="7"/>
    </row>
    <row r="56" spans="1:167" ht="15.75" customHeight="1">
      <c r="A56" s="2"/>
      <c r="B56" s="3">
        <f t="shared" si="0"/>
        <v>0</v>
      </c>
      <c r="C56" s="182">
        <f t="shared" si="18"/>
        <v>49</v>
      </c>
      <c r="D56" s="184"/>
      <c r="E56" s="178"/>
      <c r="F56" s="178"/>
      <c r="G56" s="628">
        <v>45915</v>
      </c>
      <c r="H56" s="629"/>
      <c r="I56" s="99"/>
      <c r="J56" s="100"/>
      <c r="K56" s="100"/>
      <c r="L56" s="100"/>
      <c r="M56" s="100"/>
      <c r="N56" s="100"/>
      <c r="O56" s="100"/>
      <c r="P56" s="100"/>
      <c r="Q56" s="100"/>
      <c r="R56" s="101"/>
      <c r="S56" s="119"/>
      <c r="T56" s="118"/>
      <c r="U56" s="118"/>
      <c r="V56" s="118"/>
      <c r="W56" s="118"/>
      <c r="X56" s="118"/>
      <c r="Y56" s="118"/>
      <c r="Z56" s="118"/>
      <c r="AA56" s="118"/>
      <c r="AB56" s="120"/>
      <c r="AC56" s="90"/>
      <c r="AD56" s="91"/>
      <c r="AE56" s="91"/>
      <c r="AF56" s="91"/>
      <c r="AG56" s="592"/>
      <c r="AH56" s="593"/>
      <c r="AI56" s="91"/>
      <c r="AJ56" s="91"/>
      <c r="AK56" s="91"/>
      <c r="AL56" s="123"/>
      <c r="AM56" s="110"/>
      <c r="AN56" s="109"/>
      <c r="AO56" s="109"/>
      <c r="AP56" s="109"/>
      <c r="AQ56" s="109"/>
      <c r="AR56" s="109"/>
      <c r="AS56" s="109"/>
      <c r="AT56" s="109"/>
      <c r="AU56" s="109"/>
      <c r="AV56" s="132"/>
      <c r="AW56" s="128"/>
      <c r="AX56" s="129"/>
      <c r="AY56" s="129"/>
      <c r="AZ56" s="129"/>
      <c r="BA56" s="129"/>
      <c r="BB56" s="129"/>
      <c r="BC56" s="129"/>
      <c r="BD56" s="129"/>
      <c r="BE56" s="129"/>
      <c r="BF56" s="138"/>
      <c r="BG56" s="99"/>
      <c r="BH56" s="100"/>
      <c r="BI56" s="100"/>
      <c r="BJ56" s="100"/>
      <c r="BK56" s="100"/>
      <c r="BL56" s="100"/>
      <c r="BM56" s="100"/>
      <c r="BN56" s="100"/>
      <c r="BO56" s="100"/>
      <c r="BP56" s="101"/>
      <c r="BQ56" s="119"/>
      <c r="BR56" s="118"/>
      <c r="BS56" s="118"/>
      <c r="BT56" s="118"/>
      <c r="BU56" s="118"/>
      <c r="BV56" s="118"/>
      <c r="BW56" s="118"/>
      <c r="BX56" s="118"/>
      <c r="BY56" s="118"/>
      <c r="BZ56" s="120"/>
      <c r="CA56" s="537"/>
      <c r="CB56" s="538"/>
      <c r="CC56" s="538"/>
      <c r="CD56" s="538"/>
      <c r="CE56" s="538"/>
      <c r="CF56" s="538"/>
      <c r="CG56" s="538"/>
      <c r="CH56" s="538"/>
      <c r="CI56" s="538"/>
      <c r="CJ56" s="539"/>
      <c r="CK56" s="110"/>
      <c r="CL56" s="109"/>
      <c r="CM56" s="109"/>
      <c r="CN56" s="109"/>
      <c r="CO56" s="109"/>
      <c r="CP56" s="109"/>
      <c r="CQ56" s="109"/>
      <c r="CR56" s="109"/>
      <c r="CS56" s="109"/>
      <c r="CT56" s="111"/>
      <c r="CU56" s="128"/>
      <c r="CV56" s="129"/>
      <c r="CW56" s="129"/>
      <c r="CX56" s="129"/>
      <c r="CY56" s="129"/>
      <c r="CZ56" s="129"/>
      <c r="DA56" s="129"/>
      <c r="DB56" s="129"/>
      <c r="DC56" s="129"/>
      <c r="DD56" s="138"/>
      <c r="DE56" s="156"/>
      <c r="DF56" s="157"/>
      <c r="DG56" s="157"/>
      <c r="DH56" s="157"/>
      <c r="DI56" s="157"/>
      <c r="DJ56" s="157"/>
      <c r="DK56" s="157"/>
      <c r="DL56" s="157"/>
      <c r="DM56" s="157"/>
      <c r="DN56" s="158"/>
      <c r="DO56" s="119"/>
      <c r="DP56" s="118"/>
      <c r="DQ56" s="118"/>
      <c r="DR56" s="118"/>
      <c r="DS56" s="118"/>
      <c r="DT56" s="118"/>
      <c r="DU56" s="118"/>
      <c r="DV56" s="118"/>
      <c r="DW56" s="118"/>
      <c r="DX56" s="120"/>
      <c r="DY56" s="90"/>
      <c r="DZ56" s="91"/>
      <c r="EA56" s="91"/>
      <c r="EB56" s="91"/>
      <c r="EC56" s="91"/>
      <c r="ED56" s="91"/>
      <c r="EE56" s="91"/>
      <c r="EF56" s="91"/>
      <c r="EG56" s="91"/>
      <c r="EH56" s="92"/>
      <c r="EI56" s="110"/>
      <c r="EJ56" s="109"/>
      <c r="EK56" s="109"/>
      <c r="EL56" s="109"/>
      <c r="EM56" s="109"/>
      <c r="EN56" s="109"/>
      <c r="EO56" s="109"/>
      <c r="EP56" s="109"/>
      <c r="EQ56" s="109"/>
      <c r="ER56" s="132"/>
      <c r="ES56" s="176">
        <f t="shared" si="1"/>
        <v>0</v>
      </c>
      <c r="ET56" s="176">
        <f t="shared" ref="ET56:FD56" si="39">SUM(J56:S56)</f>
        <v>0</v>
      </c>
      <c r="EU56" s="176">
        <f t="shared" si="39"/>
        <v>0</v>
      </c>
      <c r="EV56" s="176">
        <f t="shared" si="39"/>
        <v>0</v>
      </c>
      <c r="EW56" s="175">
        <f t="shared" si="20"/>
        <v>0</v>
      </c>
      <c r="EX56" s="175">
        <f t="shared" si="39"/>
        <v>0</v>
      </c>
      <c r="EY56" s="175">
        <f t="shared" si="39"/>
        <v>0</v>
      </c>
      <c r="EZ56" s="176">
        <f t="shared" si="39"/>
        <v>0</v>
      </c>
      <c r="FA56" s="175">
        <f t="shared" si="39"/>
        <v>0</v>
      </c>
      <c r="FB56" s="175">
        <f t="shared" si="39"/>
        <v>0</v>
      </c>
      <c r="FC56" s="175">
        <f t="shared" si="39"/>
        <v>0</v>
      </c>
      <c r="FD56" s="175">
        <f t="shared" si="39"/>
        <v>0</v>
      </c>
      <c r="FE56" s="175">
        <f t="shared" si="11"/>
        <v>0</v>
      </c>
      <c r="FF56" s="175">
        <f t="shared" si="12"/>
        <v>0</v>
      </c>
      <c r="FG56" s="37">
        <f t="shared" si="17"/>
        <v>54</v>
      </c>
      <c r="FH56" s="165">
        <f t="shared" si="13"/>
        <v>0</v>
      </c>
      <c r="FI56" s="165">
        <f>SUM(I7:ER7)-SUM(ES56:FF56)</f>
        <v>128</v>
      </c>
      <c r="FJ56" s="165">
        <f t="shared" si="16"/>
        <v>128</v>
      </c>
      <c r="FK56" s="7"/>
    </row>
    <row r="57" spans="1:167" ht="15.75" customHeight="1">
      <c r="A57" s="2"/>
      <c r="B57" s="3">
        <f t="shared" si="0"/>
        <v>0</v>
      </c>
      <c r="C57" s="182">
        <f t="shared" si="18"/>
        <v>50</v>
      </c>
      <c r="D57" s="184"/>
      <c r="E57" s="178"/>
      <c r="F57" s="178"/>
      <c r="G57" s="628">
        <v>45915</v>
      </c>
      <c r="H57" s="629"/>
      <c r="I57" s="99"/>
      <c r="J57" s="100"/>
      <c r="K57" s="100"/>
      <c r="L57" s="100"/>
      <c r="M57" s="100"/>
      <c r="N57" s="100"/>
      <c r="O57" s="100"/>
      <c r="P57" s="100"/>
      <c r="Q57" s="100"/>
      <c r="R57" s="101"/>
      <c r="S57" s="119"/>
      <c r="T57" s="118"/>
      <c r="U57" s="118"/>
      <c r="V57" s="118"/>
      <c r="W57" s="118"/>
      <c r="X57" s="118"/>
      <c r="Y57" s="118"/>
      <c r="Z57" s="118"/>
      <c r="AA57" s="118"/>
      <c r="AB57" s="120"/>
      <c r="AC57" s="90"/>
      <c r="AD57" s="91"/>
      <c r="AE57" s="91"/>
      <c r="AF57" s="91"/>
      <c r="AG57" s="592"/>
      <c r="AH57" s="593"/>
      <c r="AI57" s="91"/>
      <c r="AJ57" s="91"/>
      <c r="AK57" s="91"/>
      <c r="AL57" s="123"/>
      <c r="AM57" s="110"/>
      <c r="AN57" s="109"/>
      <c r="AO57" s="109"/>
      <c r="AP57" s="109"/>
      <c r="AQ57" s="109"/>
      <c r="AR57" s="109"/>
      <c r="AS57" s="109"/>
      <c r="AT57" s="109"/>
      <c r="AU57" s="109"/>
      <c r="AV57" s="132"/>
      <c r="AW57" s="128"/>
      <c r="AX57" s="129"/>
      <c r="AY57" s="129"/>
      <c r="AZ57" s="129"/>
      <c r="BA57" s="129"/>
      <c r="BB57" s="129"/>
      <c r="BC57" s="129"/>
      <c r="BD57" s="129"/>
      <c r="BE57" s="129"/>
      <c r="BF57" s="138"/>
      <c r="BG57" s="99"/>
      <c r="BH57" s="100"/>
      <c r="BI57" s="100"/>
      <c r="BJ57" s="100"/>
      <c r="BK57" s="100"/>
      <c r="BL57" s="100"/>
      <c r="BM57" s="100"/>
      <c r="BN57" s="100"/>
      <c r="BO57" s="100"/>
      <c r="BP57" s="101"/>
      <c r="BQ57" s="119"/>
      <c r="BR57" s="118"/>
      <c r="BS57" s="118"/>
      <c r="BT57" s="118"/>
      <c r="BU57" s="118"/>
      <c r="BV57" s="118"/>
      <c r="BW57" s="118"/>
      <c r="BX57" s="118"/>
      <c r="BY57" s="118"/>
      <c r="BZ57" s="120"/>
      <c r="CA57" s="537"/>
      <c r="CB57" s="538"/>
      <c r="CC57" s="538"/>
      <c r="CD57" s="538"/>
      <c r="CE57" s="538"/>
      <c r="CF57" s="538"/>
      <c r="CG57" s="538"/>
      <c r="CH57" s="538"/>
      <c r="CI57" s="538"/>
      <c r="CJ57" s="539"/>
      <c r="CK57" s="110"/>
      <c r="CL57" s="109"/>
      <c r="CM57" s="109"/>
      <c r="CN57" s="109"/>
      <c r="CO57" s="109"/>
      <c r="CP57" s="109"/>
      <c r="CQ57" s="109"/>
      <c r="CR57" s="109"/>
      <c r="CS57" s="109"/>
      <c r="CT57" s="111"/>
      <c r="CU57" s="128"/>
      <c r="CV57" s="129"/>
      <c r="CW57" s="129"/>
      <c r="CX57" s="129"/>
      <c r="CY57" s="129"/>
      <c r="CZ57" s="129"/>
      <c r="DA57" s="129"/>
      <c r="DB57" s="129"/>
      <c r="DC57" s="129"/>
      <c r="DD57" s="138"/>
      <c r="DE57" s="156"/>
      <c r="DF57" s="157"/>
      <c r="DG57" s="157"/>
      <c r="DH57" s="157"/>
      <c r="DI57" s="157"/>
      <c r="DJ57" s="157"/>
      <c r="DK57" s="157"/>
      <c r="DL57" s="157"/>
      <c r="DM57" s="157"/>
      <c r="DN57" s="158"/>
      <c r="DO57" s="119"/>
      <c r="DP57" s="118"/>
      <c r="DQ57" s="118"/>
      <c r="DR57" s="118"/>
      <c r="DS57" s="118"/>
      <c r="DT57" s="118"/>
      <c r="DU57" s="118"/>
      <c r="DV57" s="118"/>
      <c r="DW57" s="118"/>
      <c r="DX57" s="120"/>
      <c r="DY57" s="90"/>
      <c r="DZ57" s="91"/>
      <c r="EA57" s="91"/>
      <c r="EB57" s="91"/>
      <c r="EC57" s="91"/>
      <c r="ED57" s="91"/>
      <c r="EE57" s="91"/>
      <c r="EF57" s="91"/>
      <c r="EG57" s="91"/>
      <c r="EH57" s="92"/>
      <c r="EI57" s="110"/>
      <c r="EJ57" s="109"/>
      <c r="EK57" s="109"/>
      <c r="EL57" s="109"/>
      <c r="EM57" s="109"/>
      <c r="EN57" s="109"/>
      <c r="EO57" s="109"/>
      <c r="EP57" s="109"/>
      <c r="EQ57" s="109"/>
      <c r="ER57" s="132"/>
      <c r="ES57" s="176"/>
      <c r="ET57" s="176"/>
      <c r="EU57" s="176"/>
      <c r="EV57" s="176"/>
      <c r="EW57" s="175"/>
      <c r="EX57" s="175"/>
      <c r="EY57" s="175"/>
      <c r="EZ57" s="176"/>
      <c r="FA57" s="175"/>
      <c r="FB57" s="175"/>
      <c r="FC57" s="175"/>
      <c r="FD57" s="175"/>
      <c r="FE57" s="175"/>
      <c r="FF57" s="175"/>
      <c r="FG57" s="37"/>
      <c r="FH57" s="165"/>
      <c r="FI57" s="165"/>
      <c r="FJ57" s="165"/>
      <c r="FK57" s="7"/>
    </row>
    <row r="58" spans="1:167" ht="15.75" customHeight="1">
      <c r="A58" s="2"/>
      <c r="B58" s="3"/>
      <c r="C58" s="182"/>
      <c r="D58" s="184"/>
      <c r="E58" s="178"/>
      <c r="F58" s="178"/>
      <c r="G58" s="630"/>
      <c r="H58" s="629"/>
      <c r="I58" s="99"/>
      <c r="J58" s="100"/>
      <c r="K58" s="100"/>
      <c r="L58" s="100"/>
      <c r="M58" s="100"/>
      <c r="N58" s="100"/>
      <c r="O58" s="100"/>
      <c r="P58" s="100"/>
      <c r="Q58" s="100"/>
      <c r="R58" s="101"/>
      <c r="S58" s="119"/>
      <c r="T58" s="118"/>
      <c r="U58" s="118"/>
      <c r="V58" s="118"/>
      <c r="W58" s="118"/>
      <c r="X58" s="118"/>
      <c r="Y58" s="118"/>
      <c r="Z58" s="118"/>
      <c r="AA58" s="118"/>
      <c r="AB58" s="120"/>
      <c r="AC58" s="90"/>
      <c r="AD58" s="91"/>
      <c r="AE58" s="91"/>
      <c r="AF58" s="91"/>
      <c r="AG58" s="592"/>
      <c r="AH58" s="593"/>
      <c r="AI58" s="91"/>
      <c r="AJ58" s="91"/>
      <c r="AK58" s="91"/>
      <c r="AL58" s="123"/>
      <c r="AM58" s="110"/>
      <c r="AN58" s="109"/>
      <c r="AO58" s="109"/>
      <c r="AP58" s="109"/>
      <c r="AQ58" s="109"/>
      <c r="AR58" s="109"/>
      <c r="AS58" s="109"/>
      <c r="AT58" s="109"/>
      <c r="AU58" s="109"/>
      <c r="AV58" s="132"/>
      <c r="AW58" s="128"/>
      <c r="AX58" s="129"/>
      <c r="AY58" s="129"/>
      <c r="AZ58" s="129"/>
      <c r="BA58" s="129"/>
      <c r="BB58" s="129"/>
      <c r="BC58" s="129"/>
      <c r="BD58" s="129"/>
      <c r="BE58" s="129"/>
      <c r="BF58" s="138"/>
      <c r="BG58" s="99"/>
      <c r="BH58" s="100"/>
      <c r="BI58" s="100"/>
      <c r="BJ58" s="100"/>
      <c r="BK58" s="100"/>
      <c r="BL58" s="100"/>
      <c r="BM58" s="100"/>
      <c r="BN58" s="100"/>
      <c r="BO58" s="100"/>
      <c r="BP58" s="101"/>
      <c r="BQ58" s="119"/>
      <c r="BR58" s="118"/>
      <c r="BS58" s="118"/>
      <c r="BT58" s="118"/>
      <c r="BU58" s="118"/>
      <c r="BV58" s="118"/>
      <c r="BW58" s="118"/>
      <c r="BX58" s="118"/>
      <c r="BY58" s="118"/>
      <c r="BZ58" s="120"/>
      <c r="CA58" s="537"/>
      <c r="CB58" s="538"/>
      <c r="CC58" s="538"/>
      <c r="CD58" s="538"/>
      <c r="CE58" s="538"/>
      <c r="CF58" s="538"/>
      <c r="CG58" s="538"/>
      <c r="CH58" s="538"/>
      <c r="CI58" s="538"/>
      <c r="CJ58" s="539"/>
      <c r="CK58" s="110"/>
      <c r="CL58" s="109"/>
      <c r="CM58" s="109"/>
      <c r="CN58" s="109"/>
      <c r="CO58" s="109"/>
      <c r="CP58" s="109"/>
      <c r="CQ58" s="109"/>
      <c r="CR58" s="109"/>
      <c r="CS58" s="109"/>
      <c r="CT58" s="111"/>
      <c r="CU58" s="128"/>
      <c r="CV58" s="129"/>
      <c r="CW58" s="129"/>
      <c r="CX58" s="129"/>
      <c r="CY58" s="129"/>
      <c r="CZ58" s="129"/>
      <c r="DA58" s="129"/>
      <c r="DB58" s="129"/>
      <c r="DC58" s="129"/>
      <c r="DD58" s="138"/>
      <c r="DE58" s="156"/>
      <c r="DF58" s="157"/>
      <c r="DG58" s="157"/>
      <c r="DH58" s="157"/>
      <c r="DI58" s="157"/>
      <c r="DJ58" s="157"/>
      <c r="DK58" s="157"/>
      <c r="DL58" s="157"/>
      <c r="DM58" s="157"/>
      <c r="DN58" s="158"/>
      <c r="DO58" s="119"/>
      <c r="DP58" s="118"/>
      <c r="DQ58" s="118"/>
      <c r="DR58" s="118"/>
      <c r="DS58" s="118"/>
      <c r="DT58" s="118"/>
      <c r="DU58" s="118"/>
      <c r="DV58" s="118"/>
      <c r="DW58" s="118"/>
      <c r="DX58" s="120"/>
      <c r="DY58" s="90"/>
      <c r="DZ58" s="91"/>
      <c r="EA58" s="91"/>
      <c r="EB58" s="91"/>
      <c r="EC58" s="91"/>
      <c r="ED58" s="91"/>
      <c r="EE58" s="91"/>
      <c r="EF58" s="91"/>
      <c r="EG58" s="91"/>
      <c r="EH58" s="92"/>
      <c r="EI58" s="110"/>
      <c r="EJ58" s="109"/>
      <c r="EK58" s="109"/>
      <c r="EL58" s="109"/>
      <c r="EM58" s="109"/>
      <c r="EN58" s="109"/>
      <c r="EO58" s="109"/>
      <c r="EP58" s="109"/>
      <c r="EQ58" s="109"/>
      <c r="ER58" s="132"/>
      <c r="ES58" s="176"/>
      <c r="ET58" s="176"/>
      <c r="EU58" s="176"/>
      <c r="EV58" s="176"/>
      <c r="EW58" s="175"/>
      <c r="EX58" s="175"/>
      <c r="EY58" s="175"/>
      <c r="EZ58" s="176"/>
      <c r="FA58" s="175"/>
      <c r="FB58" s="175"/>
      <c r="FC58" s="175"/>
      <c r="FD58" s="175"/>
      <c r="FE58" s="175"/>
      <c r="FF58" s="175"/>
      <c r="FG58" s="37"/>
      <c r="FH58" s="165"/>
      <c r="FI58" s="165"/>
      <c r="FJ58" s="165"/>
      <c r="FK58" s="7"/>
    </row>
    <row r="59" spans="1:167" ht="15.75" customHeight="1">
      <c r="A59" s="2"/>
      <c r="B59" s="3"/>
      <c r="C59" s="182"/>
      <c r="D59" s="5" t="s">
        <v>25</v>
      </c>
      <c r="E59" s="178"/>
      <c r="F59" s="178"/>
      <c r="G59" s="630"/>
      <c r="H59" s="629"/>
      <c r="I59" s="99"/>
      <c r="J59" s="100"/>
      <c r="K59" s="100"/>
      <c r="L59" s="100"/>
      <c r="M59" s="100"/>
      <c r="N59" s="100"/>
      <c r="O59" s="100"/>
      <c r="P59" s="100"/>
      <c r="Q59" s="100"/>
      <c r="R59" s="101"/>
      <c r="S59" s="119"/>
      <c r="T59" s="118"/>
      <c r="U59" s="118"/>
      <c r="V59" s="118"/>
      <c r="W59" s="118"/>
      <c r="X59" s="118"/>
      <c r="Y59" s="118"/>
      <c r="Z59" s="118"/>
      <c r="AA59" s="118"/>
      <c r="AB59" s="120"/>
      <c r="AC59" s="90"/>
      <c r="AD59" s="91"/>
      <c r="AE59" s="91"/>
      <c r="AF59" s="91"/>
      <c r="AG59" s="592"/>
      <c r="AH59" s="593"/>
      <c r="AI59" s="91"/>
      <c r="AJ59" s="91"/>
      <c r="AK59" s="91"/>
      <c r="AL59" s="123"/>
      <c r="AM59" s="110"/>
      <c r="AN59" s="109"/>
      <c r="AO59" s="109"/>
      <c r="AP59" s="109"/>
      <c r="AQ59" s="109"/>
      <c r="AR59" s="109"/>
      <c r="AS59" s="109"/>
      <c r="AT59" s="109"/>
      <c r="AU59" s="109"/>
      <c r="AV59" s="132"/>
      <c r="AW59" s="128"/>
      <c r="AX59" s="129"/>
      <c r="AY59" s="129"/>
      <c r="AZ59" s="129"/>
      <c r="BA59" s="129"/>
      <c r="BB59" s="129"/>
      <c r="BC59" s="129"/>
      <c r="BD59" s="129"/>
      <c r="BE59" s="129"/>
      <c r="BF59" s="138"/>
      <c r="BG59" s="99"/>
      <c r="BH59" s="100"/>
      <c r="BI59" s="100"/>
      <c r="BJ59" s="100"/>
      <c r="BK59" s="100"/>
      <c r="BL59" s="100"/>
      <c r="BM59" s="100"/>
      <c r="BN59" s="100"/>
      <c r="BO59" s="100"/>
      <c r="BP59" s="101"/>
      <c r="BQ59" s="119"/>
      <c r="BR59" s="118"/>
      <c r="BS59" s="118"/>
      <c r="BT59" s="118"/>
      <c r="BU59" s="118"/>
      <c r="BV59" s="118"/>
      <c r="BW59" s="118"/>
      <c r="BX59" s="118"/>
      <c r="BY59" s="118"/>
      <c r="BZ59" s="120"/>
      <c r="CA59" s="537"/>
      <c r="CB59" s="538"/>
      <c r="CC59" s="538"/>
      <c r="CD59" s="538"/>
      <c r="CE59" s="538"/>
      <c r="CF59" s="538"/>
      <c r="CG59" s="538"/>
      <c r="CH59" s="538"/>
      <c r="CI59" s="538"/>
      <c r="CJ59" s="539"/>
      <c r="CK59" s="110"/>
      <c r="CL59" s="109"/>
      <c r="CM59" s="109"/>
      <c r="CN59" s="109"/>
      <c r="CO59" s="109"/>
      <c r="CP59" s="109"/>
      <c r="CQ59" s="109"/>
      <c r="CR59" s="109"/>
      <c r="CS59" s="109"/>
      <c r="CT59" s="111"/>
      <c r="CU59" s="128"/>
      <c r="CV59" s="129"/>
      <c r="CW59" s="129"/>
      <c r="CX59" s="129"/>
      <c r="CY59" s="129"/>
      <c r="CZ59" s="129"/>
      <c r="DA59" s="129"/>
      <c r="DB59" s="129"/>
      <c r="DC59" s="129"/>
      <c r="DD59" s="138"/>
      <c r="DE59" s="156"/>
      <c r="DF59" s="157"/>
      <c r="DG59" s="157"/>
      <c r="DH59" s="157"/>
      <c r="DI59" s="157"/>
      <c r="DJ59" s="157"/>
      <c r="DK59" s="157"/>
      <c r="DL59" s="157"/>
      <c r="DM59" s="157"/>
      <c r="DN59" s="158"/>
      <c r="DO59" s="119"/>
      <c r="DP59" s="118"/>
      <c r="DQ59" s="118"/>
      <c r="DR59" s="118"/>
      <c r="DS59" s="118"/>
      <c r="DT59" s="118"/>
      <c r="DU59" s="118"/>
      <c r="DV59" s="118"/>
      <c r="DW59" s="118"/>
      <c r="DX59" s="120"/>
      <c r="DY59" s="90"/>
      <c r="DZ59" s="91"/>
      <c r="EA59" s="91"/>
      <c r="EB59" s="91"/>
      <c r="EC59" s="91"/>
      <c r="ED59" s="91"/>
      <c r="EE59" s="91"/>
      <c r="EF59" s="91"/>
      <c r="EG59" s="91"/>
      <c r="EH59" s="92"/>
      <c r="EI59" s="110"/>
      <c r="EJ59" s="109"/>
      <c r="EK59" s="109"/>
      <c r="EL59" s="109"/>
      <c r="EM59" s="109"/>
      <c r="EN59" s="109"/>
      <c r="EO59" s="109"/>
      <c r="EP59" s="109"/>
      <c r="EQ59" s="109"/>
      <c r="ER59" s="132"/>
      <c r="ES59" s="176"/>
      <c r="ET59" s="176"/>
      <c r="EU59" s="176"/>
      <c r="EV59" s="176"/>
      <c r="EW59" s="175"/>
      <c r="EX59" s="175"/>
      <c r="EY59" s="175"/>
      <c r="EZ59" s="176"/>
      <c r="FA59" s="175"/>
      <c r="FB59" s="175"/>
      <c r="FC59" s="175"/>
      <c r="FD59" s="175"/>
      <c r="FE59" s="175"/>
      <c r="FF59" s="175"/>
      <c r="FG59" s="37"/>
      <c r="FH59" s="165"/>
      <c r="FI59" s="165"/>
      <c r="FJ59" s="165"/>
      <c r="FK59" s="7"/>
    </row>
    <row r="60" spans="1:167" ht="15.75" customHeight="1">
      <c r="A60" s="2"/>
      <c r="B60" s="3">
        <f t="shared" ref="B60:B109" si="40">IF(ISTEXT(D60),1,0)</f>
        <v>1</v>
      </c>
      <c r="C60" s="182">
        <f t="shared" ref="C60:C109" si="41">ROW(D1)</f>
        <v>1</v>
      </c>
      <c r="D60" s="185" t="s">
        <v>173</v>
      </c>
      <c r="E60" s="178"/>
      <c r="F60" s="177">
        <v>16</v>
      </c>
      <c r="G60" s="628">
        <v>45915</v>
      </c>
      <c r="H60" s="629"/>
      <c r="I60" s="96">
        <v>0</v>
      </c>
      <c r="J60" s="97">
        <v>0</v>
      </c>
      <c r="K60" s="97">
        <v>0</v>
      </c>
      <c r="L60" s="97">
        <v>0</v>
      </c>
      <c r="M60" s="97">
        <v>0</v>
      </c>
      <c r="N60" s="97">
        <v>0</v>
      </c>
      <c r="O60" s="97">
        <v>0</v>
      </c>
      <c r="P60" s="97">
        <v>0</v>
      </c>
      <c r="Q60" s="97">
        <v>0</v>
      </c>
      <c r="R60" s="98">
        <v>0</v>
      </c>
      <c r="S60" s="115">
        <v>1</v>
      </c>
      <c r="T60" s="116">
        <v>1</v>
      </c>
      <c r="U60" s="116">
        <v>1</v>
      </c>
      <c r="V60" s="116">
        <v>1</v>
      </c>
      <c r="W60" s="116">
        <v>1</v>
      </c>
      <c r="X60" s="116">
        <v>1</v>
      </c>
      <c r="Y60" s="116">
        <v>1</v>
      </c>
      <c r="Z60" s="116">
        <v>1</v>
      </c>
      <c r="AA60" s="116">
        <v>0</v>
      </c>
      <c r="AB60" s="117">
        <v>0</v>
      </c>
      <c r="AC60" s="88">
        <v>1</v>
      </c>
      <c r="AD60" s="89">
        <v>1</v>
      </c>
      <c r="AE60" s="89">
        <v>1</v>
      </c>
      <c r="AF60" s="89">
        <v>1</v>
      </c>
      <c r="AG60" s="592"/>
      <c r="AH60" s="593"/>
      <c r="AI60" s="89">
        <v>1</v>
      </c>
      <c r="AJ60" s="89">
        <v>1</v>
      </c>
      <c r="AK60" s="89">
        <v>1</v>
      </c>
      <c r="AL60" s="122">
        <v>1</v>
      </c>
      <c r="AM60" s="107">
        <v>1</v>
      </c>
      <c r="AN60" s="108">
        <v>1</v>
      </c>
      <c r="AO60" s="108">
        <v>1</v>
      </c>
      <c r="AP60" s="108">
        <v>1</v>
      </c>
      <c r="AQ60" s="108">
        <v>1</v>
      </c>
      <c r="AR60" s="108">
        <v>1</v>
      </c>
      <c r="AS60" s="108">
        <v>1</v>
      </c>
      <c r="AT60" s="108">
        <v>1</v>
      </c>
      <c r="AU60" s="108">
        <v>1</v>
      </c>
      <c r="AV60" s="131">
        <v>1</v>
      </c>
      <c r="AW60" s="126">
        <v>1</v>
      </c>
      <c r="AX60" s="127">
        <v>1</v>
      </c>
      <c r="AY60" s="127">
        <v>1</v>
      </c>
      <c r="AZ60" s="127">
        <v>1</v>
      </c>
      <c r="BA60" s="127">
        <v>1</v>
      </c>
      <c r="BB60" s="127">
        <v>1</v>
      </c>
      <c r="BC60" s="127">
        <v>0</v>
      </c>
      <c r="BD60" s="127">
        <v>0</v>
      </c>
      <c r="BE60" s="127">
        <v>0</v>
      </c>
      <c r="BF60" s="137">
        <v>0</v>
      </c>
      <c r="BG60" s="96">
        <v>0</v>
      </c>
      <c r="BH60" s="97">
        <v>0</v>
      </c>
      <c r="BI60" s="97">
        <v>1</v>
      </c>
      <c r="BJ60" s="97">
        <v>1</v>
      </c>
      <c r="BK60" s="97">
        <v>1</v>
      </c>
      <c r="BL60" s="97">
        <v>1</v>
      </c>
      <c r="BM60" s="100">
        <v>1</v>
      </c>
      <c r="BN60" s="100">
        <v>1</v>
      </c>
      <c r="BO60" s="100">
        <v>1</v>
      </c>
      <c r="BP60" s="101">
        <v>1</v>
      </c>
      <c r="BQ60" s="119">
        <v>1</v>
      </c>
      <c r="BR60" s="118">
        <v>1</v>
      </c>
      <c r="BS60" s="118">
        <v>1</v>
      </c>
      <c r="BT60" s="118">
        <v>1</v>
      </c>
      <c r="BU60" s="118">
        <v>1</v>
      </c>
      <c r="BV60" s="118">
        <v>1</v>
      </c>
      <c r="BW60" s="118">
        <v>1</v>
      </c>
      <c r="BX60" s="118">
        <v>1</v>
      </c>
      <c r="BY60" s="118">
        <v>1</v>
      </c>
      <c r="BZ60" s="120">
        <v>1</v>
      </c>
      <c r="CA60" s="537"/>
      <c r="CB60" s="538"/>
      <c r="CC60" s="538"/>
      <c r="CD60" s="538"/>
      <c r="CE60" s="538"/>
      <c r="CF60" s="538"/>
      <c r="CG60" s="538"/>
      <c r="CH60" s="538"/>
      <c r="CI60" s="538"/>
      <c r="CJ60" s="539"/>
      <c r="CK60" s="110">
        <v>1</v>
      </c>
      <c r="CL60" s="109">
        <v>1</v>
      </c>
      <c r="CM60" s="109">
        <v>1</v>
      </c>
      <c r="CN60" s="109">
        <v>1</v>
      </c>
      <c r="CO60" s="109">
        <v>1</v>
      </c>
      <c r="CP60" s="109">
        <v>1</v>
      </c>
      <c r="CQ60" s="109">
        <v>0</v>
      </c>
      <c r="CR60" s="109">
        <v>0</v>
      </c>
      <c r="CS60" s="109">
        <v>1</v>
      </c>
      <c r="CT60" s="111">
        <v>1</v>
      </c>
      <c r="CU60" s="128">
        <v>1</v>
      </c>
      <c r="CV60" s="129">
        <v>1</v>
      </c>
      <c r="CW60" s="129">
        <v>1</v>
      </c>
      <c r="CX60" s="129">
        <v>1</v>
      </c>
      <c r="CY60" s="129">
        <v>1</v>
      </c>
      <c r="CZ60" s="129">
        <v>1</v>
      </c>
      <c r="DA60" s="129">
        <v>1</v>
      </c>
      <c r="DB60" s="129">
        <v>1</v>
      </c>
      <c r="DC60" s="129">
        <v>1</v>
      </c>
      <c r="DD60" s="138">
        <v>1</v>
      </c>
      <c r="DE60" s="156">
        <v>1</v>
      </c>
      <c r="DF60" s="157">
        <v>1</v>
      </c>
      <c r="DG60" s="157">
        <v>1</v>
      </c>
      <c r="DH60" s="157">
        <v>1</v>
      </c>
      <c r="DI60" s="157">
        <v>1</v>
      </c>
      <c r="DJ60" s="157">
        <v>1</v>
      </c>
      <c r="DK60" s="157">
        <v>1</v>
      </c>
      <c r="DL60" s="157">
        <v>1</v>
      </c>
      <c r="DM60" s="157">
        <v>1</v>
      </c>
      <c r="DN60" s="158">
        <v>1</v>
      </c>
      <c r="DO60" s="119">
        <v>1</v>
      </c>
      <c r="DP60" s="118">
        <v>1</v>
      </c>
      <c r="DQ60" s="118">
        <v>1</v>
      </c>
      <c r="DR60" s="118">
        <v>1</v>
      </c>
      <c r="DS60" s="118">
        <v>1</v>
      </c>
      <c r="DT60" s="118">
        <v>1</v>
      </c>
      <c r="DU60" s="118">
        <v>1</v>
      </c>
      <c r="DV60" s="118">
        <v>1</v>
      </c>
      <c r="DW60" s="118">
        <v>1</v>
      </c>
      <c r="DX60" s="120">
        <v>1</v>
      </c>
      <c r="DY60" s="90">
        <v>1</v>
      </c>
      <c r="DZ60" s="91">
        <v>1</v>
      </c>
      <c r="EA60" s="91">
        <v>1</v>
      </c>
      <c r="EB60" s="91">
        <v>1</v>
      </c>
      <c r="EC60" s="91">
        <v>1</v>
      </c>
      <c r="ED60" s="91">
        <v>1</v>
      </c>
      <c r="EE60" s="91">
        <v>1</v>
      </c>
      <c r="EF60" s="91">
        <v>1</v>
      </c>
      <c r="EG60" s="91">
        <v>1</v>
      </c>
      <c r="EH60" s="92">
        <v>1</v>
      </c>
      <c r="EI60" s="110">
        <v>1</v>
      </c>
      <c r="EJ60" s="109">
        <v>1</v>
      </c>
      <c r="EK60" s="109">
        <v>1</v>
      </c>
      <c r="EL60" s="109">
        <v>1</v>
      </c>
      <c r="EM60" s="109">
        <v>1</v>
      </c>
      <c r="EN60" s="109">
        <v>1</v>
      </c>
      <c r="EO60" s="109">
        <v>1</v>
      </c>
      <c r="EP60" s="109">
        <v>1</v>
      </c>
      <c r="EQ60" s="109">
        <v>1</v>
      </c>
      <c r="ER60" s="132">
        <v>1</v>
      </c>
      <c r="ES60" s="176">
        <f t="shared" ref="ES60:ES109" si="42">SUM(I60:R60)</f>
        <v>0</v>
      </c>
      <c r="ET60" s="176">
        <f t="shared" ref="ET60:ET109" si="43">SUM(S60:AB60)</f>
        <v>8</v>
      </c>
      <c r="EU60" s="176">
        <f t="shared" ref="EU60:EU109" si="44">SUM(AC60:AL60)</f>
        <v>8</v>
      </c>
      <c r="EV60" s="176">
        <f t="shared" ref="EV60:EV109" si="45">SUM(AM60:AV60)</f>
        <v>10</v>
      </c>
      <c r="EW60" s="175">
        <f t="shared" si="20"/>
        <v>8</v>
      </c>
      <c r="EX60" s="175">
        <f t="shared" ref="EX60:EX109" si="46">SUM(BG60:BP60)</f>
        <v>8</v>
      </c>
      <c r="EY60" s="175">
        <f t="shared" ref="EY60:EY109" si="47">SUM(BQ60:BZ60)</f>
        <v>10</v>
      </c>
      <c r="EZ60" s="176">
        <f t="shared" ref="EZ60:EZ109" si="48">SUM(CA60:CJ60)</f>
        <v>0</v>
      </c>
      <c r="FA60" s="175">
        <f t="shared" ref="FA60:FA109" si="49">SUM(CK60:CT60)</f>
        <v>8</v>
      </c>
      <c r="FB60" s="175">
        <f t="shared" ref="FB60:FB109" si="50">SUM(CU60:DD60)</f>
        <v>10</v>
      </c>
      <c r="FC60" s="175">
        <f t="shared" ref="FC60:FC109" si="51">SUM(DE60:DN60)</f>
        <v>10</v>
      </c>
      <c r="FD60" s="175">
        <f t="shared" ref="FD60:FD109" si="52">SUM(DO60:DX60)</f>
        <v>10</v>
      </c>
      <c r="FE60" s="175">
        <f t="shared" ref="FE60:FE109" si="53">SUM(DY60:EH60)</f>
        <v>10</v>
      </c>
      <c r="FF60" s="175">
        <f t="shared" si="12"/>
        <v>10</v>
      </c>
      <c r="FG60" s="37">
        <f>ROW(FG30)</f>
        <v>30</v>
      </c>
      <c r="FH60" s="165">
        <f t="shared" ref="FH60:FH110" si="54">SUM(ES60:FF60)</f>
        <v>110</v>
      </c>
      <c r="FI60" s="165">
        <f>SUM(I7:ER7)-SUM(ES60:FF60)</f>
        <v>18</v>
      </c>
      <c r="FJ60" s="165">
        <f t="shared" ref="FJ60:FJ110" si="55">SUM(FH60:FI60)</f>
        <v>128</v>
      </c>
      <c r="FK60" s="7"/>
    </row>
    <row r="61" spans="1:167" ht="15.75" customHeight="1">
      <c r="A61" s="2"/>
      <c r="B61" s="3">
        <f t="shared" si="40"/>
        <v>1</v>
      </c>
      <c r="C61" s="182">
        <f t="shared" si="41"/>
        <v>2</v>
      </c>
      <c r="D61" s="185" t="s">
        <v>174</v>
      </c>
      <c r="E61" s="178"/>
      <c r="F61" s="177">
        <v>17</v>
      </c>
      <c r="G61" s="628">
        <v>45915</v>
      </c>
      <c r="H61" s="629"/>
      <c r="I61" s="96">
        <v>0</v>
      </c>
      <c r="J61" s="97">
        <v>0</v>
      </c>
      <c r="K61" s="97">
        <v>0</v>
      </c>
      <c r="L61" s="97">
        <v>0</v>
      </c>
      <c r="M61" s="97">
        <v>0</v>
      </c>
      <c r="N61" s="97">
        <v>0</v>
      </c>
      <c r="O61" s="97">
        <v>0</v>
      </c>
      <c r="P61" s="97">
        <v>0</v>
      </c>
      <c r="Q61" s="97">
        <v>0</v>
      </c>
      <c r="R61" s="98">
        <v>0</v>
      </c>
      <c r="S61" s="115">
        <v>1</v>
      </c>
      <c r="T61" s="116">
        <v>1</v>
      </c>
      <c r="U61" s="116">
        <v>1</v>
      </c>
      <c r="V61" s="116">
        <v>1</v>
      </c>
      <c r="W61" s="116">
        <v>1</v>
      </c>
      <c r="X61" s="116">
        <v>1</v>
      </c>
      <c r="Y61" s="116">
        <v>1</v>
      </c>
      <c r="Z61" s="116">
        <v>1</v>
      </c>
      <c r="AA61" s="116">
        <v>1</v>
      </c>
      <c r="AB61" s="117">
        <v>1</v>
      </c>
      <c r="AC61" s="88">
        <v>1</v>
      </c>
      <c r="AD61" s="89">
        <v>1</v>
      </c>
      <c r="AE61" s="89">
        <v>0</v>
      </c>
      <c r="AF61" s="89">
        <v>0</v>
      </c>
      <c r="AG61" s="592"/>
      <c r="AH61" s="593"/>
      <c r="AI61" s="89">
        <v>1</v>
      </c>
      <c r="AJ61" s="89">
        <v>1</v>
      </c>
      <c r="AK61" s="89">
        <v>1</v>
      </c>
      <c r="AL61" s="122">
        <v>1</v>
      </c>
      <c r="AM61" s="107">
        <v>1</v>
      </c>
      <c r="AN61" s="108">
        <v>1</v>
      </c>
      <c r="AO61" s="108">
        <v>1</v>
      </c>
      <c r="AP61" s="108">
        <v>1</v>
      </c>
      <c r="AQ61" s="108">
        <v>1</v>
      </c>
      <c r="AR61" s="108">
        <v>1</v>
      </c>
      <c r="AS61" s="108">
        <v>1</v>
      </c>
      <c r="AT61" s="108">
        <v>1</v>
      </c>
      <c r="AU61" s="108">
        <v>1</v>
      </c>
      <c r="AV61" s="131">
        <v>1</v>
      </c>
      <c r="AW61" s="126">
        <v>1</v>
      </c>
      <c r="AX61" s="127">
        <v>1</v>
      </c>
      <c r="AY61" s="127">
        <v>1</v>
      </c>
      <c r="AZ61" s="127">
        <v>1</v>
      </c>
      <c r="BA61" s="127">
        <v>1</v>
      </c>
      <c r="BB61" s="127">
        <v>1</v>
      </c>
      <c r="BC61" s="127">
        <v>1</v>
      </c>
      <c r="BD61" s="127">
        <v>1</v>
      </c>
      <c r="BE61" s="127">
        <v>1</v>
      </c>
      <c r="BF61" s="137">
        <v>1</v>
      </c>
      <c r="BG61" s="96">
        <v>1</v>
      </c>
      <c r="BH61" s="97">
        <v>1</v>
      </c>
      <c r="BI61" s="97">
        <v>1</v>
      </c>
      <c r="BJ61" s="97">
        <v>1</v>
      </c>
      <c r="BK61" s="97">
        <v>1</v>
      </c>
      <c r="BL61" s="97">
        <v>1</v>
      </c>
      <c r="BM61" s="100">
        <v>1</v>
      </c>
      <c r="BN61" s="100">
        <v>1</v>
      </c>
      <c r="BO61" s="100">
        <v>1</v>
      </c>
      <c r="BP61" s="101">
        <v>1</v>
      </c>
      <c r="BQ61" s="119">
        <v>1</v>
      </c>
      <c r="BR61" s="118">
        <v>1</v>
      </c>
      <c r="BS61" s="118">
        <v>1</v>
      </c>
      <c r="BT61" s="118">
        <v>1</v>
      </c>
      <c r="BU61" s="118">
        <v>1</v>
      </c>
      <c r="BV61" s="118">
        <v>1</v>
      </c>
      <c r="BW61" s="118">
        <v>1</v>
      </c>
      <c r="BX61" s="118">
        <v>1</v>
      </c>
      <c r="BY61" s="118">
        <v>1</v>
      </c>
      <c r="BZ61" s="120">
        <v>1</v>
      </c>
      <c r="CA61" s="537"/>
      <c r="CB61" s="538"/>
      <c r="CC61" s="538"/>
      <c r="CD61" s="538"/>
      <c r="CE61" s="538"/>
      <c r="CF61" s="538"/>
      <c r="CG61" s="538"/>
      <c r="CH61" s="538"/>
      <c r="CI61" s="538"/>
      <c r="CJ61" s="539"/>
      <c r="CK61" s="110">
        <v>1</v>
      </c>
      <c r="CL61" s="109">
        <v>1</v>
      </c>
      <c r="CM61" s="109">
        <v>1</v>
      </c>
      <c r="CN61" s="109">
        <v>1</v>
      </c>
      <c r="CO61" s="109">
        <v>1</v>
      </c>
      <c r="CP61" s="109">
        <v>1</v>
      </c>
      <c r="CQ61" s="109">
        <v>1</v>
      </c>
      <c r="CR61" s="109">
        <v>1</v>
      </c>
      <c r="CS61" s="109">
        <v>1</v>
      </c>
      <c r="CT61" s="111">
        <v>1</v>
      </c>
      <c r="CU61" s="128">
        <v>0</v>
      </c>
      <c r="CV61" s="129">
        <v>0</v>
      </c>
      <c r="CW61" s="129">
        <v>1</v>
      </c>
      <c r="CX61" s="129">
        <v>1</v>
      </c>
      <c r="CY61" s="129">
        <v>1</v>
      </c>
      <c r="CZ61" s="129">
        <v>1</v>
      </c>
      <c r="DA61" s="129">
        <v>1</v>
      </c>
      <c r="DB61" s="129">
        <v>1</v>
      </c>
      <c r="DC61" s="129">
        <v>1</v>
      </c>
      <c r="DD61" s="138">
        <v>1</v>
      </c>
      <c r="DE61" s="156">
        <v>1</v>
      </c>
      <c r="DF61" s="157">
        <v>1</v>
      </c>
      <c r="DG61" s="157">
        <v>1</v>
      </c>
      <c r="DH61" s="157">
        <v>1</v>
      </c>
      <c r="DI61" s="157">
        <v>1</v>
      </c>
      <c r="DJ61" s="157">
        <v>1</v>
      </c>
      <c r="DK61" s="157">
        <v>1</v>
      </c>
      <c r="DL61" s="157">
        <v>1</v>
      </c>
      <c r="DM61" s="157">
        <v>0</v>
      </c>
      <c r="DN61" s="158">
        <v>0</v>
      </c>
      <c r="DO61" s="119">
        <v>1</v>
      </c>
      <c r="DP61" s="118">
        <v>1</v>
      </c>
      <c r="DQ61" s="118">
        <v>1</v>
      </c>
      <c r="DR61" s="118">
        <v>1</v>
      </c>
      <c r="DS61" s="118">
        <v>1</v>
      </c>
      <c r="DT61" s="118">
        <v>1</v>
      </c>
      <c r="DU61" s="118">
        <v>1</v>
      </c>
      <c r="DV61" s="118">
        <v>1</v>
      </c>
      <c r="DW61" s="118">
        <v>1</v>
      </c>
      <c r="DX61" s="120">
        <v>1</v>
      </c>
      <c r="DY61" s="90">
        <v>1</v>
      </c>
      <c r="DZ61" s="91">
        <v>1</v>
      </c>
      <c r="EA61" s="91">
        <v>1</v>
      </c>
      <c r="EB61" s="91">
        <v>1</v>
      </c>
      <c r="EC61" s="91">
        <v>1</v>
      </c>
      <c r="ED61" s="91">
        <v>1</v>
      </c>
      <c r="EE61" s="91">
        <v>1</v>
      </c>
      <c r="EF61" s="91">
        <v>1</v>
      </c>
      <c r="EG61" s="91">
        <v>1</v>
      </c>
      <c r="EH61" s="92">
        <v>1</v>
      </c>
      <c r="EI61" s="110">
        <v>1</v>
      </c>
      <c r="EJ61" s="109">
        <v>1</v>
      </c>
      <c r="EK61" s="109">
        <v>1</v>
      </c>
      <c r="EL61" s="109">
        <v>1</v>
      </c>
      <c r="EM61" s="109">
        <v>1</v>
      </c>
      <c r="EN61" s="109">
        <v>1</v>
      </c>
      <c r="EO61" s="109">
        <v>1</v>
      </c>
      <c r="EP61" s="109">
        <v>1</v>
      </c>
      <c r="EQ61" s="109">
        <v>1</v>
      </c>
      <c r="ER61" s="132">
        <v>1</v>
      </c>
      <c r="ES61" s="176">
        <f t="shared" si="42"/>
        <v>0</v>
      </c>
      <c r="ET61" s="176">
        <f t="shared" si="43"/>
        <v>10</v>
      </c>
      <c r="EU61" s="176">
        <f t="shared" si="44"/>
        <v>6</v>
      </c>
      <c r="EV61" s="175">
        <f t="shared" si="45"/>
        <v>10</v>
      </c>
      <c r="EW61" s="175">
        <f t="shared" si="20"/>
        <v>10</v>
      </c>
      <c r="EX61" s="175">
        <f t="shared" si="46"/>
        <v>10</v>
      </c>
      <c r="EY61" s="175">
        <f t="shared" si="47"/>
        <v>10</v>
      </c>
      <c r="EZ61" s="176">
        <f t="shared" si="48"/>
        <v>0</v>
      </c>
      <c r="FA61" s="175">
        <f t="shared" si="49"/>
        <v>10</v>
      </c>
      <c r="FB61" s="175">
        <f t="shared" si="50"/>
        <v>8</v>
      </c>
      <c r="FC61" s="175">
        <f t="shared" si="51"/>
        <v>8</v>
      </c>
      <c r="FD61" s="175">
        <f t="shared" si="52"/>
        <v>10</v>
      </c>
      <c r="FE61" s="175">
        <f t="shared" si="53"/>
        <v>10</v>
      </c>
      <c r="FF61" s="175">
        <f t="shared" si="12"/>
        <v>10</v>
      </c>
      <c r="FG61" s="37">
        <f t="shared" ref="FG61:FG109" si="56">ROW(FG59)</f>
        <v>59</v>
      </c>
      <c r="FH61" s="165">
        <f t="shared" si="54"/>
        <v>112</v>
      </c>
      <c r="FI61" s="165">
        <f>SUM(I7:ER7)-SUM(ES61:FF61)</f>
        <v>16</v>
      </c>
      <c r="FJ61" s="165">
        <f t="shared" si="55"/>
        <v>128</v>
      </c>
      <c r="FK61" s="7"/>
    </row>
    <row r="62" spans="1:167" ht="15.75" customHeight="1">
      <c r="A62" s="2"/>
      <c r="B62" s="3">
        <f t="shared" si="40"/>
        <v>1</v>
      </c>
      <c r="C62" s="182">
        <f t="shared" si="41"/>
        <v>3</v>
      </c>
      <c r="D62" s="185" t="s">
        <v>175</v>
      </c>
      <c r="E62" s="178"/>
      <c r="F62" s="177">
        <v>20</v>
      </c>
      <c r="G62" s="628">
        <v>45915</v>
      </c>
      <c r="H62" s="629"/>
      <c r="I62" s="96">
        <v>1</v>
      </c>
      <c r="J62" s="97">
        <v>1</v>
      </c>
      <c r="K62" s="97">
        <v>1</v>
      </c>
      <c r="L62" s="97">
        <v>1</v>
      </c>
      <c r="M62" s="97">
        <v>1</v>
      </c>
      <c r="N62" s="97">
        <v>1</v>
      </c>
      <c r="O62" s="97">
        <v>1</v>
      </c>
      <c r="P62" s="97">
        <v>1</v>
      </c>
      <c r="Q62" s="97">
        <v>1</v>
      </c>
      <c r="R62" s="98">
        <v>1</v>
      </c>
      <c r="S62" s="115">
        <v>1</v>
      </c>
      <c r="T62" s="116">
        <v>1</v>
      </c>
      <c r="U62" s="116">
        <v>1</v>
      </c>
      <c r="V62" s="116">
        <v>1</v>
      </c>
      <c r="W62" s="116">
        <v>1</v>
      </c>
      <c r="X62" s="116">
        <v>1</v>
      </c>
      <c r="Y62" s="116">
        <v>1</v>
      </c>
      <c r="Z62" s="116">
        <v>1</v>
      </c>
      <c r="AA62" s="116">
        <v>1</v>
      </c>
      <c r="AB62" s="117">
        <v>1</v>
      </c>
      <c r="AC62" s="88">
        <v>1</v>
      </c>
      <c r="AD62" s="89">
        <v>1</v>
      </c>
      <c r="AE62" s="89">
        <v>1</v>
      </c>
      <c r="AF62" s="89">
        <v>1</v>
      </c>
      <c r="AG62" s="592"/>
      <c r="AH62" s="593"/>
      <c r="AI62" s="89">
        <v>1</v>
      </c>
      <c r="AJ62" s="89">
        <v>1</v>
      </c>
      <c r="AK62" s="89">
        <v>1</v>
      </c>
      <c r="AL62" s="122">
        <v>1</v>
      </c>
      <c r="AM62" s="107">
        <v>1</v>
      </c>
      <c r="AN62" s="108">
        <v>1</v>
      </c>
      <c r="AO62" s="108">
        <v>0</v>
      </c>
      <c r="AP62" s="108">
        <v>0</v>
      </c>
      <c r="AQ62" s="108">
        <v>1</v>
      </c>
      <c r="AR62" s="108">
        <v>1</v>
      </c>
      <c r="AS62" s="108">
        <v>1</v>
      </c>
      <c r="AT62" s="108">
        <v>1</v>
      </c>
      <c r="AU62" s="108">
        <v>1</v>
      </c>
      <c r="AV62" s="131">
        <v>1</v>
      </c>
      <c r="AW62" s="126">
        <v>1</v>
      </c>
      <c r="AX62" s="127">
        <v>1</v>
      </c>
      <c r="AY62" s="127">
        <v>1</v>
      </c>
      <c r="AZ62" s="127">
        <v>1</v>
      </c>
      <c r="BA62" s="127">
        <v>1</v>
      </c>
      <c r="BB62" s="127">
        <v>1</v>
      </c>
      <c r="BC62" s="127">
        <v>1</v>
      </c>
      <c r="BD62" s="127">
        <v>1</v>
      </c>
      <c r="BE62" s="127">
        <v>1</v>
      </c>
      <c r="BF62" s="137">
        <v>1</v>
      </c>
      <c r="BG62" s="96">
        <v>1</v>
      </c>
      <c r="BH62" s="97">
        <v>1</v>
      </c>
      <c r="BI62" s="97">
        <v>1</v>
      </c>
      <c r="BJ62" s="97">
        <v>1</v>
      </c>
      <c r="BK62" s="97">
        <v>1</v>
      </c>
      <c r="BL62" s="97">
        <v>1</v>
      </c>
      <c r="BM62" s="100">
        <v>1</v>
      </c>
      <c r="BN62" s="100">
        <v>1</v>
      </c>
      <c r="BO62" s="100">
        <v>1</v>
      </c>
      <c r="BP62" s="101">
        <v>1</v>
      </c>
      <c r="BQ62" s="119">
        <v>1</v>
      </c>
      <c r="BR62" s="118">
        <v>1</v>
      </c>
      <c r="BS62" s="118">
        <v>1</v>
      </c>
      <c r="BT62" s="118">
        <v>1</v>
      </c>
      <c r="BU62" s="118">
        <v>1</v>
      </c>
      <c r="BV62" s="118">
        <v>1</v>
      </c>
      <c r="BW62" s="118">
        <v>1</v>
      </c>
      <c r="BX62" s="118">
        <v>1</v>
      </c>
      <c r="BY62" s="118">
        <v>1</v>
      </c>
      <c r="BZ62" s="120">
        <v>1</v>
      </c>
      <c r="CA62" s="537"/>
      <c r="CB62" s="538"/>
      <c r="CC62" s="538"/>
      <c r="CD62" s="538"/>
      <c r="CE62" s="538"/>
      <c r="CF62" s="538"/>
      <c r="CG62" s="538"/>
      <c r="CH62" s="538"/>
      <c r="CI62" s="538"/>
      <c r="CJ62" s="539"/>
      <c r="CK62" s="110">
        <v>1</v>
      </c>
      <c r="CL62" s="109">
        <v>1</v>
      </c>
      <c r="CM62" s="109">
        <v>1</v>
      </c>
      <c r="CN62" s="109">
        <v>1</v>
      </c>
      <c r="CO62" s="109">
        <v>1</v>
      </c>
      <c r="CP62" s="109">
        <v>1</v>
      </c>
      <c r="CQ62" s="109">
        <v>1</v>
      </c>
      <c r="CR62" s="109">
        <v>1</v>
      </c>
      <c r="CS62" s="109">
        <v>1</v>
      </c>
      <c r="CT62" s="111">
        <v>1</v>
      </c>
      <c r="CU62" s="128">
        <v>1</v>
      </c>
      <c r="CV62" s="129">
        <v>1</v>
      </c>
      <c r="CW62" s="129">
        <v>1</v>
      </c>
      <c r="CX62" s="129">
        <v>1</v>
      </c>
      <c r="CY62" s="129">
        <v>1</v>
      </c>
      <c r="CZ62" s="129">
        <v>1</v>
      </c>
      <c r="DA62" s="129">
        <v>1</v>
      </c>
      <c r="DB62" s="129">
        <v>1</v>
      </c>
      <c r="DC62" s="129">
        <v>1</v>
      </c>
      <c r="DD62" s="138">
        <v>1</v>
      </c>
      <c r="DE62" s="156">
        <v>1</v>
      </c>
      <c r="DF62" s="157">
        <v>1</v>
      </c>
      <c r="DG62" s="157">
        <v>1</v>
      </c>
      <c r="DH62" s="157">
        <v>1</v>
      </c>
      <c r="DI62" s="157">
        <v>1</v>
      </c>
      <c r="DJ62" s="157">
        <v>1</v>
      </c>
      <c r="DK62" s="157">
        <v>1</v>
      </c>
      <c r="DL62" s="157">
        <v>1</v>
      </c>
      <c r="DM62" s="157">
        <v>1</v>
      </c>
      <c r="DN62" s="158">
        <v>1</v>
      </c>
      <c r="DO62" s="119">
        <v>1</v>
      </c>
      <c r="DP62" s="118">
        <v>1</v>
      </c>
      <c r="DQ62" s="118">
        <v>1</v>
      </c>
      <c r="DR62" s="118">
        <v>1</v>
      </c>
      <c r="DS62" s="118">
        <v>1</v>
      </c>
      <c r="DT62" s="118">
        <v>1</v>
      </c>
      <c r="DU62" s="118">
        <v>1</v>
      </c>
      <c r="DV62" s="118">
        <v>1</v>
      </c>
      <c r="DW62" s="118">
        <v>1</v>
      </c>
      <c r="DX62" s="120">
        <v>1</v>
      </c>
      <c r="DY62" s="90">
        <v>1</v>
      </c>
      <c r="DZ62" s="91">
        <v>1</v>
      </c>
      <c r="EA62" s="91">
        <v>1</v>
      </c>
      <c r="EB62" s="91">
        <v>1</v>
      </c>
      <c r="EC62" s="91">
        <v>1</v>
      </c>
      <c r="ED62" s="91">
        <v>1</v>
      </c>
      <c r="EE62" s="91">
        <v>1</v>
      </c>
      <c r="EF62" s="91">
        <v>1</v>
      </c>
      <c r="EG62" s="91">
        <v>1</v>
      </c>
      <c r="EH62" s="92">
        <v>1</v>
      </c>
      <c r="EI62" s="110">
        <v>1</v>
      </c>
      <c r="EJ62" s="109">
        <v>1</v>
      </c>
      <c r="EK62" s="109">
        <v>1</v>
      </c>
      <c r="EL62" s="109">
        <v>1</v>
      </c>
      <c r="EM62" s="109">
        <v>1</v>
      </c>
      <c r="EN62" s="109">
        <v>1</v>
      </c>
      <c r="EO62" s="109">
        <v>1</v>
      </c>
      <c r="EP62" s="109">
        <v>1</v>
      </c>
      <c r="EQ62" s="109">
        <v>1</v>
      </c>
      <c r="ER62" s="132">
        <v>1</v>
      </c>
      <c r="ES62" s="176">
        <f t="shared" si="42"/>
        <v>10</v>
      </c>
      <c r="ET62" s="176">
        <f t="shared" si="43"/>
        <v>10</v>
      </c>
      <c r="EU62" s="176">
        <f t="shared" si="44"/>
        <v>8</v>
      </c>
      <c r="EV62" s="175">
        <f t="shared" si="45"/>
        <v>8</v>
      </c>
      <c r="EW62" s="175">
        <f t="shared" si="20"/>
        <v>10</v>
      </c>
      <c r="EX62" s="175">
        <f t="shared" si="46"/>
        <v>10</v>
      </c>
      <c r="EY62" s="175">
        <f t="shared" si="47"/>
        <v>10</v>
      </c>
      <c r="EZ62" s="176">
        <f t="shared" si="48"/>
        <v>0</v>
      </c>
      <c r="FA62" s="175">
        <f t="shared" si="49"/>
        <v>10</v>
      </c>
      <c r="FB62" s="175">
        <f t="shared" si="50"/>
        <v>10</v>
      </c>
      <c r="FC62" s="175">
        <f t="shared" si="51"/>
        <v>10</v>
      </c>
      <c r="FD62" s="175">
        <f t="shared" si="52"/>
        <v>10</v>
      </c>
      <c r="FE62" s="175">
        <f t="shared" si="53"/>
        <v>10</v>
      </c>
      <c r="FF62" s="175">
        <f t="shared" si="12"/>
        <v>10</v>
      </c>
      <c r="FG62" s="37">
        <f t="shared" si="56"/>
        <v>60</v>
      </c>
      <c r="FH62" s="165">
        <f t="shared" si="54"/>
        <v>126</v>
      </c>
      <c r="FI62" s="165">
        <f>SUM(I7:ER7)-SUM(ES62:FF62)</f>
        <v>2</v>
      </c>
      <c r="FJ62" s="165">
        <f t="shared" si="55"/>
        <v>128</v>
      </c>
      <c r="FK62" s="7"/>
    </row>
    <row r="63" spans="1:167" ht="15.75" customHeight="1">
      <c r="A63" s="2"/>
      <c r="B63" s="3">
        <f t="shared" si="40"/>
        <v>1</v>
      </c>
      <c r="C63" s="182">
        <f t="shared" si="41"/>
        <v>4</v>
      </c>
      <c r="D63" s="185" t="s">
        <v>176</v>
      </c>
      <c r="E63" s="178"/>
      <c r="F63" s="177">
        <v>16</v>
      </c>
      <c r="G63" s="628">
        <v>45915</v>
      </c>
      <c r="H63" s="629"/>
      <c r="I63" s="96">
        <v>0</v>
      </c>
      <c r="J63" s="97">
        <v>0</v>
      </c>
      <c r="K63" s="97">
        <v>1</v>
      </c>
      <c r="L63" s="97">
        <v>1</v>
      </c>
      <c r="M63" s="97">
        <v>1</v>
      </c>
      <c r="N63" s="97">
        <v>1</v>
      </c>
      <c r="O63" s="97">
        <v>1</v>
      </c>
      <c r="P63" s="97">
        <v>1</v>
      </c>
      <c r="Q63" s="97">
        <v>1</v>
      </c>
      <c r="R63" s="98">
        <v>1</v>
      </c>
      <c r="S63" s="115">
        <v>1</v>
      </c>
      <c r="T63" s="116">
        <v>1</v>
      </c>
      <c r="U63" s="116">
        <v>1</v>
      </c>
      <c r="V63" s="116">
        <v>1</v>
      </c>
      <c r="W63" s="116">
        <v>1</v>
      </c>
      <c r="X63" s="116">
        <v>1</v>
      </c>
      <c r="Y63" s="116">
        <v>1</v>
      </c>
      <c r="Z63" s="116">
        <v>1</v>
      </c>
      <c r="AA63" s="116">
        <v>1</v>
      </c>
      <c r="AB63" s="117">
        <v>1</v>
      </c>
      <c r="AC63" s="88">
        <v>1</v>
      </c>
      <c r="AD63" s="89">
        <v>1</v>
      </c>
      <c r="AE63" s="89">
        <v>1</v>
      </c>
      <c r="AF63" s="89">
        <v>1</v>
      </c>
      <c r="AG63" s="592"/>
      <c r="AH63" s="593"/>
      <c r="AI63" s="89">
        <v>1</v>
      </c>
      <c r="AJ63" s="89">
        <v>1</v>
      </c>
      <c r="AK63" s="89">
        <v>1</v>
      </c>
      <c r="AL63" s="122">
        <v>1</v>
      </c>
      <c r="AM63" s="107">
        <v>1</v>
      </c>
      <c r="AN63" s="108">
        <v>1</v>
      </c>
      <c r="AO63" s="108">
        <v>1</v>
      </c>
      <c r="AP63" s="108">
        <v>1</v>
      </c>
      <c r="AQ63" s="108">
        <v>1</v>
      </c>
      <c r="AR63" s="108">
        <v>1</v>
      </c>
      <c r="AS63" s="108">
        <v>1</v>
      </c>
      <c r="AT63" s="108">
        <v>1</v>
      </c>
      <c r="AU63" s="108">
        <v>0</v>
      </c>
      <c r="AV63" s="131">
        <v>0</v>
      </c>
      <c r="AW63" s="126">
        <v>1</v>
      </c>
      <c r="AX63" s="127">
        <v>1</v>
      </c>
      <c r="AY63" s="127">
        <v>1</v>
      </c>
      <c r="AZ63" s="127">
        <v>1</v>
      </c>
      <c r="BA63" s="127">
        <v>1</v>
      </c>
      <c r="BB63" s="127">
        <v>1</v>
      </c>
      <c r="BC63" s="127">
        <v>1</v>
      </c>
      <c r="BD63" s="127">
        <v>1</v>
      </c>
      <c r="BE63" s="127">
        <v>1</v>
      </c>
      <c r="BF63" s="137">
        <v>1</v>
      </c>
      <c r="BG63" s="96">
        <v>1</v>
      </c>
      <c r="BH63" s="97">
        <v>1</v>
      </c>
      <c r="BI63" s="97">
        <v>1</v>
      </c>
      <c r="BJ63" s="97">
        <v>1</v>
      </c>
      <c r="BK63" s="97">
        <v>1</v>
      </c>
      <c r="BL63" s="97">
        <v>1</v>
      </c>
      <c r="BM63" s="100">
        <v>1</v>
      </c>
      <c r="BN63" s="100">
        <v>1</v>
      </c>
      <c r="BO63" s="100">
        <v>1</v>
      </c>
      <c r="BP63" s="101">
        <v>1</v>
      </c>
      <c r="BQ63" s="119">
        <v>1</v>
      </c>
      <c r="BR63" s="118">
        <v>1</v>
      </c>
      <c r="BS63" s="118">
        <v>1</v>
      </c>
      <c r="BT63" s="118">
        <v>1</v>
      </c>
      <c r="BU63" s="118">
        <v>1</v>
      </c>
      <c r="BV63" s="118">
        <v>1</v>
      </c>
      <c r="BW63" s="118">
        <v>1</v>
      </c>
      <c r="BX63" s="118">
        <v>1</v>
      </c>
      <c r="BY63" s="118">
        <v>1</v>
      </c>
      <c r="BZ63" s="120">
        <v>1</v>
      </c>
      <c r="CA63" s="537"/>
      <c r="CB63" s="538"/>
      <c r="CC63" s="538"/>
      <c r="CD63" s="538"/>
      <c r="CE63" s="538"/>
      <c r="CF63" s="538"/>
      <c r="CG63" s="538"/>
      <c r="CH63" s="538"/>
      <c r="CI63" s="538"/>
      <c r="CJ63" s="539"/>
      <c r="CK63" s="110">
        <v>1</v>
      </c>
      <c r="CL63" s="109">
        <v>1</v>
      </c>
      <c r="CM63" s="109">
        <v>1</v>
      </c>
      <c r="CN63" s="109">
        <v>1</v>
      </c>
      <c r="CO63" s="109">
        <v>1</v>
      </c>
      <c r="CP63" s="109">
        <v>1</v>
      </c>
      <c r="CQ63" s="109">
        <v>1</v>
      </c>
      <c r="CR63" s="109">
        <v>1</v>
      </c>
      <c r="CS63" s="109">
        <v>1</v>
      </c>
      <c r="CT63" s="111">
        <v>1</v>
      </c>
      <c r="CU63" s="128">
        <v>1</v>
      </c>
      <c r="CV63" s="129">
        <v>1</v>
      </c>
      <c r="CW63" s="129">
        <v>1</v>
      </c>
      <c r="CX63" s="129">
        <v>1</v>
      </c>
      <c r="CY63" s="129">
        <v>1</v>
      </c>
      <c r="CZ63" s="129">
        <v>1</v>
      </c>
      <c r="DA63" s="129">
        <v>1</v>
      </c>
      <c r="DB63" s="129">
        <v>1</v>
      </c>
      <c r="DC63" s="129">
        <v>1</v>
      </c>
      <c r="DD63" s="138">
        <v>1</v>
      </c>
      <c r="DE63" s="156">
        <v>1</v>
      </c>
      <c r="DF63" s="157">
        <v>1</v>
      </c>
      <c r="DG63" s="157">
        <v>1</v>
      </c>
      <c r="DH63" s="157">
        <v>1</v>
      </c>
      <c r="DI63" s="157">
        <v>1</v>
      </c>
      <c r="DJ63" s="157">
        <v>1</v>
      </c>
      <c r="DK63" s="157">
        <v>1</v>
      </c>
      <c r="DL63" s="157">
        <v>1</v>
      </c>
      <c r="DM63" s="157">
        <v>1</v>
      </c>
      <c r="DN63" s="158">
        <v>1</v>
      </c>
      <c r="DO63" s="119">
        <v>1</v>
      </c>
      <c r="DP63" s="118">
        <v>1</v>
      </c>
      <c r="DQ63" s="118">
        <v>1</v>
      </c>
      <c r="DR63" s="118">
        <v>1</v>
      </c>
      <c r="DS63" s="118">
        <v>1</v>
      </c>
      <c r="DT63" s="118">
        <v>1</v>
      </c>
      <c r="DU63" s="118">
        <v>1</v>
      </c>
      <c r="DV63" s="118">
        <v>1</v>
      </c>
      <c r="DW63" s="118">
        <v>1</v>
      </c>
      <c r="DX63" s="120">
        <v>1</v>
      </c>
      <c r="DY63" s="90">
        <v>1</v>
      </c>
      <c r="DZ63" s="91">
        <v>1</v>
      </c>
      <c r="EA63" s="91">
        <v>1</v>
      </c>
      <c r="EB63" s="91">
        <v>1</v>
      </c>
      <c r="EC63" s="91">
        <v>1</v>
      </c>
      <c r="ED63" s="91">
        <v>1</v>
      </c>
      <c r="EE63" s="91">
        <v>1</v>
      </c>
      <c r="EF63" s="91">
        <v>1</v>
      </c>
      <c r="EG63" s="91">
        <v>1</v>
      </c>
      <c r="EH63" s="92">
        <v>1</v>
      </c>
      <c r="EI63" s="110">
        <v>1</v>
      </c>
      <c r="EJ63" s="109">
        <v>1</v>
      </c>
      <c r="EK63" s="109">
        <v>1</v>
      </c>
      <c r="EL63" s="109">
        <v>1</v>
      </c>
      <c r="EM63" s="109">
        <v>1</v>
      </c>
      <c r="EN63" s="109">
        <v>1</v>
      </c>
      <c r="EO63" s="109">
        <v>1</v>
      </c>
      <c r="EP63" s="109">
        <v>1</v>
      </c>
      <c r="EQ63" s="109">
        <v>1</v>
      </c>
      <c r="ER63" s="132">
        <v>1</v>
      </c>
      <c r="ES63" s="176">
        <f t="shared" si="42"/>
        <v>8</v>
      </c>
      <c r="ET63" s="176">
        <f t="shared" si="43"/>
        <v>10</v>
      </c>
      <c r="EU63" s="176">
        <f t="shared" si="44"/>
        <v>8</v>
      </c>
      <c r="EV63" s="175">
        <f t="shared" si="45"/>
        <v>8</v>
      </c>
      <c r="EW63" s="175">
        <f t="shared" si="20"/>
        <v>10</v>
      </c>
      <c r="EX63" s="175">
        <f t="shared" si="46"/>
        <v>10</v>
      </c>
      <c r="EY63" s="175">
        <f t="shared" si="47"/>
        <v>10</v>
      </c>
      <c r="EZ63" s="176">
        <f t="shared" si="48"/>
        <v>0</v>
      </c>
      <c r="FA63" s="175">
        <f t="shared" si="49"/>
        <v>10</v>
      </c>
      <c r="FB63" s="175">
        <f t="shared" si="50"/>
        <v>10</v>
      </c>
      <c r="FC63" s="175">
        <f t="shared" si="51"/>
        <v>10</v>
      </c>
      <c r="FD63" s="175">
        <f t="shared" si="52"/>
        <v>10</v>
      </c>
      <c r="FE63" s="175">
        <f t="shared" si="53"/>
        <v>10</v>
      </c>
      <c r="FF63" s="175">
        <f t="shared" si="12"/>
        <v>10</v>
      </c>
      <c r="FG63" s="37">
        <f t="shared" si="56"/>
        <v>61</v>
      </c>
      <c r="FH63" s="165">
        <f t="shared" si="54"/>
        <v>124</v>
      </c>
      <c r="FI63" s="165">
        <f>SUM(I7:ER7)-SUM(ES63:FF63)</f>
        <v>4</v>
      </c>
      <c r="FJ63" s="165">
        <f t="shared" si="55"/>
        <v>128</v>
      </c>
      <c r="FK63" s="7"/>
    </row>
    <row r="64" spans="1:167" ht="15.75" customHeight="1">
      <c r="A64" s="2"/>
      <c r="B64" s="3">
        <f t="shared" si="40"/>
        <v>1</v>
      </c>
      <c r="C64" s="182">
        <f t="shared" si="41"/>
        <v>5</v>
      </c>
      <c r="D64" s="185" t="s">
        <v>200</v>
      </c>
      <c r="E64" s="178"/>
      <c r="F64" s="177">
        <v>16</v>
      </c>
      <c r="G64" s="628">
        <v>45915</v>
      </c>
      <c r="H64" s="629"/>
      <c r="I64" s="96">
        <v>1</v>
      </c>
      <c r="J64" s="97">
        <v>1</v>
      </c>
      <c r="K64" s="97">
        <v>1</v>
      </c>
      <c r="L64" s="97">
        <v>1</v>
      </c>
      <c r="M64" s="97">
        <v>1</v>
      </c>
      <c r="N64" s="97">
        <v>1</v>
      </c>
      <c r="O64" s="97">
        <v>1</v>
      </c>
      <c r="P64" s="97">
        <v>1</v>
      </c>
      <c r="Q64" s="97">
        <v>1</v>
      </c>
      <c r="R64" s="98">
        <v>1</v>
      </c>
      <c r="S64" s="115">
        <v>1</v>
      </c>
      <c r="T64" s="116">
        <v>1</v>
      </c>
      <c r="U64" s="116">
        <v>1</v>
      </c>
      <c r="V64" s="116">
        <v>1</v>
      </c>
      <c r="W64" s="116">
        <v>1</v>
      </c>
      <c r="X64" s="116">
        <v>1</v>
      </c>
      <c r="Y64" s="116">
        <v>1</v>
      </c>
      <c r="Z64" s="116">
        <v>1</v>
      </c>
      <c r="AA64" s="116">
        <v>1</v>
      </c>
      <c r="AB64" s="117">
        <v>1</v>
      </c>
      <c r="AC64" s="88">
        <v>1</v>
      </c>
      <c r="AD64" s="89">
        <v>1</v>
      </c>
      <c r="AE64" s="89">
        <v>1</v>
      </c>
      <c r="AF64" s="89">
        <v>1</v>
      </c>
      <c r="AG64" s="592"/>
      <c r="AH64" s="593"/>
      <c r="AI64" s="89">
        <v>1</v>
      </c>
      <c r="AJ64" s="89">
        <v>1</v>
      </c>
      <c r="AK64" s="89">
        <v>1</v>
      </c>
      <c r="AL64" s="122">
        <v>1</v>
      </c>
      <c r="AM64" s="107">
        <v>1</v>
      </c>
      <c r="AN64" s="108">
        <v>1</v>
      </c>
      <c r="AO64" s="108">
        <v>1</v>
      </c>
      <c r="AP64" s="108">
        <v>1</v>
      </c>
      <c r="AQ64" s="108">
        <v>1</v>
      </c>
      <c r="AR64" s="108">
        <v>1</v>
      </c>
      <c r="AS64" s="108">
        <v>1</v>
      </c>
      <c r="AT64" s="108">
        <v>1</v>
      </c>
      <c r="AU64" s="108">
        <v>1</v>
      </c>
      <c r="AV64" s="131">
        <v>1</v>
      </c>
      <c r="AW64" s="126">
        <v>1</v>
      </c>
      <c r="AX64" s="127">
        <v>1</v>
      </c>
      <c r="AY64" s="127">
        <v>1</v>
      </c>
      <c r="AZ64" s="127">
        <v>1</v>
      </c>
      <c r="BA64" s="127">
        <v>1</v>
      </c>
      <c r="BB64" s="127">
        <v>1</v>
      </c>
      <c r="BC64" s="127">
        <v>1</v>
      </c>
      <c r="BD64" s="127">
        <v>1</v>
      </c>
      <c r="BE64" s="127">
        <v>1</v>
      </c>
      <c r="BF64" s="137">
        <v>1</v>
      </c>
      <c r="BG64" s="96">
        <v>1</v>
      </c>
      <c r="BH64" s="97">
        <v>1</v>
      </c>
      <c r="BI64" s="97">
        <v>1</v>
      </c>
      <c r="BJ64" s="97">
        <v>1</v>
      </c>
      <c r="BK64" s="97">
        <v>1</v>
      </c>
      <c r="BL64" s="97">
        <v>1</v>
      </c>
      <c r="BM64" s="100">
        <v>1</v>
      </c>
      <c r="BN64" s="100">
        <v>1</v>
      </c>
      <c r="BO64" s="100">
        <v>1</v>
      </c>
      <c r="BP64" s="101">
        <v>1</v>
      </c>
      <c r="BQ64" s="119">
        <v>1</v>
      </c>
      <c r="BR64" s="118">
        <v>1</v>
      </c>
      <c r="BS64" s="118">
        <v>1</v>
      </c>
      <c r="BT64" s="118">
        <v>1</v>
      </c>
      <c r="BU64" s="118">
        <v>1</v>
      </c>
      <c r="BV64" s="118">
        <v>1</v>
      </c>
      <c r="BW64" s="118">
        <v>1</v>
      </c>
      <c r="BX64" s="118">
        <v>1</v>
      </c>
      <c r="BY64" s="118">
        <v>1</v>
      </c>
      <c r="BZ64" s="120">
        <v>1</v>
      </c>
      <c r="CA64" s="537"/>
      <c r="CB64" s="538"/>
      <c r="CC64" s="538"/>
      <c r="CD64" s="538"/>
      <c r="CE64" s="538"/>
      <c r="CF64" s="538"/>
      <c r="CG64" s="538"/>
      <c r="CH64" s="538"/>
      <c r="CI64" s="538"/>
      <c r="CJ64" s="539"/>
      <c r="CK64" s="110">
        <v>1</v>
      </c>
      <c r="CL64" s="109">
        <v>1</v>
      </c>
      <c r="CM64" s="109">
        <v>1</v>
      </c>
      <c r="CN64" s="109">
        <v>1</v>
      </c>
      <c r="CO64" s="109">
        <v>1</v>
      </c>
      <c r="CP64" s="109">
        <v>1</v>
      </c>
      <c r="CQ64" s="109">
        <v>1</v>
      </c>
      <c r="CR64" s="109">
        <v>1</v>
      </c>
      <c r="CS64" s="109">
        <v>1</v>
      </c>
      <c r="CT64" s="111">
        <v>1</v>
      </c>
      <c r="CU64" s="128">
        <v>1</v>
      </c>
      <c r="CV64" s="129">
        <v>1</v>
      </c>
      <c r="CW64" s="129">
        <v>1</v>
      </c>
      <c r="CX64" s="129">
        <v>1</v>
      </c>
      <c r="CY64" s="129">
        <v>1</v>
      </c>
      <c r="CZ64" s="129">
        <v>1</v>
      </c>
      <c r="DA64" s="129">
        <v>1</v>
      </c>
      <c r="DB64" s="129">
        <v>1</v>
      </c>
      <c r="DC64" s="129">
        <v>1</v>
      </c>
      <c r="DD64" s="138">
        <v>1</v>
      </c>
      <c r="DE64" s="156">
        <v>1</v>
      </c>
      <c r="DF64" s="157">
        <v>1</v>
      </c>
      <c r="DG64" s="157">
        <v>1</v>
      </c>
      <c r="DH64" s="157">
        <v>1</v>
      </c>
      <c r="DI64" s="157">
        <v>1</v>
      </c>
      <c r="DJ64" s="157">
        <v>1</v>
      </c>
      <c r="DK64" s="157">
        <v>1</v>
      </c>
      <c r="DL64" s="157">
        <v>1</v>
      </c>
      <c r="DM64" s="157">
        <v>1</v>
      </c>
      <c r="DN64" s="158">
        <v>1</v>
      </c>
      <c r="DO64" s="119">
        <v>1</v>
      </c>
      <c r="DP64" s="118">
        <v>1</v>
      </c>
      <c r="DQ64" s="118">
        <v>1</v>
      </c>
      <c r="DR64" s="118">
        <v>1</v>
      </c>
      <c r="DS64" s="118">
        <v>1</v>
      </c>
      <c r="DT64" s="118">
        <v>1</v>
      </c>
      <c r="DU64" s="118">
        <v>1</v>
      </c>
      <c r="DV64" s="118">
        <v>1</v>
      </c>
      <c r="DW64" s="118">
        <v>1</v>
      </c>
      <c r="DX64" s="120">
        <v>1</v>
      </c>
      <c r="DY64" s="90">
        <v>1</v>
      </c>
      <c r="DZ64" s="91">
        <v>1</v>
      </c>
      <c r="EA64" s="91">
        <v>1</v>
      </c>
      <c r="EB64" s="91">
        <v>1</v>
      </c>
      <c r="EC64" s="91">
        <v>1</v>
      </c>
      <c r="ED64" s="91">
        <v>1</v>
      </c>
      <c r="EE64" s="91">
        <v>1</v>
      </c>
      <c r="EF64" s="91">
        <v>1</v>
      </c>
      <c r="EG64" s="91">
        <v>1</v>
      </c>
      <c r="EH64" s="92">
        <v>1</v>
      </c>
      <c r="EI64" s="110">
        <v>1</v>
      </c>
      <c r="EJ64" s="109">
        <v>1</v>
      </c>
      <c r="EK64" s="109">
        <v>1</v>
      </c>
      <c r="EL64" s="109">
        <v>1</v>
      </c>
      <c r="EM64" s="109">
        <v>1</v>
      </c>
      <c r="EN64" s="109">
        <v>1</v>
      </c>
      <c r="EO64" s="109">
        <v>1</v>
      </c>
      <c r="EP64" s="109">
        <v>1</v>
      </c>
      <c r="EQ64" s="109">
        <v>1</v>
      </c>
      <c r="ER64" s="132">
        <v>1</v>
      </c>
      <c r="ES64" s="176">
        <f t="shared" si="42"/>
        <v>10</v>
      </c>
      <c r="ET64" s="176">
        <f t="shared" si="43"/>
        <v>10</v>
      </c>
      <c r="EU64" s="176">
        <f t="shared" si="44"/>
        <v>8</v>
      </c>
      <c r="EV64" s="175">
        <f t="shared" si="45"/>
        <v>10</v>
      </c>
      <c r="EW64" s="175">
        <f t="shared" si="20"/>
        <v>10</v>
      </c>
      <c r="EX64" s="175">
        <f t="shared" si="46"/>
        <v>10</v>
      </c>
      <c r="EY64" s="175">
        <f t="shared" si="47"/>
        <v>10</v>
      </c>
      <c r="EZ64" s="176">
        <f t="shared" si="48"/>
        <v>0</v>
      </c>
      <c r="FA64" s="175">
        <f t="shared" si="49"/>
        <v>10</v>
      </c>
      <c r="FB64" s="175">
        <f t="shared" si="50"/>
        <v>10</v>
      </c>
      <c r="FC64" s="175">
        <f t="shared" si="51"/>
        <v>10</v>
      </c>
      <c r="FD64" s="175">
        <f t="shared" si="52"/>
        <v>10</v>
      </c>
      <c r="FE64" s="175">
        <f t="shared" si="53"/>
        <v>10</v>
      </c>
      <c r="FF64" s="175">
        <f t="shared" si="12"/>
        <v>10</v>
      </c>
      <c r="FG64" s="37">
        <f t="shared" si="56"/>
        <v>62</v>
      </c>
      <c r="FH64" s="165">
        <f t="shared" si="54"/>
        <v>128</v>
      </c>
      <c r="FI64" s="165">
        <f>SUM(I7:ER7)-SUM(ES64:FF64)</f>
        <v>0</v>
      </c>
      <c r="FJ64" s="165">
        <f t="shared" si="55"/>
        <v>128</v>
      </c>
      <c r="FK64" s="7"/>
    </row>
    <row r="65" spans="1:167" ht="15.75" customHeight="1">
      <c r="A65" s="2"/>
      <c r="B65" s="3">
        <f t="shared" si="40"/>
        <v>1</v>
      </c>
      <c r="C65" s="182">
        <f t="shared" si="41"/>
        <v>6</v>
      </c>
      <c r="D65" s="185" t="s">
        <v>201</v>
      </c>
      <c r="E65" s="178"/>
      <c r="F65" s="177">
        <v>19</v>
      </c>
      <c r="G65" s="628">
        <v>45915</v>
      </c>
      <c r="H65" s="629"/>
      <c r="I65" s="96">
        <v>0</v>
      </c>
      <c r="J65" s="97">
        <v>0</v>
      </c>
      <c r="K65" s="97">
        <v>1</v>
      </c>
      <c r="L65" s="97">
        <v>1</v>
      </c>
      <c r="M65" s="97">
        <v>1</v>
      </c>
      <c r="N65" s="97">
        <v>1</v>
      </c>
      <c r="O65" s="97">
        <v>1</v>
      </c>
      <c r="P65" s="97">
        <v>1</v>
      </c>
      <c r="Q65" s="97">
        <v>1</v>
      </c>
      <c r="R65" s="98">
        <v>1</v>
      </c>
      <c r="S65" s="115">
        <v>1</v>
      </c>
      <c r="T65" s="116">
        <v>1</v>
      </c>
      <c r="U65" s="116">
        <v>1</v>
      </c>
      <c r="V65" s="116">
        <v>1</v>
      </c>
      <c r="W65" s="116">
        <v>0</v>
      </c>
      <c r="X65" s="116">
        <v>0</v>
      </c>
      <c r="Y65" s="116">
        <v>1</v>
      </c>
      <c r="Z65" s="116">
        <v>1</v>
      </c>
      <c r="AA65" s="116">
        <v>1</v>
      </c>
      <c r="AB65" s="117">
        <v>1</v>
      </c>
      <c r="AC65" s="88">
        <v>1</v>
      </c>
      <c r="AD65" s="89">
        <v>1</v>
      </c>
      <c r="AE65" s="89">
        <v>0</v>
      </c>
      <c r="AF65" s="89">
        <v>0</v>
      </c>
      <c r="AG65" s="592"/>
      <c r="AH65" s="593"/>
      <c r="AI65" s="89">
        <v>1</v>
      </c>
      <c r="AJ65" s="89">
        <v>1</v>
      </c>
      <c r="AK65" s="89">
        <v>1</v>
      </c>
      <c r="AL65" s="122">
        <v>1</v>
      </c>
      <c r="AM65" s="107">
        <v>1</v>
      </c>
      <c r="AN65" s="108">
        <v>1</v>
      </c>
      <c r="AO65" s="108">
        <v>1</v>
      </c>
      <c r="AP65" s="108">
        <v>1</v>
      </c>
      <c r="AQ65" s="108">
        <v>1</v>
      </c>
      <c r="AR65" s="108">
        <v>1</v>
      </c>
      <c r="AS65" s="108">
        <v>1</v>
      </c>
      <c r="AT65" s="108">
        <v>1</v>
      </c>
      <c r="AU65" s="108">
        <v>1</v>
      </c>
      <c r="AV65" s="131">
        <v>1</v>
      </c>
      <c r="AW65" s="126">
        <v>1</v>
      </c>
      <c r="AX65" s="127">
        <v>1</v>
      </c>
      <c r="AY65" s="127">
        <v>1</v>
      </c>
      <c r="AZ65" s="127">
        <v>1</v>
      </c>
      <c r="BA65" s="127">
        <v>1</v>
      </c>
      <c r="BB65" s="127">
        <v>1</v>
      </c>
      <c r="BC65" s="127">
        <v>1</v>
      </c>
      <c r="BD65" s="127">
        <v>1</v>
      </c>
      <c r="BE65" s="127">
        <v>1</v>
      </c>
      <c r="BF65" s="137">
        <v>1</v>
      </c>
      <c r="BG65" s="96">
        <v>1</v>
      </c>
      <c r="BH65" s="97">
        <v>1</v>
      </c>
      <c r="BI65" s="97">
        <v>1</v>
      </c>
      <c r="BJ65" s="97">
        <v>1</v>
      </c>
      <c r="BK65" s="97">
        <v>1</v>
      </c>
      <c r="BL65" s="97">
        <v>1</v>
      </c>
      <c r="BM65" s="100">
        <v>1</v>
      </c>
      <c r="BN65" s="100">
        <v>1</v>
      </c>
      <c r="BO65" s="100">
        <v>1</v>
      </c>
      <c r="BP65" s="101">
        <v>1</v>
      </c>
      <c r="BQ65" s="119">
        <v>1</v>
      </c>
      <c r="BR65" s="118">
        <v>1</v>
      </c>
      <c r="BS65" s="118">
        <v>1</v>
      </c>
      <c r="BT65" s="118">
        <v>1</v>
      </c>
      <c r="BU65" s="118">
        <v>1</v>
      </c>
      <c r="BV65" s="118">
        <v>1</v>
      </c>
      <c r="BW65" s="118">
        <v>1</v>
      </c>
      <c r="BX65" s="118">
        <v>1</v>
      </c>
      <c r="BY65" s="118">
        <v>1</v>
      </c>
      <c r="BZ65" s="120">
        <v>1</v>
      </c>
      <c r="CA65" s="537"/>
      <c r="CB65" s="538"/>
      <c r="CC65" s="538"/>
      <c r="CD65" s="538"/>
      <c r="CE65" s="538"/>
      <c r="CF65" s="538"/>
      <c r="CG65" s="538"/>
      <c r="CH65" s="538"/>
      <c r="CI65" s="538"/>
      <c r="CJ65" s="539"/>
      <c r="CK65" s="110">
        <v>1</v>
      </c>
      <c r="CL65" s="109">
        <v>1</v>
      </c>
      <c r="CM65" s="109">
        <v>1</v>
      </c>
      <c r="CN65" s="109">
        <v>1</v>
      </c>
      <c r="CO65" s="109">
        <v>1</v>
      </c>
      <c r="CP65" s="109">
        <v>1</v>
      </c>
      <c r="CQ65" s="109">
        <v>1</v>
      </c>
      <c r="CR65" s="109">
        <v>1</v>
      </c>
      <c r="CS65" s="109">
        <v>1</v>
      </c>
      <c r="CT65" s="111">
        <v>1</v>
      </c>
      <c r="CU65" s="128">
        <v>1</v>
      </c>
      <c r="CV65" s="129">
        <v>1</v>
      </c>
      <c r="CW65" s="129">
        <v>1</v>
      </c>
      <c r="CX65" s="129">
        <v>1</v>
      </c>
      <c r="CY65" s="129">
        <v>1</v>
      </c>
      <c r="CZ65" s="129">
        <v>1</v>
      </c>
      <c r="DA65" s="129">
        <v>1</v>
      </c>
      <c r="DB65" s="129">
        <v>1</v>
      </c>
      <c r="DC65" s="129">
        <v>1</v>
      </c>
      <c r="DD65" s="138">
        <v>1</v>
      </c>
      <c r="DE65" s="156">
        <v>1</v>
      </c>
      <c r="DF65" s="157">
        <v>1</v>
      </c>
      <c r="DG65" s="157">
        <v>1</v>
      </c>
      <c r="DH65" s="157">
        <v>1</v>
      </c>
      <c r="DI65" s="157">
        <v>1</v>
      </c>
      <c r="DJ65" s="157">
        <v>1</v>
      </c>
      <c r="DK65" s="157">
        <v>1</v>
      </c>
      <c r="DL65" s="157">
        <v>1</v>
      </c>
      <c r="DM65" s="157">
        <v>1</v>
      </c>
      <c r="DN65" s="158">
        <v>1</v>
      </c>
      <c r="DO65" s="119">
        <v>1</v>
      </c>
      <c r="DP65" s="118">
        <v>1</v>
      </c>
      <c r="DQ65" s="118">
        <v>1</v>
      </c>
      <c r="DR65" s="118">
        <v>1</v>
      </c>
      <c r="DS65" s="118">
        <v>1</v>
      </c>
      <c r="DT65" s="118">
        <v>1</v>
      </c>
      <c r="DU65" s="118">
        <v>1</v>
      </c>
      <c r="DV65" s="118">
        <v>1</v>
      </c>
      <c r="DW65" s="118">
        <v>1</v>
      </c>
      <c r="DX65" s="120">
        <v>1</v>
      </c>
      <c r="DY65" s="90">
        <v>1</v>
      </c>
      <c r="DZ65" s="91">
        <v>1</v>
      </c>
      <c r="EA65" s="91">
        <v>1</v>
      </c>
      <c r="EB65" s="91">
        <v>1</v>
      </c>
      <c r="EC65" s="91">
        <v>1</v>
      </c>
      <c r="ED65" s="91">
        <v>1</v>
      </c>
      <c r="EE65" s="91">
        <v>1</v>
      </c>
      <c r="EF65" s="91">
        <v>1</v>
      </c>
      <c r="EG65" s="91">
        <v>1</v>
      </c>
      <c r="EH65" s="92">
        <v>1</v>
      </c>
      <c r="EI65" s="110">
        <v>1</v>
      </c>
      <c r="EJ65" s="109">
        <v>1</v>
      </c>
      <c r="EK65" s="109">
        <v>1</v>
      </c>
      <c r="EL65" s="109">
        <v>1</v>
      </c>
      <c r="EM65" s="109">
        <v>1</v>
      </c>
      <c r="EN65" s="109">
        <v>1</v>
      </c>
      <c r="EO65" s="109">
        <v>1</v>
      </c>
      <c r="EP65" s="109">
        <v>1</v>
      </c>
      <c r="EQ65" s="109">
        <v>1</v>
      </c>
      <c r="ER65" s="132">
        <v>1</v>
      </c>
      <c r="ES65" s="176">
        <f t="shared" si="42"/>
        <v>8</v>
      </c>
      <c r="ET65" s="176">
        <f t="shared" si="43"/>
        <v>8</v>
      </c>
      <c r="EU65" s="176">
        <f t="shared" si="44"/>
        <v>6</v>
      </c>
      <c r="EV65" s="175">
        <f t="shared" si="45"/>
        <v>10</v>
      </c>
      <c r="EW65" s="175">
        <f t="shared" si="20"/>
        <v>10</v>
      </c>
      <c r="EX65" s="175">
        <f t="shared" si="46"/>
        <v>10</v>
      </c>
      <c r="EY65" s="175">
        <f t="shared" si="47"/>
        <v>10</v>
      </c>
      <c r="EZ65" s="176">
        <f t="shared" si="48"/>
        <v>0</v>
      </c>
      <c r="FA65" s="175">
        <f t="shared" si="49"/>
        <v>10</v>
      </c>
      <c r="FB65" s="175">
        <f t="shared" si="50"/>
        <v>10</v>
      </c>
      <c r="FC65" s="175">
        <f t="shared" si="51"/>
        <v>10</v>
      </c>
      <c r="FD65" s="175">
        <f t="shared" si="52"/>
        <v>10</v>
      </c>
      <c r="FE65" s="175">
        <f t="shared" si="53"/>
        <v>10</v>
      </c>
      <c r="FF65" s="175">
        <f t="shared" si="12"/>
        <v>10</v>
      </c>
      <c r="FG65" s="37">
        <f t="shared" si="56"/>
        <v>63</v>
      </c>
      <c r="FH65" s="165">
        <f t="shared" si="54"/>
        <v>122</v>
      </c>
      <c r="FI65" s="165">
        <f>SUM(I7:ER7)-SUM(ES65:FF65)</f>
        <v>6</v>
      </c>
      <c r="FJ65" s="165">
        <f t="shared" si="55"/>
        <v>128</v>
      </c>
      <c r="FK65" s="7"/>
    </row>
    <row r="66" spans="1:167" ht="15.75" customHeight="1">
      <c r="A66" s="2"/>
      <c r="B66" s="3">
        <f t="shared" si="40"/>
        <v>1</v>
      </c>
      <c r="C66" s="182">
        <f t="shared" si="41"/>
        <v>7</v>
      </c>
      <c r="D66" s="185" t="s">
        <v>202</v>
      </c>
      <c r="E66" s="178"/>
      <c r="F66" s="177">
        <v>15</v>
      </c>
      <c r="G66" s="628">
        <v>45915</v>
      </c>
      <c r="H66" s="629"/>
      <c r="I66" s="96">
        <v>1</v>
      </c>
      <c r="J66" s="97">
        <v>1</v>
      </c>
      <c r="K66" s="97">
        <v>1</v>
      </c>
      <c r="L66" s="97">
        <v>1</v>
      </c>
      <c r="M66" s="97">
        <v>1</v>
      </c>
      <c r="N66" s="97">
        <v>1</v>
      </c>
      <c r="O66" s="97">
        <v>1</v>
      </c>
      <c r="P66" s="97">
        <v>1</v>
      </c>
      <c r="Q66" s="97">
        <v>1</v>
      </c>
      <c r="R66" s="98">
        <v>1</v>
      </c>
      <c r="S66" s="115">
        <v>1</v>
      </c>
      <c r="T66" s="116">
        <v>1</v>
      </c>
      <c r="U66" s="116">
        <v>1</v>
      </c>
      <c r="V66" s="116">
        <v>1</v>
      </c>
      <c r="W66" s="116">
        <v>1</v>
      </c>
      <c r="X66" s="116">
        <v>1</v>
      </c>
      <c r="Y66" s="116">
        <v>1</v>
      </c>
      <c r="Z66" s="116">
        <v>1</v>
      </c>
      <c r="AA66" s="116">
        <v>1</v>
      </c>
      <c r="AB66" s="117">
        <v>1</v>
      </c>
      <c r="AC66" s="88">
        <v>1</v>
      </c>
      <c r="AD66" s="89">
        <v>1</v>
      </c>
      <c r="AE66" s="89">
        <v>1</v>
      </c>
      <c r="AF66" s="89">
        <v>1</v>
      </c>
      <c r="AG66" s="592"/>
      <c r="AH66" s="593"/>
      <c r="AI66" s="89">
        <v>1</v>
      </c>
      <c r="AJ66" s="89">
        <v>1</v>
      </c>
      <c r="AK66" s="89">
        <v>1</v>
      </c>
      <c r="AL66" s="122">
        <v>1</v>
      </c>
      <c r="AM66" s="107">
        <v>1</v>
      </c>
      <c r="AN66" s="108">
        <v>1</v>
      </c>
      <c r="AO66" s="108">
        <v>1</v>
      </c>
      <c r="AP66" s="108">
        <v>1</v>
      </c>
      <c r="AQ66" s="108">
        <v>1</v>
      </c>
      <c r="AR66" s="108">
        <v>1</v>
      </c>
      <c r="AS66" s="108">
        <v>1</v>
      </c>
      <c r="AT66" s="108">
        <v>1</v>
      </c>
      <c r="AU66" s="108">
        <v>1</v>
      </c>
      <c r="AV66" s="131">
        <v>1</v>
      </c>
      <c r="AW66" s="126">
        <v>1</v>
      </c>
      <c r="AX66" s="127">
        <v>1</v>
      </c>
      <c r="AY66" s="127">
        <v>1</v>
      </c>
      <c r="AZ66" s="127">
        <v>1</v>
      </c>
      <c r="BA66" s="127">
        <v>1</v>
      </c>
      <c r="BB66" s="127">
        <v>1</v>
      </c>
      <c r="BC66" s="127">
        <v>1</v>
      </c>
      <c r="BD66" s="127">
        <v>1</v>
      </c>
      <c r="BE66" s="127">
        <v>1</v>
      </c>
      <c r="BF66" s="137">
        <v>1</v>
      </c>
      <c r="BG66" s="96">
        <v>1</v>
      </c>
      <c r="BH66" s="97">
        <v>1</v>
      </c>
      <c r="BI66" s="97">
        <v>1</v>
      </c>
      <c r="BJ66" s="97">
        <v>1</v>
      </c>
      <c r="BK66" s="97">
        <v>1</v>
      </c>
      <c r="BL66" s="97">
        <v>1</v>
      </c>
      <c r="BM66" s="100">
        <v>1</v>
      </c>
      <c r="BN66" s="100">
        <v>1</v>
      </c>
      <c r="BO66" s="100">
        <v>1</v>
      </c>
      <c r="BP66" s="101">
        <v>1</v>
      </c>
      <c r="BQ66" s="119">
        <v>1</v>
      </c>
      <c r="BR66" s="118">
        <v>1</v>
      </c>
      <c r="BS66" s="118">
        <v>1</v>
      </c>
      <c r="BT66" s="118">
        <v>1</v>
      </c>
      <c r="BU66" s="118">
        <v>1</v>
      </c>
      <c r="BV66" s="118">
        <v>1</v>
      </c>
      <c r="BW66" s="118">
        <v>1</v>
      </c>
      <c r="BX66" s="118">
        <v>1</v>
      </c>
      <c r="BY66" s="118">
        <v>1</v>
      </c>
      <c r="BZ66" s="120">
        <v>1</v>
      </c>
      <c r="CA66" s="537"/>
      <c r="CB66" s="538"/>
      <c r="CC66" s="538"/>
      <c r="CD66" s="538"/>
      <c r="CE66" s="538"/>
      <c r="CF66" s="538"/>
      <c r="CG66" s="538"/>
      <c r="CH66" s="538"/>
      <c r="CI66" s="538"/>
      <c r="CJ66" s="539"/>
      <c r="CK66" s="110">
        <v>1</v>
      </c>
      <c r="CL66" s="109">
        <v>1</v>
      </c>
      <c r="CM66" s="109">
        <v>1</v>
      </c>
      <c r="CN66" s="109">
        <v>1</v>
      </c>
      <c r="CO66" s="109">
        <v>0</v>
      </c>
      <c r="CP66" s="109">
        <v>0</v>
      </c>
      <c r="CQ66" s="109">
        <v>0</v>
      </c>
      <c r="CR66" s="109">
        <v>0</v>
      </c>
      <c r="CS66" s="109">
        <v>1</v>
      </c>
      <c r="CT66" s="111">
        <v>1</v>
      </c>
      <c r="CU66" s="128">
        <v>1</v>
      </c>
      <c r="CV66" s="129">
        <v>1</v>
      </c>
      <c r="CW66" s="129">
        <v>1</v>
      </c>
      <c r="CX66" s="129">
        <v>1</v>
      </c>
      <c r="CY66" s="129">
        <v>1</v>
      </c>
      <c r="CZ66" s="129">
        <v>1</v>
      </c>
      <c r="DA66" s="129">
        <v>1</v>
      </c>
      <c r="DB66" s="129">
        <v>1</v>
      </c>
      <c r="DC66" s="129">
        <v>1</v>
      </c>
      <c r="DD66" s="138">
        <v>1</v>
      </c>
      <c r="DE66" s="156">
        <v>1</v>
      </c>
      <c r="DF66" s="157">
        <v>1</v>
      </c>
      <c r="DG66" s="157">
        <v>1</v>
      </c>
      <c r="DH66" s="157">
        <v>1</v>
      </c>
      <c r="DI66" s="157">
        <v>1</v>
      </c>
      <c r="DJ66" s="157">
        <v>1</v>
      </c>
      <c r="DK66" s="157">
        <v>1</v>
      </c>
      <c r="DL66" s="157">
        <v>1</v>
      </c>
      <c r="DM66" s="157">
        <v>1</v>
      </c>
      <c r="DN66" s="158">
        <v>1</v>
      </c>
      <c r="DO66" s="119">
        <v>1</v>
      </c>
      <c r="DP66" s="118">
        <v>1</v>
      </c>
      <c r="DQ66" s="118">
        <v>1</v>
      </c>
      <c r="DR66" s="118">
        <v>1</v>
      </c>
      <c r="DS66" s="118">
        <v>1</v>
      </c>
      <c r="DT66" s="118">
        <v>1</v>
      </c>
      <c r="DU66" s="118">
        <v>1</v>
      </c>
      <c r="DV66" s="118">
        <v>1</v>
      </c>
      <c r="DW66" s="118">
        <v>1</v>
      </c>
      <c r="DX66" s="120">
        <v>1</v>
      </c>
      <c r="DY66" s="90">
        <v>1</v>
      </c>
      <c r="DZ66" s="91">
        <v>1</v>
      </c>
      <c r="EA66" s="91">
        <v>1</v>
      </c>
      <c r="EB66" s="91">
        <v>1</v>
      </c>
      <c r="EC66" s="91">
        <v>1</v>
      </c>
      <c r="ED66" s="91">
        <v>1</v>
      </c>
      <c r="EE66" s="91">
        <v>1</v>
      </c>
      <c r="EF66" s="91">
        <v>1</v>
      </c>
      <c r="EG66" s="91">
        <v>1</v>
      </c>
      <c r="EH66" s="92">
        <v>1</v>
      </c>
      <c r="EI66" s="110">
        <v>1</v>
      </c>
      <c r="EJ66" s="109">
        <v>1</v>
      </c>
      <c r="EK66" s="109">
        <v>1</v>
      </c>
      <c r="EL66" s="109">
        <v>1</v>
      </c>
      <c r="EM66" s="109">
        <v>1</v>
      </c>
      <c r="EN66" s="109">
        <v>1</v>
      </c>
      <c r="EO66" s="109">
        <v>1</v>
      </c>
      <c r="EP66" s="109">
        <v>1</v>
      </c>
      <c r="EQ66" s="109">
        <v>1</v>
      </c>
      <c r="ER66" s="132">
        <v>1</v>
      </c>
      <c r="ES66" s="176">
        <f t="shared" si="42"/>
        <v>10</v>
      </c>
      <c r="ET66" s="176">
        <f t="shared" si="43"/>
        <v>10</v>
      </c>
      <c r="EU66" s="176">
        <f t="shared" si="44"/>
        <v>8</v>
      </c>
      <c r="EV66" s="175">
        <f t="shared" si="45"/>
        <v>10</v>
      </c>
      <c r="EW66" s="175">
        <f t="shared" si="20"/>
        <v>10</v>
      </c>
      <c r="EX66" s="175">
        <f t="shared" si="46"/>
        <v>10</v>
      </c>
      <c r="EY66" s="175">
        <f t="shared" si="47"/>
        <v>10</v>
      </c>
      <c r="EZ66" s="176">
        <f t="shared" si="48"/>
        <v>0</v>
      </c>
      <c r="FA66" s="175">
        <f t="shared" si="49"/>
        <v>6</v>
      </c>
      <c r="FB66" s="175">
        <f t="shared" si="50"/>
        <v>10</v>
      </c>
      <c r="FC66" s="175">
        <f t="shared" si="51"/>
        <v>10</v>
      </c>
      <c r="FD66" s="175">
        <f t="shared" si="52"/>
        <v>10</v>
      </c>
      <c r="FE66" s="175">
        <f t="shared" si="53"/>
        <v>10</v>
      </c>
      <c r="FF66" s="175">
        <f t="shared" si="12"/>
        <v>10</v>
      </c>
      <c r="FG66" s="37">
        <f t="shared" si="56"/>
        <v>64</v>
      </c>
      <c r="FH66" s="165">
        <f t="shared" si="54"/>
        <v>124</v>
      </c>
      <c r="FI66" s="165">
        <f>SUM(I7:ER7)-SUM(ES66:FF66)</f>
        <v>4</v>
      </c>
      <c r="FJ66" s="165">
        <f t="shared" si="55"/>
        <v>128</v>
      </c>
      <c r="FK66" s="7"/>
    </row>
    <row r="67" spans="1:167" ht="15.75" customHeight="1">
      <c r="A67" s="2"/>
      <c r="B67" s="3">
        <f t="shared" si="40"/>
        <v>1</v>
      </c>
      <c r="C67" s="182">
        <f t="shared" si="41"/>
        <v>8</v>
      </c>
      <c r="D67" s="185" t="s">
        <v>203</v>
      </c>
      <c r="E67" s="178"/>
      <c r="F67" s="177">
        <v>15</v>
      </c>
      <c r="G67" s="628">
        <v>45915</v>
      </c>
      <c r="H67" s="629"/>
      <c r="I67" s="96">
        <v>0</v>
      </c>
      <c r="J67" s="97">
        <v>0</v>
      </c>
      <c r="K67" s="97">
        <v>1</v>
      </c>
      <c r="L67" s="97">
        <v>1</v>
      </c>
      <c r="M67" s="97">
        <v>1</v>
      </c>
      <c r="N67" s="97">
        <v>1</v>
      </c>
      <c r="O67" s="97">
        <v>1</v>
      </c>
      <c r="P67" s="97">
        <v>1</v>
      </c>
      <c r="Q67" s="97">
        <v>1</v>
      </c>
      <c r="R67" s="98">
        <v>1</v>
      </c>
      <c r="S67" s="115">
        <v>1</v>
      </c>
      <c r="T67" s="116">
        <v>1</v>
      </c>
      <c r="U67" s="116">
        <v>1</v>
      </c>
      <c r="V67" s="116">
        <v>1</v>
      </c>
      <c r="W67" s="116">
        <v>1</v>
      </c>
      <c r="X67" s="116">
        <v>1</v>
      </c>
      <c r="Y67" s="116">
        <v>1</v>
      </c>
      <c r="Z67" s="116">
        <v>1</v>
      </c>
      <c r="AA67" s="116">
        <v>1</v>
      </c>
      <c r="AB67" s="117">
        <v>1</v>
      </c>
      <c r="AC67" s="88">
        <v>1</v>
      </c>
      <c r="AD67" s="89">
        <v>1</v>
      </c>
      <c r="AE67" s="89">
        <v>1</v>
      </c>
      <c r="AF67" s="89">
        <v>1</v>
      </c>
      <c r="AG67" s="592"/>
      <c r="AH67" s="593"/>
      <c r="AI67" s="89">
        <v>1</v>
      </c>
      <c r="AJ67" s="89">
        <v>1</v>
      </c>
      <c r="AK67" s="89">
        <v>1</v>
      </c>
      <c r="AL67" s="122">
        <v>1</v>
      </c>
      <c r="AM67" s="107">
        <v>1</v>
      </c>
      <c r="AN67" s="108">
        <v>1</v>
      </c>
      <c r="AO67" s="108">
        <v>1</v>
      </c>
      <c r="AP67" s="108">
        <v>1</v>
      </c>
      <c r="AQ67" s="108">
        <v>1</v>
      </c>
      <c r="AR67" s="108">
        <v>1</v>
      </c>
      <c r="AS67" s="108">
        <v>1</v>
      </c>
      <c r="AT67" s="108">
        <v>1</v>
      </c>
      <c r="AU67" s="108">
        <v>1</v>
      </c>
      <c r="AV67" s="131">
        <v>1</v>
      </c>
      <c r="AW67" s="126">
        <v>1</v>
      </c>
      <c r="AX67" s="127">
        <v>1</v>
      </c>
      <c r="AY67" s="127">
        <v>1</v>
      </c>
      <c r="AZ67" s="127">
        <v>1</v>
      </c>
      <c r="BA67" s="127">
        <v>1</v>
      </c>
      <c r="BB67" s="127">
        <v>1</v>
      </c>
      <c r="BC67" s="127">
        <v>1</v>
      </c>
      <c r="BD67" s="127">
        <v>1</v>
      </c>
      <c r="BE67" s="127">
        <v>1</v>
      </c>
      <c r="BF67" s="137">
        <v>1</v>
      </c>
      <c r="BG67" s="96">
        <v>1</v>
      </c>
      <c r="BH67" s="97">
        <v>1</v>
      </c>
      <c r="BI67" s="97">
        <v>1</v>
      </c>
      <c r="BJ67" s="97">
        <v>1</v>
      </c>
      <c r="BK67" s="97">
        <v>1</v>
      </c>
      <c r="BL67" s="97">
        <v>1</v>
      </c>
      <c r="BM67" s="100">
        <v>1</v>
      </c>
      <c r="BN67" s="100">
        <v>1</v>
      </c>
      <c r="BO67" s="100">
        <v>1</v>
      </c>
      <c r="BP67" s="101">
        <v>1</v>
      </c>
      <c r="BQ67" s="119">
        <v>1</v>
      </c>
      <c r="BR67" s="118">
        <v>1</v>
      </c>
      <c r="BS67" s="118">
        <v>1</v>
      </c>
      <c r="BT67" s="118">
        <v>1</v>
      </c>
      <c r="BU67" s="118">
        <v>1</v>
      </c>
      <c r="BV67" s="118">
        <v>1</v>
      </c>
      <c r="BW67" s="118">
        <v>1</v>
      </c>
      <c r="BX67" s="118">
        <v>1</v>
      </c>
      <c r="BY67" s="118">
        <v>1</v>
      </c>
      <c r="BZ67" s="120">
        <v>1</v>
      </c>
      <c r="CA67" s="537"/>
      <c r="CB67" s="538"/>
      <c r="CC67" s="538"/>
      <c r="CD67" s="538"/>
      <c r="CE67" s="538"/>
      <c r="CF67" s="538"/>
      <c r="CG67" s="538"/>
      <c r="CH67" s="538"/>
      <c r="CI67" s="538"/>
      <c r="CJ67" s="539"/>
      <c r="CK67" s="110">
        <v>1</v>
      </c>
      <c r="CL67" s="109">
        <v>1</v>
      </c>
      <c r="CM67" s="109">
        <v>1</v>
      </c>
      <c r="CN67" s="109">
        <v>1</v>
      </c>
      <c r="CO67" s="109">
        <v>1</v>
      </c>
      <c r="CP67" s="109">
        <v>1</v>
      </c>
      <c r="CQ67" s="109">
        <v>1</v>
      </c>
      <c r="CR67" s="109">
        <v>1</v>
      </c>
      <c r="CS67" s="109">
        <v>1</v>
      </c>
      <c r="CT67" s="111">
        <v>1</v>
      </c>
      <c r="CU67" s="128">
        <v>1</v>
      </c>
      <c r="CV67" s="129">
        <v>1</v>
      </c>
      <c r="CW67" s="129">
        <v>1</v>
      </c>
      <c r="CX67" s="129">
        <v>1</v>
      </c>
      <c r="CY67" s="129">
        <v>1</v>
      </c>
      <c r="CZ67" s="129">
        <v>1</v>
      </c>
      <c r="DA67" s="129">
        <v>1</v>
      </c>
      <c r="DB67" s="129">
        <v>1</v>
      </c>
      <c r="DC67" s="129">
        <v>1</v>
      </c>
      <c r="DD67" s="138">
        <v>1</v>
      </c>
      <c r="DE67" s="156">
        <v>1</v>
      </c>
      <c r="DF67" s="157">
        <v>1</v>
      </c>
      <c r="DG67" s="157">
        <v>1</v>
      </c>
      <c r="DH67" s="157">
        <v>1</v>
      </c>
      <c r="DI67" s="157">
        <v>1</v>
      </c>
      <c r="DJ67" s="157">
        <v>1</v>
      </c>
      <c r="DK67" s="157">
        <v>1</v>
      </c>
      <c r="DL67" s="157">
        <v>1</v>
      </c>
      <c r="DM67" s="157">
        <v>1</v>
      </c>
      <c r="DN67" s="158">
        <v>1</v>
      </c>
      <c r="DO67" s="119">
        <v>1</v>
      </c>
      <c r="DP67" s="118">
        <v>1</v>
      </c>
      <c r="DQ67" s="118">
        <v>1</v>
      </c>
      <c r="DR67" s="118">
        <v>1</v>
      </c>
      <c r="DS67" s="118">
        <v>1</v>
      </c>
      <c r="DT67" s="118">
        <v>1</v>
      </c>
      <c r="DU67" s="118">
        <v>1</v>
      </c>
      <c r="DV67" s="118">
        <v>1</v>
      </c>
      <c r="DW67" s="118">
        <v>1</v>
      </c>
      <c r="DX67" s="120">
        <v>1</v>
      </c>
      <c r="DY67" s="90">
        <v>1</v>
      </c>
      <c r="DZ67" s="91">
        <v>1</v>
      </c>
      <c r="EA67" s="91">
        <v>1</v>
      </c>
      <c r="EB67" s="91">
        <v>1</v>
      </c>
      <c r="EC67" s="91">
        <v>1</v>
      </c>
      <c r="ED67" s="91">
        <v>1</v>
      </c>
      <c r="EE67" s="91">
        <v>1</v>
      </c>
      <c r="EF67" s="91">
        <v>1</v>
      </c>
      <c r="EG67" s="91">
        <v>1</v>
      </c>
      <c r="EH67" s="92">
        <v>1</v>
      </c>
      <c r="EI67" s="110">
        <v>1</v>
      </c>
      <c r="EJ67" s="109">
        <v>1</v>
      </c>
      <c r="EK67" s="109">
        <v>1</v>
      </c>
      <c r="EL67" s="109">
        <v>1</v>
      </c>
      <c r="EM67" s="109">
        <v>1</v>
      </c>
      <c r="EN67" s="109">
        <v>1</v>
      </c>
      <c r="EO67" s="109">
        <v>1</v>
      </c>
      <c r="EP67" s="109">
        <v>1</v>
      </c>
      <c r="EQ67" s="109">
        <v>1</v>
      </c>
      <c r="ER67" s="132">
        <v>1</v>
      </c>
      <c r="ES67" s="176">
        <f t="shared" si="42"/>
        <v>8</v>
      </c>
      <c r="ET67" s="176">
        <f t="shared" si="43"/>
        <v>10</v>
      </c>
      <c r="EU67" s="176">
        <f t="shared" si="44"/>
        <v>8</v>
      </c>
      <c r="EV67" s="175">
        <f t="shared" si="45"/>
        <v>10</v>
      </c>
      <c r="EW67" s="175">
        <f t="shared" si="20"/>
        <v>10</v>
      </c>
      <c r="EX67" s="175">
        <f t="shared" si="46"/>
        <v>10</v>
      </c>
      <c r="EY67" s="175">
        <f t="shared" si="47"/>
        <v>10</v>
      </c>
      <c r="EZ67" s="176">
        <f t="shared" si="48"/>
        <v>0</v>
      </c>
      <c r="FA67" s="175">
        <f t="shared" si="49"/>
        <v>10</v>
      </c>
      <c r="FB67" s="175">
        <f t="shared" si="50"/>
        <v>10</v>
      </c>
      <c r="FC67" s="175">
        <f t="shared" si="51"/>
        <v>10</v>
      </c>
      <c r="FD67" s="175">
        <f t="shared" si="52"/>
        <v>10</v>
      </c>
      <c r="FE67" s="175">
        <f t="shared" si="53"/>
        <v>10</v>
      </c>
      <c r="FF67" s="175">
        <f t="shared" si="12"/>
        <v>10</v>
      </c>
      <c r="FG67" s="37">
        <f t="shared" si="56"/>
        <v>65</v>
      </c>
      <c r="FH67" s="165">
        <f t="shared" si="54"/>
        <v>126</v>
      </c>
      <c r="FI67" s="165">
        <f>SUM(I7:ER7)-SUM(ES67:FF67)</f>
        <v>2</v>
      </c>
      <c r="FJ67" s="165">
        <f t="shared" si="55"/>
        <v>128</v>
      </c>
      <c r="FK67" s="7"/>
    </row>
    <row r="68" spans="1:167" ht="15.75" customHeight="1">
      <c r="A68" s="2"/>
      <c r="B68" s="3">
        <f t="shared" si="40"/>
        <v>1</v>
      </c>
      <c r="C68" s="182">
        <f t="shared" si="41"/>
        <v>9</v>
      </c>
      <c r="D68" s="185" t="s">
        <v>204</v>
      </c>
      <c r="E68" s="178"/>
      <c r="F68" s="177">
        <v>16</v>
      </c>
      <c r="G68" s="628">
        <v>45915</v>
      </c>
      <c r="H68" s="629"/>
      <c r="I68" s="96">
        <v>1</v>
      </c>
      <c r="J68" s="97">
        <v>1</v>
      </c>
      <c r="K68" s="97">
        <v>1</v>
      </c>
      <c r="L68" s="97">
        <v>1</v>
      </c>
      <c r="M68" s="97">
        <v>1</v>
      </c>
      <c r="N68" s="97">
        <v>1</v>
      </c>
      <c r="O68" s="97">
        <v>1</v>
      </c>
      <c r="P68" s="97">
        <v>1</v>
      </c>
      <c r="Q68" s="97">
        <v>1</v>
      </c>
      <c r="R68" s="98">
        <v>1</v>
      </c>
      <c r="S68" s="115">
        <v>1</v>
      </c>
      <c r="T68" s="116">
        <v>1</v>
      </c>
      <c r="U68" s="116">
        <v>1</v>
      </c>
      <c r="V68" s="116">
        <v>1</v>
      </c>
      <c r="W68" s="116">
        <v>1</v>
      </c>
      <c r="X68" s="116">
        <v>1</v>
      </c>
      <c r="Y68" s="116">
        <v>1</v>
      </c>
      <c r="Z68" s="116">
        <v>1</v>
      </c>
      <c r="AA68" s="116">
        <v>1</v>
      </c>
      <c r="AB68" s="117">
        <v>1</v>
      </c>
      <c r="AC68" s="88">
        <v>1</v>
      </c>
      <c r="AD68" s="89">
        <v>1</v>
      </c>
      <c r="AE68" s="89">
        <v>0</v>
      </c>
      <c r="AF68" s="89">
        <v>0</v>
      </c>
      <c r="AG68" s="592"/>
      <c r="AH68" s="593"/>
      <c r="AI68" s="89">
        <v>1</v>
      </c>
      <c r="AJ68" s="89">
        <v>1</v>
      </c>
      <c r="AK68" s="89">
        <v>1</v>
      </c>
      <c r="AL68" s="122">
        <v>1</v>
      </c>
      <c r="AM68" s="107">
        <v>1</v>
      </c>
      <c r="AN68" s="108">
        <v>1</v>
      </c>
      <c r="AO68" s="108">
        <v>1</v>
      </c>
      <c r="AP68" s="108">
        <v>1</v>
      </c>
      <c r="AQ68" s="108">
        <v>1</v>
      </c>
      <c r="AR68" s="108">
        <v>1</v>
      </c>
      <c r="AS68" s="108">
        <v>1</v>
      </c>
      <c r="AT68" s="108">
        <v>1</v>
      </c>
      <c r="AU68" s="108">
        <v>1</v>
      </c>
      <c r="AV68" s="131">
        <v>1</v>
      </c>
      <c r="AW68" s="126">
        <v>1</v>
      </c>
      <c r="AX68" s="127">
        <v>1</v>
      </c>
      <c r="AY68" s="127">
        <v>1</v>
      </c>
      <c r="AZ68" s="127">
        <v>1</v>
      </c>
      <c r="BA68" s="127">
        <v>1</v>
      </c>
      <c r="BB68" s="127">
        <v>1</v>
      </c>
      <c r="BC68" s="127">
        <v>1</v>
      </c>
      <c r="BD68" s="127">
        <v>1</v>
      </c>
      <c r="BE68" s="127">
        <v>1</v>
      </c>
      <c r="BF68" s="137">
        <v>1</v>
      </c>
      <c r="BG68" s="96">
        <v>1</v>
      </c>
      <c r="BH68" s="97">
        <v>1</v>
      </c>
      <c r="BI68" s="97">
        <v>1</v>
      </c>
      <c r="BJ68" s="97">
        <v>1</v>
      </c>
      <c r="BK68" s="97">
        <v>1</v>
      </c>
      <c r="BL68" s="97">
        <v>1</v>
      </c>
      <c r="BM68" s="100">
        <v>1</v>
      </c>
      <c r="BN68" s="100">
        <v>1</v>
      </c>
      <c r="BO68" s="100">
        <v>1</v>
      </c>
      <c r="BP68" s="101">
        <v>1</v>
      </c>
      <c r="BQ68" s="119">
        <v>1</v>
      </c>
      <c r="BR68" s="118">
        <v>1</v>
      </c>
      <c r="BS68" s="118">
        <v>1</v>
      </c>
      <c r="BT68" s="118">
        <v>1</v>
      </c>
      <c r="BU68" s="118">
        <v>1</v>
      </c>
      <c r="BV68" s="118">
        <v>1</v>
      </c>
      <c r="BW68" s="118">
        <v>1</v>
      </c>
      <c r="BX68" s="118">
        <v>1</v>
      </c>
      <c r="BY68" s="118">
        <v>1</v>
      </c>
      <c r="BZ68" s="120">
        <v>1</v>
      </c>
      <c r="CA68" s="537"/>
      <c r="CB68" s="538"/>
      <c r="CC68" s="538"/>
      <c r="CD68" s="538"/>
      <c r="CE68" s="538"/>
      <c r="CF68" s="538"/>
      <c r="CG68" s="538"/>
      <c r="CH68" s="538"/>
      <c r="CI68" s="538"/>
      <c r="CJ68" s="539"/>
      <c r="CK68" s="110">
        <v>0</v>
      </c>
      <c r="CL68" s="109">
        <v>0</v>
      </c>
      <c r="CM68" s="109">
        <v>0</v>
      </c>
      <c r="CN68" s="109">
        <v>0</v>
      </c>
      <c r="CO68" s="109">
        <v>1</v>
      </c>
      <c r="CP68" s="109">
        <v>1</v>
      </c>
      <c r="CQ68" s="109">
        <v>1</v>
      </c>
      <c r="CR68" s="109">
        <v>1</v>
      </c>
      <c r="CS68" s="109">
        <v>1</v>
      </c>
      <c r="CT68" s="111">
        <v>1</v>
      </c>
      <c r="CU68" s="128">
        <v>1</v>
      </c>
      <c r="CV68" s="129">
        <v>1</v>
      </c>
      <c r="CW68" s="129">
        <v>1</v>
      </c>
      <c r="CX68" s="129">
        <v>1</v>
      </c>
      <c r="CY68" s="129">
        <v>1</v>
      </c>
      <c r="CZ68" s="129">
        <v>1</v>
      </c>
      <c r="DA68" s="129">
        <v>1</v>
      </c>
      <c r="DB68" s="129">
        <v>1</v>
      </c>
      <c r="DC68" s="129">
        <v>1</v>
      </c>
      <c r="DD68" s="138">
        <v>1</v>
      </c>
      <c r="DE68" s="156">
        <v>1</v>
      </c>
      <c r="DF68" s="157">
        <v>1</v>
      </c>
      <c r="DG68" s="157">
        <v>1</v>
      </c>
      <c r="DH68" s="157">
        <v>1</v>
      </c>
      <c r="DI68" s="157">
        <v>1</v>
      </c>
      <c r="DJ68" s="157">
        <v>1</v>
      </c>
      <c r="DK68" s="157">
        <v>1</v>
      </c>
      <c r="DL68" s="157">
        <v>1</v>
      </c>
      <c r="DM68" s="157">
        <v>1</v>
      </c>
      <c r="DN68" s="158">
        <v>1</v>
      </c>
      <c r="DO68" s="119">
        <v>1</v>
      </c>
      <c r="DP68" s="118">
        <v>1</v>
      </c>
      <c r="DQ68" s="118">
        <v>1</v>
      </c>
      <c r="DR68" s="118">
        <v>1</v>
      </c>
      <c r="DS68" s="118">
        <v>1</v>
      </c>
      <c r="DT68" s="118">
        <v>1</v>
      </c>
      <c r="DU68" s="118">
        <v>1</v>
      </c>
      <c r="DV68" s="118">
        <v>1</v>
      </c>
      <c r="DW68" s="118">
        <v>1</v>
      </c>
      <c r="DX68" s="120">
        <v>1</v>
      </c>
      <c r="DY68" s="90">
        <v>1</v>
      </c>
      <c r="DZ68" s="91">
        <v>1</v>
      </c>
      <c r="EA68" s="91">
        <v>1</v>
      </c>
      <c r="EB68" s="91">
        <v>1</v>
      </c>
      <c r="EC68" s="91">
        <v>1</v>
      </c>
      <c r="ED68" s="91">
        <v>1</v>
      </c>
      <c r="EE68" s="91">
        <v>1</v>
      </c>
      <c r="EF68" s="91">
        <v>1</v>
      </c>
      <c r="EG68" s="91">
        <v>1</v>
      </c>
      <c r="EH68" s="92">
        <v>1</v>
      </c>
      <c r="EI68" s="110">
        <v>1</v>
      </c>
      <c r="EJ68" s="109">
        <v>1</v>
      </c>
      <c r="EK68" s="109">
        <v>1</v>
      </c>
      <c r="EL68" s="109">
        <v>1</v>
      </c>
      <c r="EM68" s="109">
        <v>1</v>
      </c>
      <c r="EN68" s="109">
        <v>1</v>
      </c>
      <c r="EO68" s="109">
        <v>1</v>
      </c>
      <c r="EP68" s="109">
        <v>1</v>
      </c>
      <c r="EQ68" s="109">
        <v>1</v>
      </c>
      <c r="ER68" s="132">
        <v>1</v>
      </c>
      <c r="ES68" s="176">
        <f t="shared" si="42"/>
        <v>10</v>
      </c>
      <c r="ET68" s="176">
        <f t="shared" si="43"/>
        <v>10</v>
      </c>
      <c r="EU68" s="176">
        <f t="shared" si="44"/>
        <v>6</v>
      </c>
      <c r="EV68" s="175">
        <f t="shared" si="45"/>
        <v>10</v>
      </c>
      <c r="EW68" s="175">
        <f t="shared" si="20"/>
        <v>10</v>
      </c>
      <c r="EX68" s="175">
        <f t="shared" si="46"/>
        <v>10</v>
      </c>
      <c r="EY68" s="175">
        <f t="shared" si="47"/>
        <v>10</v>
      </c>
      <c r="EZ68" s="176">
        <f t="shared" si="48"/>
        <v>0</v>
      </c>
      <c r="FA68" s="175">
        <f t="shared" si="49"/>
        <v>6</v>
      </c>
      <c r="FB68" s="175">
        <f t="shared" si="50"/>
        <v>10</v>
      </c>
      <c r="FC68" s="175">
        <f t="shared" si="51"/>
        <v>10</v>
      </c>
      <c r="FD68" s="175">
        <f t="shared" si="52"/>
        <v>10</v>
      </c>
      <c r="FE68" s="175">
        <f t="shared" si="53"/>
        <v>10</v>
      </c>
      <c r="FF68" s="175">
        <f t="shared" si="12"/>
        <v>10</v>
      </c>
      <c r="FG68" s="37">
        <f t="shared" si="56"/>
        <v>66</v>
      </c>
      <c r="FH68" s="165">
        <f t="shared" si="54"/>
        <v>122</v>
      </c>
      <c r="FI68" s="165">
        <f>SUM(I7:ER7)-SUM(ES68:FF68)</f>
        <v>6</v>
      </c>
      <c r="FJ68" s="165">
        <f t="shared" si="55"/>
        <v>128</v>
      </c>
      <c r="FK68" s="7"/>
    </row>
    <row r="69" spans="1:167" ht="15.75" customHeight="1">
      <c r="A69" s="2"/>
      <c r="B69" s="3">
        <f t="shared" si="40"/>
        <v>1</v>
      </c>
      <c r="C69" s="182">
        <f t="shared" si="41"/>
        <v>10</v>
      </c>
      <c r="D69" s="185" t="s">
        <v>205</v>
      </c>
      <c r="E69" s="178"/>
      <c r="F69" s="177">
        <v>15</v>
      </c>
      <c r="G69" s="628">
        <v>45915</v>
      </c>
      <c r="H69" s="629"/>
      <c r="I69" s="96">
        <v>1</v>
      </c>
      <c r="J69" s="97">
        <v>1</v>
      </c>
      <c r="K69" s="97">
        <v>1</v>
      </c>
      <c r="L69" s="97">
        <v>1</v>
      </c>
      <c r="M69" s="100">
        <v>1</v>
      </c>
      <c r="N69" s="97">
        <v>1</v>
      </c>
      <c r="O69" s="97">
        <v>1</v>
      </c>
      <c r="P69" s="100">
        <v>1</v>
      </c>
      <c r="Q69" s="97">
        <v>1</v>
      </c>
      <c r="R69" s="98">
        <v>1</v>
      </c>
      <c r="S69" s="115">
        <v>1</v>
      </c>
      <c r="T69" s="116">
        <v>1</v>
      </c>
      <c r="U69" s="116">
        <v>1</v>
      </c>
      <c r="V69" s="116">
        <v>1</v>
      </c>
      <c r="W69" s="116">
        <v>1</v>
      </c>
      <c r="X69" s="116">
        <v>1</v>
      </c>
      <c r="Y69" s="116">
        <v>1</v>
      </c>
      <c r="Z69" s="116">
        <v>1</v>
      </c>
      <c r="AA69" s="116">
        <v>1</v>
      </c>
      <c r="AB69" s="117">
        <v>1</v>
      </c>
      <c r="AC69" s="88">
        <v>1</v>
      </c>
      <c r="AD69" s="89">
        <v>1</v>
      </c>
      <c r="AE69" s="89">
        <v>1</v>
      </c>
      <c r="AF69" s="89">
        <v>1</v>
      </c>
      <c r="AG69" s="592"/>
      <c r="AH69" s="593"/>
      <c r="AI69" s="89">
        <v>0</v>
      </c>
      <c r="AJ69" s="89">
        <v>0</v>
      </c>
      <c r="AK69" s="89">
        <v>0</v>
      </c>
      <c r="AL69" s="122">
        <v>0</v>
      </c>
      <c r="AM69" s="107">
        <v>1</v>
      </c>
      <c r="AN69" s="108">
        <v>1</v>
      </c>
      <c r="AO69" s="108">
        <v>1</v>
      </c>
      <c r="AP69" s="108">
        <v>1</v>
      </c>
      <c r="AQ69" s="108">
        <v>0</v>
      </c>
      <c r="AR69" s="108">
        <v>0</v>
      </c>
      <c r="AS69" s="108">
        <v>1</v>
      </c>
      <c r="AT69" s="108">
        <v>1</v>
      </c>
      <c r="AU69" s="108">
        <v>1</v>
      </c>
      <c r="AV69" s="131">
        <v>1</v>
      </c>
      <c r="AW69" s="126">
        <v>1</v>
      </c>
      <c r="AX69" s="127">
        <v>1</v>
      </c>
      <c r="AY69" s="127">
        <v>1</v>
      </c>
      <c r="AZ69" s="127">
        <v>1</v>
      </c>
      <c r="BA69" s="127">
        <v>1</v>
      </c>
      <c r="BB69" s="127">
        <v>1</v>
      </c>
      <c r="BC69" s="127">
        <v>1</v>
      </c>
      <c r="BD69" s="127">
        <v>1</v>
      </c>
      <c r="BE69" s="127">
        <v>1</v>
      </c>
      <c r="BF69" s="137">
        <v>1</v>
      </c>
      <c r="BG69" s="96">
        <v>1</v>
      </c>
      <c r="BH69" s="97">
        <v>1</v>
      </c>
      <c r="BI69" s="97">
        <v>1</v>
      </c>
      <c r="BJ69" s="97">
        <v>1</v>
      </c>
      <c r="BK69" s="97">
        <v>1</v>
      </c>
      <c r="BL69" s="97">
        <v>1</v>
      </c>
      <c r="BM69" s="100">
        <v>1</v>
      </c>
      <c r="BN69" s="100">
        <v>1</v>
      </c>
      <c r="BO69" s="100">
        <v>1</v>
      </c>
      <c r="BP69" s="101">
        <v>1</v>
      </c>
      <c r="BQ69" s="119">
        <v>1</v>
      </c>
      <c r="BR69" s="118">
        <v>1</v>
      </c>
      <c r="BS69" s="118">
        <v>1</v>
      </c>
      <c r="BT69" s="118">
        <v>1</v>
      </c>
      <c r="BU69" s="118">
        <v>1</v>
      </c>
      <c r="BV69" s="118">
        <v>1</v>
      </c>
      <c r="BW69" s="118">
        <v>1</v>
      </c>
      <c r="BX69" s="118">
        <v>1</v>
      </c>
      <c r="BY69" s="118">
        <v>1</v>
      </c>
      <c r="BZ69" s="120">
        <v>1</v>
      </c>
      <c r="CA69" s="537"/>
      <c r="CB69" s="538"/>
      <c r="CC69" s="538"/>
      <c r="CD69" s="538"/>
      <c r="CE69" s="538"/>
      <c r="CF69" s="538"/>
      <c r="CG69" s="538"/>
      <c r="CH69" s="538"/>
      <c r="CI69" s="538"/>
      <c r="CJ69" s="539"/>
      <c r="CK69" s="110">
        <v>1</v>
      </c>
      <c r="CL69" s="109">
        <v>1</v>
      </c>
      <c r="CM69" s="109">
        <v>1</v>
      </c>
      <c r="CN69" s="109">
        <v>1</v>
      </c>
      <c r="CO69" s="109">
        <v>1</v>
      </c>
      <c r="CP69" s="109">
        <v>1</v>
      </c>
      <c r="CQ69" s="109">
        <v>1</v>
      </c>
      <c r="CR69" s="109">
        <v>1</v>
      </c>
      <c r="CS69" s="109">
        <v>1</v>
      </c>
      <c r="CT69" s="111">
        <v>1</v>
      </c>
      <c r="CU69" s="128">
        <v>1</v>
      </c>
      <c r="CV69" s="129">
        <v>1</v>
      </c>
      <c r="CW69" s="129">
        <v>1</v>
      </c>
      <c r="CX69" s="129">
        <v>1</v>
      </c>
      <c r="CY69" s="129">
        <v>1</v>
      </c>
      <c r="CZ69" s="129">
        <v>1</v>
      </c>
      <c r="DA69" s="129">
        <v>1</v>
      </c>
      <c r="DB69" s="129">
        <v>1</v>
      </c>
      <c r="DC69" s="129">
        <v>1</v>
      </c>
      <c r="DD69" s="138">
        <v>1</v>
      </c>
      <c r="DE69" s="156">
        <v>1</v>
      </c>
      <c r="DF69" s="157">
        <v>1</v>
      </c>
      <c r="DG69" s="157">
        <v>1</v>
      </c>
      <c r="DH69" s="157">
        <v>1</v>
      </c>
      <c r="DI69" s="157">
        <v>1</v>
      </c>
      <c r="DJ69" s="157">
        <v>1</v>
      </c>
      <c r="DK69" s="157">
        <v>1</v>
      </c>
      <c r="DL69" s="157">
        <v>1</v>
      </c>
      <c r="DM69" s="157">
        <v>1</v>
      </c>
      <c r="DN69" s="158">
        <v>1</v>
      </c>
      <c r="DO69" s="119">
        <v>1</v>
      </c>
      <c r="DP69" s="118">
        <v>1</v>
      </c>
      <c r="DQ69" s="118">
        <v>1</v>
      </c>
      <c r="DR69" s="118">
        <v>1</v>
      </c>
      <c r="DS69" s="118">
        <v>1</v>
      </c>
      <c r="DT69" s="118">
        <v>1</v>
      </c>
      <c r="DU69" s="118">
        <v>1</v>
      </c>
      <c r="DV69" s="118">
        <v>1</v>
      </c>
      <c r="DW69" s="118">
        <v>1</v>
      </c>
      <c r="DX69" s="120">
        <v>1</v>
      </c>
      <c r="DY69" s="90">
        <v>1</v>
      </c>
      <c r="DZ69" s="91">
        <v>1</v>
      </c>
      <c r="EA69" s="91">
        <v>1</v>
      </c>
      <c r="EB69" s="91">
        <v>1</v>
      </c>
      <c r="EC69" s="91">
        <v>1</v>
      </c>
      <c r="ED69" s="91">
        <v>1</v>
      </c>
      <c r="EE69" s="91">
        <v>1</v>
      </c>
      <c r="EF69" s="91">
        <v>1</v>
      </c>
      <c r="EG69" s="91">
        <v>1</v>
      </c>
      <c r="EH69" s="92">
        <v>1</v>
      </c>
      <c r="EI69" s="110">
        <v>1</v>
      </c>
      <c r="EJ69" s="109">
        <v>1</v>
      </c>
      <c r="EK69" s="109">
        <v>1</v>
      </c>
      <c r="EL69" s="109">
        <v>1</v>
      </c>
      <c r="EM69" s="109">
        <v>1</v>
      </c>
      <c r="EN69" s="109">
        <v>1</v>
      </c>
      <c r="EO69" s="109">
        <v>1</v>
      </c>
      <c r="EP69" s="109">
        <v>1</v>
      </c>
      <c r="EQ69" s="109">
        <v>1</v>
      </c>
      <c r="ER69" s="132">
        <v>1</v>
      </c>
      <c r="ES69" s="176">
        <f t="shared" si="42"/>
        <v>10</v>
      </c>
      <c r="ET69" s="176">
        <f t="shared" si="43"/>
        <v>10</v>
      </c>
      <c r="EU69" s="176">
        <f t="shared" si="44"/>
        <v>4</v>
      </c>
      <c r="EV69" s="175">
        <f t="shared" si="45"/>
        <v>8</v>
      </c>
      <c r="EW69" s="175">
        <f t="shared" si="20"/>
        <v>10</v>
      </c>
      <c r="EX69" s="175">
        <f t="shared" si="46"/>
        <v>10</v>
      </c>
      <c r="EY69" s="175">
        <f t="shared" si="47"/>
        <v>10</v>
      </c>
      <c r="EZ69" s="176">
        <f t="shared" si="48"/>
        <v>0</v>
      </c>
      <c r="FA69" s="175">
        <f t="shared" si="49"/>
        <v>10</v>
      </c>
      <c r="FB69" s="175">
        <f t="shared" si="50"/>
        <v>10</v>
      </c>
      <c r="FC69" s="175">
        <f t="shared" si="51"/>
        <v>10</v>
      </c>
      <c r="FD69" s="175">
        <f t="shared" si="52"/>
        <v>10</v>
      </c>
      <c r="FE69" s="175">
        <f t="shared" si="53"/>
        <v>10</v>
      </c>
      <c r="FF69" s="175">
        <f t="shared" si="12"/>
        <v>10</v>
      </c>
      <c r="FG69" s="37">
        <f t="shared" si="56"/>
        <v>67</v>
      </c>
      <c r="FH69" s="165">
        <f t="shared" si="54"/>
        <v>122</v>
      </c>
      <c r="FI69" s="165">
        <f>SUM(I7:ER7)-SUM(ES69:FF69)</f>
        <v>6</v>
      </c>
      <c r="FJ69" s="165">
        <f t="shared" si="55"/>
        <v>128</v>
      </c>
      <c r="FK69" s="7"/>
    </row>
    <row r="70" spans="1:167" ht="15.75" customHeight="1">
      <c r="A70" s="2"/>
      <c r="B70" s="3">
        <f t="shared" si="40"/>
        <v>1</v>
      </c>
      <c r="C70" s="182">
        <f t="shared" si="41"/>
        <v>11</v>
      </c>
      <c r="D70" s="185" t="s">
        <v>206</v>
      </c>
      <c r="E70" s="178"/>
      <c r="F70" s="177">
        <v>15</v>
      </c>
      <c r="G70" s="631"/>
      <c r="H70" s="629"/>
      <c r="I70" s="96">
        <v>1</v>
      </c>
      <c r="J70" s="97">
        <v>1</v>
      </c>
      <c r="K70" s="97">
        <v>1</v>
      </c>
      <c r="L70" s="97">
        <v>1</v>
      </c>
      <c r="M70" s="97">
        <v>1</v>
      </c>
      <c r="N70" s="97">
        <v>1</v>
      </c>
      <c r="O70" s="97">
        <v>1</v>
      </c>
      <c r="P70" s="97">
        <v>1</v>
      </c>
      <c r="Q70" s="97">
        <v>1</v>
      </c>
      <c r="R70" s="98">
        <v>1</v>
      </c>
      <c r="S70" s="115">
        <v>1</v>
      </c>
      <c r="T70" s="116">
        <v>1</v>
      </c>
      <c r="U70" s="116">
        <v>1</v>
      </c>
      <c r="V70" s="116">
        <v>1</v>
      </c>
      <c r="W70" s="116">
        <v>1</v>
      </c>
      <c r="X70" s="116">
        <v>1</v>
      </c>
      <c r="Y70" s="116">
        <v>1</v>
      </c>
      <c r="Z70" s="116">
        <v>1</v>
      </c>
      <c r="AA70" s="116">
        <v>1</v>
      </c>
      <c r="AB70" s="117">
        <v>1</v>
      </c>
      <c r="AC70" s="88">
        <v>1</v>
      </c>
      <c r="AD70" s="89">
        <v>1</v>
      </c>
      <c r="AE70" s="89">
        <v>1</v>
      </c>
      <c r="AF70" s="89">
        <v>1</v>
      </c>
      <c r="AG70" s="592"/>
      <c r="AH70" s="593"/>
      <c r="AI70" s="89">
        <v>1</v>
      </c>
      <c r="AJ70" s="89">
        <v>1</v>
      </c>
      <c r="AK70" s="89">
        <v>1</v>
      </c>
      <c r="AL70" s="122">
        <v>1</v>
      </c>
      <c r="AM70" s="107">
        <v>1</v>
      </c>
      <c r="AN70" s="108">
        <v>1</v>
      </c>
      <c r="AO70" s="108">
        <v>1</v>
      </c>
      <c r="AP70" s="108">
        <v>1</v>
      </c>
      <c r="AQ70" s="108">
        <v>1</v>
      </c>
      <c r="AR70" s="108">
        <v>1</v>
      </c>
      <c r="AS70" s="108">
        <v>1</v>
      </c>
      <c r="AT70" s="108">
        <v>1</v>
      </c>
      <c r="AU70" s="108">
        <v>1</v>
      </c>
      <c r="AV70" s="131">
        <v>1</v>
      </c>
      <c r="AW70" s="126">
        <v>1</v>
      </c>
      <c r="AX70" s="127">
        <v>1</v>
      </c>
      <c r="AY70" s="127">
        <v>1</v>
      </c>
      <c r="AZ70" s="127">
        <v>1</v>
      </c>
      <c r="BA70" s="127">
        <v>1</v>
      </c>
      <c r="BB70" s="127">
        <v>1</v>
      </c>
      <c r="BC70" s="127">
        <v>1</v>
      </c>
      <c r="BD70" s="127">
        <v>1</v>
      </c>
      <c r="BE70" s="127">
        <v>1</v>
      </c>
      <c r="BF70" s="137">
        <v>1</v>
      </c>
      <c r="BG70" s="96">
        <v>0</v>
      </c>
      <c r="BH70" s="97">
        <v>0</v>
      </c>
      <c r="BI70" s="97">
        <v>0</v>
      </c>
      <c r="BJ70" s="97">
        <v>0</v>
      </c>
      <c r="BK70" s="97">
        <v>0</v>
      </c>
      <c r="BL70" s="97">
        <v>0</v>
      </c>
      <c r="BM70" s="100">
        <v>0</v>
      </c>
      <c r="BN70" s="100">
        <v>0</v>
      </c>
      <c r="BO70" s="100">
        <v>1</v>
      </c>
      <c r="BP70" s="101">
        <v>1</v>
      </c>
      <c r="BQ70" s="119">
        <v>1</v>
      </c>
      <c r="BR70" s="118">
        <v>1</v>
      </c>
      <c r="BS70" s="118">
        <v>1</v>
      </c>
      <c r="BT70" s="118">
        <v>1</v>
      </c>
      <c r="BU70" s="118">
        <v>1</v>
      </c>
      <c r="BV70" s="118">
        <v>1</v>
      </c>
      <c r="BW70" s="118">
        <v>1</v>
      </c>
      <c r="BX70" s="118">
        <v>1</v>
      </c>
      <c r="BY70" s="118">
        <v>1</v>
      </c>
      <c r="BZ70" s="120">
        <v>1</v>
      </c>
      <c r="CA70" s="537"/>
      <c r="CB70" s="538"/>
      <c r="CC70" s="538"/>
      <c r="CD70" s="538"/>
      <c r="CE70" s="538"/>
      <c r="CF70" s="538"/>
      <c r="CG70" s="538"/>
      <c r="CH70" s="538"/>
      <c r="CI70" s="538"/>
      <c r="CJ70" s="539"/>
      <c r="CK70" s="110">
        <v>1</v>
      </c>
      <c r="CL70" s="109">
        <v>1</v>
      </c>
      <c r="CM70" s="109">
        <v>1</v>
      </c>
      <c r="CN70" s="109">
        <v>1</v>
      </c>
      <c r="CO70" s="109">
        <v>1</v>
      </c>
      <c r="CP70" s="109">
        <v>1</v>
      </c>
      <c r="CQ70" s="109">
        <v>1</v>
      </c>
      <c r="CR70" s="109">
        <v>1</v>
      </c>
      <c r="CS70" s="109">
        <v>1</v>
      </c>
      <c r="CT70" s="111">
        <v>1</v>
      </c>
      <c r="CU70" s="128">
        <v>1</v>
      </c>
      <c r="CV70" s="129">
        <v>1</v>
      </c>
      <c r="CW70" s="129">
        <v>1</v>
      </c>
      <c r="CX70" s="129">
        <v>1</v>
      </c>
      <c r="CY70" s="129">
        <v>1</v>
      </c>
      <c r="CZ70" s="129">
        <v>1</v>
      </c>
      <c r="DA70" s="129">
        <v>1</v>
      </c>
      <c r="DB70" s="129">
        <v>1</v>
      </c>
      <c r="DC70" s="129">
        <v>1</v>
      </c>
      <c r="DD70" s="138">
        <v>1</v>
      </c>
      <c r="DE70" s="156">
        <v>1</v>
      </c>
      <c r="DF70" s="157">
        <v>1</v>
      </c>
      <c r="DG70" s="157">
        <v>1</v>
      </c>
      <c r="DH70" s="157">
        <v>1</v>
      </c>
      <c r="DI70" s="157">
        <v>1</v>
      </c>
      <c r="DJ70" s="157">
        <v>1</v>
      </c>
      <c r="DK70" s="157">
        <v>1</v>
      </c>
      <c r="DL70" s="157">
        <v>1</v>
      </c>
      <c r="DM70" s="157">
        <v>1</v>
      </c>
      <c r="DN70" s="158">
        <v>1</v>
      </c>
      <c r="DO70" s="119">
        <v>1</v>
      </c>
      <c r="DP70" s="118">
        <v>1</v>
      </c>
      <c r="DQ70" s="118">
        <v>1</v>
      </c>
      <c r="DR70" s="118">
        <v>1</v>
      </c>
      <c r="DS70" s="118">
        <v>1</v>
      </c>
      <c r="DT70" s="118">
        <v>1</v>
      </c>
      <c r="DU70" s="118">
        <v>1</v>
      </c>
      <c r="DV70" s="118">
        <v>1</v>
      </c>
      <c r="DW70" s="118">
        <v>1</v>
      </c>
      <c r="DX70" s="120">
        <v>1</v>
      </c>
      <c r="DY70" s="90">
        <v>0</v>
      </c>
      <c r="DZ70" s="91">
        <v>0</v>
      </c>
      <c r="EA70" s="91">
        <v>1</v>
      </c>
      <c r="EB70" s="91">
        <v>1</v>
      </c>
      <c r="EC70" s="91">
        <v>1</v>
      </c>
      <c r="ED70" s="91">
        <v>1</v>
      </c>
      <c r="EE70" s="91">
        <v>1</v>
      </c>
      <c r="EF70" s="91">
        <v>1</v>
      </c>
      <c r="EG70" s="91">
        <v>1</v>
      </c>
      <c r="EH70" s="92">
        <v>1</v>
      </c>
      <c r="EI70" s="110">
        <v>1</v>
      </c>
      <c r="EJ70" s="109">
        <v>1</v>
      </c>
      <c r="EK70" s="109">
        <v>1</v>
      </c>
      <c r="EL70" s="109">
        <v>1</v>
      </c>
      <c r="EM70" s="109">
        <v>1</v>
      </c>
      <c r="EN70" s="109">
        <v>1</v>
      </c>
      <c r="EO70" s="109">
        <v>1</v>
      </c>
      <c r="EP70" s="109">
        <v>1</v>
      </c>
      <c r="EQ70" s="109">
        <v>1</v>
      </c>
      <c r="ER70" s="132">
        <v>1</v>
      </c>
      <c r="ES70" s="176">
        <f t="shared" si="42"/>
        <v>10</v>
      </c>
      <c r="ET70" s="176">
        <f t="shared" si="43"/>
        <v>10</v>
      </c>
      <c r="EU70" s="176">
        <f t="shared" si="44"/>
        <v>8</v>
      </c>
      <c r="EV70" s="175">
        <f t="shared" si="45"/>
        <v>10</v>
      </c>
      <c r="EW70" s="175">
        <f t="shared" si="20"/>
        <v>2</v>
      </c>
      <c r="EX70" s="175">
        <f t="shared" si="46"/>
        <v>2</v>
      </c>
      <c r="EY70" s="175">
        <f t="shared" si="47"/>
        <v>10</v>
      </c>
      <c r="EZ70" s="176">
        <f t="shared" si="48"/>
        <v>0</v>
      </c>
      <c r="FA70" s="175">
        <f t="shared" si="49"/>
        <v>10</v>
      </c>
      <c r="FB70" s="175">
        <f t="shared" si="50"/>
        <v>10</v>
      </c>
      <c r="FC70" s="175">
        <f t="shared" si="51"/>
        <v>10</v>
      </c>
      <c r="FD70" s="175">
        <f t="shared" si="52"/>
        <v>10</v>
      </c>
      <c r="FE70" s="175">
        <f t="shared" si="53"/>
        <v>8</v>
      </c>
      <c r="FF70" s="175">
        <f t="shared" si="12"/>
        <v>10</v>
      </c>
      <c r="FG70" s="37">
        <f t="shared" si="56"/>
        <v>68</v>
      </c>
      <c r="FH70" s="165">
        <f t="shared" si="54"/>
        <v>110</v>
      </c>
      <c r="FI70" s="165">
        <f>SUM(I7:ER7)-SUM(ES70:FF70)</f>
        <v>18</v>
      </c>
      <c r="FJ70" s="165">
        <f t="shared" si="55"/>
        <v>128</v>
      </c>
      <c r="FK70" s="7"/>
    </row>
    <row r="71" spans="1:167" ht="15.75" customHeight="1">
      <c r="A71" s="2"/>
      <c r="B71" s="3">
        <f t="shared" si="40"/>
        <v>1</v>
      </c>
      <c r="C71" s="182">
        <f t="shared" si="41"/>
        <v>12</v>
      </c>
      <c r="D71" s="185" t="s">
        <v>207</v>
      </c>
      <c r="E71" s="178"/>
      <c r="F71" s="177">
        <v>17</v>
      </c>
      <c r="G71" s="628">
        <v>45915</v>
      </c>
      <c r="H71" s="629"/>
      <c r="I71" s="96">
        <v>0</v>
      </c>
      <c r="J71" s="97">
        <v>0</v>
      </c>
      <c r="K71" s="97">
        <v>0</v>
      </c>
      <c r="L71" s="97">
        <v>0</v>
      </c>
      <c r="M71" s="97">
        <v>0</v>
      </c>
      <c r="N71" s="97">
        <v>0</v>
      </c>
      <c r="O71" s="97">
        <v>0</v>
      </c>
      <c r="P71" s="97">
        <v>0</v>
      </c>
      <c r="Q71" s="97">
        <v>0</v>
      </c>
      <c r="R71" s="98">
        <v>0</v>
      </c>
      <c r="S71" s="115">
        <v>0</v>
      </c>
      <c r="T71" s="116">
        <v>0</v>
      </c>
      <c r="U71" s="116">
        <v>0</v>
      </c>
      <c r="V71" s="116">
        <v>0</v>
      </c>
      <c r="W71" s="116">
        <v>0</v>
      </c>
      <c r="X71" s="116">
        <v>0</v>
      </c>
      <c r="Y71" s="116">
        <v>0</v>
      </c>
      <c r="Z71" s="116">
        <v>0</v>
      </c>
      <c r="AA71" s="116">
        <v>0</v>
      </c>
      <c r="AB71" s="117">
        <v>0</v>
      </c>
      <c r="AC71" s="88">
        <v>1</v>
      </c>
      <c r="AD71" s="89">
        <v>1</v>
      </c>
      <c r="AE71" s="89">
        <v>1</v>
      </c>
      <c r="AF71" s="89">
        <v>1</v>
      </c>
      <c r="AG71" s="592"/>
      <c r="AH71" s="593"/>
      <c r="AI71" s="89">
        <v>1</v>
      </c>
      <c r="AJ71" s="89">
        <v>1</v>
      </c>
      <c r="AK71" s="89">
        <v>1</v>
      </c>
      <c r="AL71" s="122">
        <v>1</v>
      </c>
      <c r="AM71" s="107">
        <v>0</v>
      </c>
      <c r="AN71" s="108">
        <v>0</v>
      </c>
      <c r="AO71" s="108">
        <v>1</v>
      </c>
      <c r="AP71" s="108">
        <v>1</v>
      </c>
      <c r="AQ71" s="108">
        <v>1</v>
      </c>
      <c r="AR71" s="108">
        <v>1</v>
      </c>
      <c r="AS71" s="108">
        <v>1</v>
      </c>
      <c r="AT71" s="108">
        <v>1</v>
      </c>
      <c r="AU71" s="108">
        <v>1</v>
      </c>
      <c r="AV71" s="131">
        <v>1</v>
      </c>
      <c r="AW71" s="126">
        <v>1</v>
      </c>
      <c r="AX71" s="127">
        <v>1</v>
      </c>
      <c r="AY71" s="127">
        <v>1</v>
      </c>
      <c r="AZ71" s="127">
        <v>1</v>
      </c>
      <c r="BA71" s="127">
        <v>1</v>
      </c>
      <c r="BB71" s="127">
        <v>1</v>
      </c>
      <c r="BC71" s="127">
        <v>1</v>
      </c>
      <c r="BD71" s="127">
        <v>1</v>
      </c>
      <c r="BE71" s="127">
        <v>1</v>
      </c>
      <c r="BF71" s="137">
        <v>1</v>
      </c>
      <c r="BG71" s="96">
        <v>1</v>
      </c>
      <c r="BH71" s="97">
        <v>1</v>
      </c>
      <c r="BI71" s="97">
        <v>1</v>
      </c>
      <c r="BJ71" s="97">
        <v>1</v>
      </c>
      <c r="BK71" s="97">
        <v>1</v>
      </c>
      <c r="BL71" s="97">
        <v>1</v>
      </c>
      <c r="BM71" s="100">
        <v>1</v>
      </c>
      <c r="BN71" s="100">
        <v>1</v>
      </c>
      <c r="BO71" s="100">
        <v>1</v>
      </c>
      <c r="BP71" s="101">
        <v>1</v>
      </c>
      <c r="BQ71" s="119">
        <v>1</v>
      </c>
      <c r="BR71" s="118">
        <v>1</v>
      </c>
      <c r="BS71" s="118">
        <v>1</v>
      </c>
      <c r="BT71" s="118">
        <v>1</v>
      </c>
      <c r="BU71" s="118">
        <v>1</v>
      </c>
      <c r="BV71" s="118">
        <v>1</v>
      </c>
      <c r="BW71" s="118">
        <v>1</v>
      </c>
      <c r="BX71" s="118">
        <v>1</v>
      </c>
      <c r="BY71" s="118">
        <v>1</v>
      </c>
      <c r="BZ71" s="120">
        <v>1</v>
      </c>
      <c r="CA71" s="537"/>
      <c r="CB71" s="538"/>
      <c r="CC71" s="538"/>
      <c r="CD71" s="538"/>
      <c r="CE71" s="538"/>
      <c r="CF71" s="538"/>
      <c r="CG71" s="538"/>
      <c r="CH71" s="538"/>
      <c r="CI71" s="538"/>
      <c r="CJ71" s="539"/>
      <c r="CK71" s="110">
        <v>0</v>
      </c>
      <c r="CL71" s="109">
        <v>0</v>
      </c>
      <c r="CM71" s="109">
        <v>0</v>
      </c>
      <c r="CN71" s="109">
        <v>0</v>
      </c>
      <c r="CO71" s="109">
        <v>0</v>
      </c>
      <c r="CP71" s="109">
        <v>0</v>
      </c>
      <c r="CQ71" s="109">
        <v>0</v>
      </c>
      <c r="CR71" s="109">
        <v>0</v>
      </c>
      <c r="CS71" s="109">
        <v>1</v>
      </c>
      <c r="CT71" s="111">
        <v>1</v>
      </c>
      <c r="CU71" s="128">
        <v>1</v>
      </c>
      <c r="CV71" s="129">
        <v>1</v>
      </c>
      <c r="CW71" s="129">
        <v>0</v>
      </c>
      <c r="CX71" s="129">
        <v>0</v>
      </c>
      <c r="CY71" s="129">
        <v>0</v>
      </c>
      <c r="CZ71" s="129">
        <v>0</v>
      </c>
      <c r="DA71" s="129">
        <v>1</v>
      </c>
      <c r="DB71" s="129">
        <v>1</v>
      </c>
      <c r="DC71" s="129">
        <v>1</v>
      </c>
      <c r="DD71" s="138">
        <v>1</v>
      </c>
      <c r="DE71" s="156">
        <v>1</v>
      </c>
      <c r="DF71" s="157">
        <v>1</v>
      </c>
      <c r="DG71" s="157">
        <v>1</v>
      </c>
      <c r="DH71" s="157">
        <v>1</v>
      </c>
      <c r="DI71" s="157">
        <v>1</v>
      </c>
      <c r="DJ71" s="157">
        <v>1</v>
      </c>
      <c r="DK71" s="157">
        <v>1</v>
      </c>
      <c r="DL71" s="157">
        <v>1</v>
      </c>
      <c r="DM71" s="157">
        <v>1</v>
      </c>
      <c r="DN71" s="158">
        <v>1</v>
      </c>
      <c r="DO71" s="119">
        <v>1</v>
      </c>
      <c r="DP71" s="118">
        <v>1</v>
      </c>
      <c r="DQ71" s="118">
        <v>1</v>
      </c>
      <c r="DR71" s="118">
        <v>1</v>
      </c>
      <c r="DS71" s="118">
        <v>1</v>
      </c>
      <c r="DT71" s="118">
        <v>1</v>
      </c>
      <c r="DU71" s="118">
        <v>1</v>
      </c>
      <c r="DV71" s="118">
        <v>1</v>
      </c>
      <c r="DW71" s="118">
        <v>1</v>
      </c>
      <c r="DX71" s="120">
        <v>1</v>
      </c>
      <c r="DY71" s="90">
        <v>1</v>
      </c>
      <c r="DZ71" s="91">
        <v>1</v>
      </c>
      <c r="EA71" s="91">
        <v>1</v>
      </c>
      <c r="EB71" s="91">
        <v>1</v>
      </c>
      <c r="EC71" s="91">
        <v>1</v>
      </c>
      <c r="ED71" s="91">
        <v>1</v>
      </c>
      <c r="EE71" s="91">
        <v>1</v>
      </c>
      <c r="EF71" s="91">
        <v>1</v>
      </c>
      <c r="EG71" s="91">
        <v>1</v>
      </c>
      <c r="EH71" s="92">
        <v>1</v>
      </c>
      <c r="EI71" s="110">
        <v>1</v>
      </c>
      <c r="EJ71" s="109">
        <v>1</v>
      </c>
      <c r="EK71" s="109">
        <v>1</v>
      </c>
      <c r="EL71" s="109">
        <v>1</v>
      </c>
      <c r="EM71" s="109">
        <v>1</v>
      </c>
      <c r="EN71" s="109">
        <v>1</v>
      </c>
      <c r="EO71" s="109">
        <v>1</v>
      </c>
      <c r="EP71" s="109">
        <v>1</v>
      </c>
      <c r="EQ71" s="109">
        <v>1</v>
      </c>
      <c r="ER71" s="132">
        <v>1</v>
      </c>
      <c r="ES71" s="176">
        <f t="shared" si="42"/>
        <v>0</v>
      </c>
      <c r="ET71" s="176">
        <f t="shared" si="43"/>
        <v>0</v>
      </c>
      <c r="EU71" s="176">
        <f t="shared" si="44"/>
        <v>8</v>
      </c>
      <c r="EV71" s="175">
        <f t="shared" si="45"/>
        <v>8</v>
      </c>
      <c r="EW71" s="175">
        <f t="shared" si="20"/>
        <v>10</v>
      </c>
      <c r="EX71" s="175">
        <f t="shared" si="46"/>
        <v>10</v>
      </c>
      <c r="EY71" s="175">
        <f t="shared" si="47"/>
        <v>10</v>
      </c>
      <c r="EZ71" s="176">
        <f t="shared" si="48"/>
        <v>0</v>
      </c>
      <c r="FA71" s="175">
        <f t="shared" si="49"/>
        <v>2</v>
      </c>
      <c r="FB71" s="175">
        <f t="shared" si="50"/>
        <v>6</v>
      </c>
      <c r="FC71" s="175">
        <f t="shared" si="51"/>
        <v>10</v>
      </c>
      <c r="FD71" s="175">
        <f t="shared" si="52"/>
        <v>10</v>
      </c>
      <c r="FE71" s="175">
        <f t="shared" si="53"/>
        <v>10</v>
      </c>
      <c r="FF71" s="175">
        <f t="shared" si="12"/>
        <v>10</v>
      </c>
      <c r="FG71" s="37">
        <f t="shared" si="56"/>
        <v>69</v>
      </c>
      <c r="FH71" s="165">
        <f t="shared" si="54"/>
        <v>94</v>
      </c>
      <c r="FI71" s="165">
        <f>SUM(I7:ER7)-SUM(ES71:FF71)</f>
        <v>34</v>
      </c>
      <c r="FJ71" s="165">
        <f t="shared" si="55"/>
        <v>128</v>
      </c>
      <c r="FK71" s="7"/>
    </row>
    <row r="72" spans="1:167" ht="15.75" customHeight="1">
      <c r="A72" s="2"/>
      <c r="B72" s="3">
        <f t="shared" si="40"/>
        <v>0</v>
      </c>
      <c r="C72" s="182">
        <f t="shared" si="41"/>
        <v>13</v>
      </c>
      <c r="D72" s="186"/>
      <c r="E72" s="178"/>
      <c r="F72" s="178"/>
      <c r="G72" s="628">
        <v>45915</v>
      </c>
      <c r="H72" s="629"/>
      <c r="I72" s="99"/>
      <c r="J72" s="100"/>
      <c r="K72" s="100"/>
      <c r="L72" s="100"/>
      <c r="M72" s="100"/>
      <c r="N72" s="100"/>
      <c r="O72" s="100"/>
      <c r="P72" s="100"/>
      <c r="Q72" s="100"/>
      <c r="R72" s="101"/>
      <c r="S72" s="119"/>
      <c r="T72" s="118"/>
      <c r="U72" s="118"/>
      <c r="V72" s="118"/>
      <c r="W72" s="118"/>
      <c r="X72" s="118"/>
      <c r="Y72" s="118"/>
      <c r="Z72" s="118"/>
      <c r="AA72" s="118"/>
      <c r="AB72" s="120"/>
      <c r="AC72" s="90"/>
      <c r="AD72" s="91"/>
      <c r="AE72" s="91"/>
      <c r="AF72" s="91"/>
      <c r="AG72" s="592"/>
      <c r="AH72" s="593"/>
      <c r="AI72" s="91"/>
      <c r="AJ72" s="91"/>
      <c r="AK72" s="91"/>
      <c r="AL72" s="123"/>
      <c r="AM72" s="110"/>
      <c r="AN72" s="109"/>
      <c r="AO72" s="109"/>
      <c r="AP72" s="109"/>
      <c r="AQ72" s="109"/>
      <c r="AR72" s="109"/>
      <c r="AS72" s="109"/>
      <c r="AT72" s="109"/>
      <c r="AU72" s="109"/>
      <c r="AV72" s="132"/>
      <c r="AW72" s="128"/>
      <c r="AX72" s="129"/>
      <c r="AY72" s="129"/>
      <c r="AZ72" s="129"/>
      <c r="BA72" s="129"/>
      <c r="BB72" s="129"/>
      <c r="BC72" s="129"/>
      <c r="BD72" s="129"/>
      <c r="BE72" s="129"/>
      <c r="BF72" s="138"/>
      <c r="BG72" s="99"/>
      <c r="BH72" s="100"/>
      <c r="BI72" s="100"/>
      <c r="BJ72" s="100"/>
      <c r="BK72" s="100"/>
      <c r="BL72" s="100"/>
      <c r="BM72" s="100"/>
      <c r="BN72" s="100"/>
      <c r="BO72" s="100"/>
      <c r="BP72" s="101"/>
      <c r="BQ72" s="119"/>
      <c r="BR72" s="118"/>
      <c r="BS72" s="118"/>
      <c r="BT72" s="118"/>
      <c r="BU72" s="118"/>
      <c r="BV72" s="118"/>
      <c r="BW72" s="118"/>
      <c r="BX72" s="118"/>
      <c r="BY72" s="118"/>
      <c r="BZ72" s="120"/>
      <c r="CA72" s="537"/>
      <c r="CB72" s="538"/>
      <c r="CC72" s="538"/>
      <c r="CD72" s="538"/>
      <c r="CE72" s="538"/>
      <c r="CF72" s="538"/>
      <c r="CG72" s="538"/>
      <c r="CH72" s="538"/>
      <c r="CI72" s="538"/>
      <c r="CJ72" s="539"/>
      <c r="CK72" s="110"/>
      <c r="CL72" s="109"/>
      <c r="CM72" s="109"/>
      <c r="CN72" s="109"/>
      <c r="CO72" s="109"/>
      <c r="CP72" s="109"/>
      <c r="CQ72" s="109"/>
      <c r="CR72" s="109"/>
      <c r="CS72" s="109"/>
      <c r="CT72" s="111"/>
      <c r="CU72" s="128"/>
      <c r="CV72" s="129"/>
      <c r="CW72" s="129"/>
      <c r="CX72" s="129"/>
      <c r="CY72" s="129"/>
      <c r="CZ72" s="129"/>
      <c r="DA72" s="129"/>
      <c r="DB72" s="129"/>
      <c r="DC72" s="129"/>
      <c r="DD72" s="138"/>
      <c r="DE72" s="156"/>
      <c r="DF72" s="157"/>
      <c r="DG72" s="157"/>
      <c r="DH72" s="157"/>
      <c r="DI72" s="157"/>
      <c r="DJ72" s="157"/>
      <c r="DK72" s="157"/>
      <c r="DL72" s="157"/>
      <c r="DM72" s="157"/>
      <c r="DN72" s="158"/>
      <c r="DO72" s="119"/>
      <c r="DP72" s="118"/>
      <c r="DQ72" s="118"/>
      <c r="DR72" s="118"/>
      <c r="DS72" s="118"/>
      <c r="DT72" s="118"/>
      <c r="DU72" s="118"/>
      <c r="DV72" s="118"/>
      <c r="DW72" s="118"/>
      <c r="DX72" s="120"/>
      <c r="DY72" s="90"/>
      <c r="DZ72" s="91"/>
      <c r="EA72" s="91"/>
      <c r="EB72" s="91"/>
      <c r="EC72" s="91"/>
      <c r="ED72" s="91"/>
      <c r="EE72" s="91"/>
      <c r="EF72" s="91"/>
      <c r="EG72" s="91"/>
      <c r="EH72" s="92"/>
      <c r="EI72" s="110"/>
      <c r="EJ72" s="109"/>
      <c r="EK72" s="109"/>
      <c r="EL72" s="109"/>
      <c r="EM72" s="109"/>
      <c r="EN72" s="109"/>
      <c r="EO72" s="109"/>
      <c r="EP72" s="109"/>
      <c r="EQ72" s="109"/>
      <c r="ER72" s="132"/>
      <c r="ES72" s="176">
        <f t="shared" si="42"/>
        <v>0</v>
      </c>
      <c r="ET72" s="176">
        <f t="shared" si="43"/>
        <v>0</v>
      </c>
      <c r="EU72" s="176">
        <f t="shared" si="44"/>
        <v>0</v>
      </c>
      <c r="EV72" s="175">
        <f t="shared" si="45"/>
        <v>0</v>
      </c>
      <c r="EW72" s="175">
        <f t="shared" si="20"/>
        <v>0</v>
      </c>
      <c r="EX72" s="175">
        <f t="shared" si="46"/>
        <v>0</v>
      </c>
      <c r="EY72" s="175">
        <f t="shared" si="47"/>
        <v>0</v>
      </c>
      <c r="EZ72" s="176">
        <f t="shared" si="48"/>
        <v>0</v>
      </c>
      <c r="FA72" s="175">
        <f t="shared" si="49"/>
        <v>0</v>
      </c>
      <c r="FB72" s="175">
        <f t="shared" si="50"/>
        <v>0</v>
      </c>
      <c r="FC72" s="175">
        <f t="shared" si="51"/>
        <v>0</v>
      </c>
      <c r="FD72" s="175">
        <f t="shared" si="52"/>
        <v>0</v>
      </c>
      <c r="FE72" s="175">
        <f t="shared" si="53"/>
        <v>0</v>
      </c>
      <c r="FF72" s="175">
        <f t="shared" ref="FF72:FF109" si="57">SUM(EI72:ER72)</f>
        <v>0</v>
      </c>
      <c r="FG72" s="37">
        <f t="shared" si="56"/>
        <v>70</v>
      </c>
      <c r="FH72" s="165">
        <f t="shared" si="54"/>
        <v>0</v>
      </c>
      <c r="FI72" s="165">
        <f>SUM(I7:ER7)-SUM(ES72:FF72)</f>
        <v>128</v>
      </c>
      <c r="FJ72" s="165">
        <f t="shared" si="55"/>
        <v>128</v>
      </c>
      <c r="FK72" s="7"/>
    </row>
    <row r="73" spans="1:167" ht="15.75" customHeight="1">
      <c r="A73" s="2"/>
      <c r="B73" s="3">
        <f t="shared" si="40"/>
        <v>0</v>
      </c>
      <c r="C73" s="182">
        <f t="shared" si="41"/>
        <v>14</v>
      </c>
      <c r="D73" s="186"/>
      <c r="E73" s="178"/>
      <c r="F73" s="178"/>
      <c r="G73" s="628">
        <v>45915</v>
      </c>
      <c r="H73" s="629"/>
      <c r="I73" s="99"/>
      <c r="J73" s="100"/>
      <c r="K73" s="100"/>
      <c r="L73" s="100"/>
      <c r="M73" s="100"/>
      <c r="N73" s="100"/>
      <c r="O73" s="100"/>
      <c r="P73" s="100"/>
      <c r="Q73" s="100"/>
      <c r="R73" s="101"/>
      <c r="S73" s="119"/>
      <c r="T73" s="118"/>
      <c r="U73" s="118"/>
      <c r="V73" s="118"/>
      <c r="W73" s="118"/>
      <c r="X73" s="118"/>
      <c r="Y73" s="118"/>
      <c r="Z73" s="118"/>
      <c r="AA73" s="118"/>
      <c r="AB73" s="120"/>
      <c r="AC73" s="90"/>
      <c r="AD73" s="91"/>
      <c r="AE73" s="91"/>
      <c r="AF73" s="91"/>
      <c r="AG73" s="592"/>
      <c r="AH73" s="593"/>
      <c r="AI73" s="91"/>
      <c r="AJ73" s="91"/>
      <c r="AK73" s="91"/>
      <c r="AL73" s="123"/>
      <c r="AM73" s="110"/>
      <c r="AN73" s="109"/>
      <c r="AO73" s="109"/>
      <c r="AP73" s="109"/>
      <c r="AQ73" s="109"/>
      <c r="AR73" s="109"/>
      <c r="AS73" s="109"/>
      <c r="AT73" s="109"/>
      <c r="AU73" s="109"/>
      <c r="AV73" s="132"/>
      <c r="AW73" s="128"/>
      <c r="AX73" s="129"/>
      <c r="AY73" s="129"/>
      <c r="AZ73" s="129"/>
      <c r="BA73" s="129"/>
      <c r="BB73" s="129"/>
      <c r="BC73" s="129"/>
      <c r="BD73" s="129"/>
      <c r="BE73" s="129"/>
      <c r="BF73" s="138"/>
      <c r="BG73" s="99"/>
      <c r="BH73" s="100"/>
      <c r="BI73" s="100"/>
      <c r="BJ73" s="100"/>
      <c r="BK73" s="100"/>
      <c r="BL73" s="100"/>
      <c r="BM73" s="100"/>
      <c r="BN73" s="100"/>
      <c r="BO73" s="100"/>
      <c r="BP73" s="101"/>
      <c r="BQ73" s="119"/>
      <c r="BR73" s="118"/>
      <c r="BS73" s="118"/>
      <c r="BT73" s="118"/>
      <c r="BU73" s="118"/>
      <c r="BV73" s="118"/>
      <c r="BW73" s="118"/>
      <c r="BX73" s="118"/>
      <c r="BY73" s="118"/>
      <c r="BZ73" s="120"/>
      <c r="CA73" s="537"/>
      <c r="CB73" s="538"/>
      <c r="CC73" s="538"/>
      <c r="CD73" s="538"/>
      <c r="CE73" s="538"/>
      <c r="CF73" s="538"/>
      <c r="CG73" s="538"/>
      <c r="CH73" s="538"/>
      <c r="CI73" s="538"/>
      <c r="CJ73" s="539"/>
      <c r="CK73" s="110"/>
      <c r="CL73" s="109"/>
      <c r="CM73" s="109"/>
      <c r="CN73" s="109"/>
      <c r="CO73" s="109"/>
      <c r="CP73" s="109"/>
      <c r="CQ73" s="109"/>
      <c r="CR73" s="109"/>
      <c r="CS73" s="109"/>
      <c r="CT73" s="111"/>
      <c r="CU73" s="128"/>
      <c r="CV73" s="129"/>
      <c r="CW73" s="129"/>
      <c r="CX73" s="129"/>
      <c r="CY73" s="129"/>
      <c r="CZ73" s="129"/>
      <c r="DA73" s="129"/>
      <c r="DB73" s="129"/>
      <c r="DC73" s="129"/>
      <c r="DD73" s="138"/>
      <c r="DE73" s="156"/>
      <c r="DF73" s="157"/>
      <c r="DG73" s="157"/>
      <c r="DH73" s="157"/>
      <c r="DI73" s="157"/>
      <c r="DJ73" s="157"/>
      <c r="DK73" s="157"/>
      <c r="DL73" s="157"/>
      <c r="DM73" s="157"/>
      <c r="DN73" s="158"/>
      <c r="DO73" s="119"/>
      <c r="DP73" s="118"/>
      <c r="DQ73" s="118"/>
      <c r="DR73" s="118"/>
      <c r="DS73" s="118"/>
      <c r="DT73" s="118"/>
      <c r="DU73" s="118"/>
      <c r="DV73" s="118"/>
      <c r="DW73" s="118"/>
      <c r="DX73" s="120"/>
      <c r="DY73" s="90"/>
      <c r="DZ73" s="91"/>
      <c r="EA73" s="91"/>
      <c r="EB73" s="91"/>
      <c r="EC73" s="91"/>
      <c r="ED73" s="91"/>
      <c r="EE73" s="91"/>
      <c r="EF73" s="91"/>
      <c r="EG73" s="91"/>
      <c r="EH73" s="92"/>
      <c r="EI73" s="110"/>
      <c r="EJ73" s="109"/>
      <c r="EK73" s="109"/>
      <c r="EL73" s="109"/>
      <c r="EM73" s="109"/>
      <c r="EN73" s="109"/>
      <c r="EO73" s="109"/>
      <c r="EP73" s="109"/>
      <c r="EQ73" s="109"/>
      <c r="ER73" s="132"/>
      <c r="ES73" s="176">
        <f t="shared" si="42"/>
        <v>0</v>
      </c>
      <c r="ET73" s="176">
        <f t="shared" si="43"/>
        <v>0</v>
      </c>
      <c r="EU73" s="176">
        <f t="shared" si="44"/>
        <v>0</v>
      </c>
      <c r="EV73" s="175">
        <f t="shared" si="45"/>
        <v>0</v>
      </c>
      <c r="EW73" s="175">
        <f t="shared" ref="EW73:EW110" si="58">SUM(BG73:BP73)</f>
        <v>0</v>
      </c>
      <c r="EX73" s="175">
        <f t="shared" si="46"/>
        <v>0</v>
      </c>
      <c r="EY73" s="175">
        <f t="shared" si="47"/>
        <v>0</v>
      </c>
      <c r="EZ73" s="176">
        <f t="shared" si="48"/>
        <v>0</v>
      </c>
      <c r="FA73" s="175">
        <f t="shared" si="49"/>
        <v>0</v>
      </c>
      <c r="FB73" s="175">
        <f t="shared" si="50"/>
        <v>0</v>
      </c>
      <c r="FC73" s="175">
        <f t="shared" si="51"/>
        <v>0</v>
      </c>
      <c r="FD73" s="175">
        <f t="shared" si="52"/>
        <v>0</v>
      </c>
      <c r="FE73" s="175">
        <f t="shared" si="53"/>
        <v>0</v>
      </c>
      <c r="FF73" s="175">
        <f t="shared" si="57"/>
        <v>0</v>
      </c>
      <c r="FG73" s="37">
        <f t="shared" si="56"/>
        <v>71</v>
      </c>
      <c r="FH73" s="165">
        <f t="shared" si="54"/>
        <v>0</v>
      </c>
      <c r="FI73" s="165">
        <f>SUM(I7:ER7)-SUM(ES73:FF73)</f>
        <v>128</v>
      </c>
      <c r="FJ73" s="165">
        <f t="shared" si="55"/>
        <v>128</v>
      </c>
      <c r="FK73" s="7"/>
    </row>
    <row r="74" spans="1:167" ht="15.75" customHeight="1">
      <c r="A74" s="2"/>
      <c r="B74" s="3">
        <f t="shared" si="40"/>
        <v>0</v>
      </c>
      <c r="C74" s="182">
        <f t="shared" si="41"/>
        <v>15</v>
      </c>
      <c r="D74" s="186"/>
      <c r="E74" s="178"/>
      <c r="F74" s="178"/>
      <c r="G74" s="628">
        <v>45915</v>
      </c>
      <c r="H74" s="629"/>
      <c r="I74" s="99"/>
      <c r="J74" s="100"/>
      <c r="K74" s="100"/>
      <c r="L74" s="100"/>
      <c r="M74" s="100"/>
      <c r="N74" s="100"/>
      <c r="O74" s="100"/>
      <c r="P74" s="100"/>
      <c r="Q74" s="100"/>
      <c r="R74" s="101"/>
      <c r="S74" s="119"/>
      <c r="T74" s="118"/>
      <c r="U74" s="118"/>
      <c r="V74" s="118"/>
      <c r="W74" s="118"/>
      <c r="X74" s="118"/>
      <c r="Y74" s="118"/>
      <c r="Z74" s="118"/>
      <c r="AA74" s="118"/>
      <c r="AB74" s="120"/>
      <c r="AC74" s="90"/>
      <c r="AD74" s="91"/>
      <c r="AE74" s="91"/>
      <c r="AF74" s="91"/>
      <c r="AG74" s="592"/>
      <c r="AH74" s="593"/>
      <c r="AI74" s="91"/>
      <c r="AJ74" s="91"/>
      <c r="AK74" s="91"/>
      <c r="AL74" s="123"/>
      <c r="AM74" s="110"/>
      <c r="AN74" s="109"/>
      <c r="AO74" s="109"/>
      <c r="AP74" s="109"/>
      <c r="AQ74" s="109"/>
      <c r="AR74" s="109"/>
      <c r="AS74" s="109"/>
      <c r="AT74" s="109"/>
      <c r="AU74" s="109"/>
      <c r="AV74" s="132"/>
      <c r="AW74" s="128"/>
      <c r="AX74" s="129"/>
      <c r="AY74" s="129"/>
      <c r="AZ74" s="129"/>
      <c r="BA74" s="129"/>
      <c r="BB74" s="129"/>
      <c r="BC74" s="129"/>
      <c r="BD74" s="129"/>
      <c r="BE74" s="129"/>
      <c r="BF74" s="138"/>
      <c r="BG74" s="99"/>
      <c r="BH74" s="100"/>
      <c r="BI74" s="100"/>
      <c r="BJ74" s="100"/>
      <c r="BK74" s="100"/>
      <c r="BL74" s="100"/>
      <c r="BM74" s="100"/>
      <c r="BN74" s="100"/>
      <c r="BO74" s="100"/>
      <c r="BP74" s="101"/>
      <c r="BQ74" s="119"/>
      <c r="BR74" s="118"/>
      <c r="BS74" s="118"/>
      <c r="BT74" s="118"/>
      <c r="BU74" s="118"/>
      <c r="BV74" s="118"/>
      <c r="BW74" s="118"/>
      <c r="BX74" s="118"/>
      <c r="BY74" s="118"/>
      <c r="BZ74" s="120"/>
      <c r="CA74" s="537"/>
      <c r="CB74" s="538"/>
      <c r="CC74" s="538"/>
      <c r="CD74" s="538"/>
      <c r="CE74" s="538"/>
      <c r="CF74" s="538"/>
      <c r="CG74" s="538"/>
      <c r="CH74" s="538"/>
      <c r="CI74" s="538"/>
      <c r="CJ74" s="539"/>
      <c r="CK74" s="110"/>
      <c r="CL74" s="109"/>
      <c r="CM74" s="109"/>
      <c r="CN74" s="109"/>
      <c r="CO74" s="109"/>
      <c r="CP74" s="109"/>
      <c r="CQ74" s="109"/>
      <c r="CR74" s="109"/>
      <c r="CS74" s="109"/>
      <c r="CT74" s="111"/>
      <c r="CU74" s="128"/>
      <c r="CV74" s="129"/>
      <c r="CW74" s="129"/>
      <c r="CX74" s="129"/>
      <c r="CY74" s="129"/>
      <c r="CZ74" s="129"/>
      <c r="DA74" s="129"/>
      <c r="DB74" s="129"/>
      <c r="DC74" s="129"/>
      <c r="DD74" s="138"/>
      <c r="DE74" s="156"/>
      <c r="DF74" s="157"/>
      <c r="DG74" s="157"/>
      <c r="DH74" s="157"/>
      <c r="DI74" s="157"/>
      <c r="DJ74" s="157"/>
      <c r="DK74" s="157"/>
      <c r="DL74" s="157"/>
      <c r="DM74" s="157"/>
      <c r="DN74" s="158"/>
      <c r="DO74" s="119"/>
      <c r="DP74" s="118"/>
      <c r="DQ74" s="118"/>
      <c r="DR74" s="118"/>
      <c r="DS74" s="118"/>
      <c r="DT74" s="118"/>
      <c r="DU74" s="118"/>
      <c r="DV74" s="118"/>
      <c r="DW74" s="118"/>
      <c r="DX74" s="120"/>
      <c r="DY74" s="90"/>
      <c r="DZ74" s="91"/>
      <c r="EA74" s="91"/>
      <c r="EB74" s="91"/>
      <c r="EC74" s="91"/>
      <c r="ED74" s="91"/>
      <c r="EE74" s="91"/>
      <c r="EF74" s="91"/>
      <c r="EG74" s="91"/>
      <c r="EH74" s="92"/>
      <c r="EI74" s="110"/>
      <c r="EJ74" s="109"/>
      <c r="EK74" s="109"/>
      <c r="EL74" s="109"/>
      <c r="EM74" s="109"/>
      <c r="EN74" s="109"/>
      <c r="EO74" s="109"/>
      <c r="EP74" s="109"/>
      <c r="EQ74" s="109"/>
      <c r="ER74" s="132"/>
      <c r="ES74" s="176">
        <f t="shared" si="42"/>
        <v>0</v>
      </c>
      <c r="ET74" s="176">
        <f t="shared" si="43"/>
        <v>0</v>
      </c>
      <c r="EU74" s="176">
        <f t="shared" si="44"/>
        <v>0</v>
      </c>
      <c r="EV74" s="175">
        <f t="shared" si="45"/>
        <v>0</v>
      </c>
      <c r="EW74" s="175">
        <f t="shared" si="58"/>
        <v>0</v>
      </c>
      <c r="EX74" s="175">
        <f t="shared" si="46"/>
        <v>0</v>
      </c>
      <c r="EY74" s="175">
        <f t="shared" si="47"/>
        <v>0</v>
      </c>
      <c r="EZ74" s="176">
        <f t="shared" si="48"/>
        <v>0</v>
      </c>
      <c r="FA74" s="175">
        <f t="shared" si="49"/>
        <v>0</v>
      </c>
      <c r="FB74" s="175">
        <f t="shared" si="50"/>
        <v>0</v>
      </c>
      <c r="FC74" s="175">
        <f t="shared" si="51"/>
        <v>0</v>
      </c>
      <c r="FD74" s="175">
        <f t="shared" si="52"/>
        <v>0</v>
      </c>
      <c r="FE74" s="175">
        <f t="shared" si="53"/>
        <v>0</v>
      </c>
      <c r="FF74" s="175">
        <f t="shared" si="57"/>
        <v>0</v>
      </c>
      <c r="FG74" s="37">
        <f t="shared" si="56"/>
        <v>72</v>
      </c>
      <c r="FH74" s="165">
        <f t="shared" si="54"/>
        <v>0</v>
      </c>
      <c r="FI74" s="165">
        <f>SUM(I7:ER7)-SUM(ES74:FF74)</f>
        <v>128</v>
      </c>
      <c r="FJ74" s="165">
        <f t="shared" si="55"/>
        <v>128</v>
      </c>
      <c r="FK74" s="7"/>
    </row>
    <row r="75" spans="1:167" ht="15.75" customHeight="1">
      <c r="A75" s="2"/>
      <c r="B75" s="3">
        <f t="shared" si="40"/>
        <v>0</v>
      </c>
      <c r="C75" s="182">
        <f t="shared" si="41"/>
        <v>16</v>
      </c>
      <c r="D75" s="186"/>
      <c r="E75" s="178"/>
      <c r="F75" s="178"/>
      <c r="G75" s="628">
        <v>45915</v>
      </c>
      <c r="H75" s="629"/>
      <c r="I75" s="99"/>
      <c r="J75" s="100"/>
      <c r="K75" s="100"/>
      <c r="L75" s="100"/>
      <c r="M75" s="100"/>
      <c r="N75" s="100"/>
      <c r="O75" s="100"/>
      <c r="P75" s="100"/>
      <c r="Q75" s="100"/>
      <c r="R75" s="101"/>
      <c r="S75" s="119"/>
      <c r="T75" s="118"/>
      <c r="U75" s="118"/>
      <c r="V75" s="118"/>
      <c r="W75" s="118"/>
      <c r="X75" s="118"/>
      <c r="Y75" s="118"/>
      <c r="Z75" s="118"/>
      <c r="AA75" s="118"/>
      <c r="AB75" s="120"/>
      <c r="AC75" s="90"/>
      <c r="AD75" s="91"/>
      <c r="AE75" s="91"/>
      <c r="AF75" s="91"/>
      <c r="AG75" s="592"/>
      <c r="AH75" s="593"/>
      <c r="AI75" s="91"/>
      <c r="AJ75" s="91"/>
      <c r="AK75" s="91"/>
      <c r="AL75" s="123"/>
      <c r="AM75" s="110"/>
      <c r="AN75" s="109"/>
      <c r="AO75" s="109"/>
      <c r="AP75" s="109"/>
      <c r="AQ75" s="109"/>
      <c r="AR75" s="109"/>
      <c r="AS75" s="109"/>
      <c r="AT75" s="109"/>
      <c r="AU75" s="109"/>
      <c r="AV75" s="132"/>
      <c r="AW75" s="128"/>
      <c r="AX75" s="129"/>
      <c r="AY75" s="129"/>
      <c r="AZ75" s="129"/>
      <c r="BA75" s="129"/>
      <c r="BB75" s="129"/>
      <c r="BC75" s="129"/>
      <c r="BD75" s="129"/>
      <c r="BE75" s="129"/>
      <c r="BF75" s="138"/>
      <c r="BG75" s="99"/>
      <c r="BH75" s="100"/>
      <c r="BI75" s="100"/>
      <c r="BJ75" s="100"/>
      <c r="BK75" s="100"/>
      <c r="BL75" s="100"/>
      <c r="BM75" s="100"/>
      <c r="BN75" s="100"/>
      <c r="BO75" s="100"/>
      <c r="BP75" s="101"/>
      <c r="BQ75" s="119"/>
      <c r="BR75" s="118"/>
      <c r="BS75" s="118"/>
      <c r="BT75" s="118"/>
      <c r="BU75" s="118"/>
      <c r="BV75" s="118"/>
      <c r="BW75" s="118"/>
      <c r="BX75" s="118"/>
      <c r="BY75" s="118"/>
      <c r="BZ75" s="120"/>
      <c r="CA75" s="537"/>
      <c r="CB75" s="538"/>
      <c r="CC75" s="538"/>
      <c r="CD75" s="538"/>
      <c r="CE75" s="538"/>
      <c r="CF75" s="538"/>
      <c r="CG75" s="538"/>
      <c r="CH75" s="538"/>
      <c r="CI75" s="538"/>
      <c r="CJ75" s="539"/>
      <c r="CK75" s="110"/>
      <c r="CL75" s="109"/>
      <c r="CM75" s="109"/>
      <c r="CN75" s="109"/>
      <c r="CO75" s="109"/>
      <c r="CP75" s="109"/>
      <c r="CQ75" s="109"/>
      <c r="CR75" s="109"/>
      <c r="CS75" s="109"/>
      <c r="CT75" s="111"/>
      <c r="CU75" s="128"/>
      <c r="CV75" s="129"/>
      <c r="CW75" s="129"/>
      <c r="CX75" s="129"/>
      <c r="CY75" s="129"/>
      <c r="CZ75" s="129"/>
      <c r="DA75" s="129"/>
      <c r="DB75" s="129"/>
      <c r="DC75" s="129"/>
      <c r="DD75" s="138"/>
      <c r="DE75" s="156"/>
      <c r="DF75" s="157"/>
      <c r="DG75" s="157"/>
      <c r="DH75" s="157"/>
      <c r="DI75" s="157"/>
      <c r="DJ75" s="157"/>
      <c r="DK75" s="157"/>
      <c r="DL75" s="157"/>
      <c r="DM75" s="157"/>
      <c r="DN75" s="158"/>
      <c r="DO75" s="119"/>
      <c r="DP75" s="118"/>
      <c r="DQ75" s="118"/>
      <c r="DR75" s="118"/>
      <c r="DS75" s="118"/>
      <c r="DT75" s="118"/>
      <c r="DU75" s="118"/>
      <c r="DV75" s="118"/>
      <c r="DW75" s="118"/>
      <c r="DX75" s="120"/>
      <c r="DY75" s="90"/>
      <c r="DZ75" s="91"/>
      <c r="EA75" s="91"/>
      <c r="EB75" s="91"/>
      <c r="EC75" s="91"/>
      <c r="ED75" s="91"/>
      <c r="EE75" s="91"/>
      <c r="EF75" s="91"/>
      <c r="EG75" s="91"/>
      <c r="EH75" s="92"/>
      <c r="EI75" s="110"/>
      <c r="EJ75" s="109"/>
      <c r="EK75" s="109"/>
      <c r="EL75" s="109"/>
      <c r="EM75" s="109"/>
      <c r="EN75" s="109"/>
      <c r="EO75" s="109"/>
      <c r="EP75" s="109"/>
      <c r="EQ75" s="109"/>
      <c r="ER75" s="132"/>
      <c r="ES75" s="176">
        <f t="shared" si="42"/>
        <v>0</v>
      </c>
      <c r="ET75" s="176">
        <f t="shared" si="43"/>
        <v>0</v>
      </c>
      <c r="EU75" s="176">
        <f t="shared" si="44"/>
        <v>0</v>
      </c>
      <c r="EV75" s="175">
        <f t="shared" si="45"/>
        <v>0</v>
      </c>
      <c r="EW75" s="175">
        <f t="shared" si="58"/>
        <v>0</v>
      </c>
      <c r="EX75" s="175">
        <f t="shared" si="46"/>
        <v>0</v>
      </c>
      <c r="EY75" s="175">
        <f t="shared" si="47"/>
        <v>0</v>
      </c>
      <c r="EZ75" s="176">
        <f t="shared" si="48"/>
        <v>0</v>
      </c>
      <c r="FA75" s="175">
        <f t="shared" si="49"/>
        <v>0</v>
      </c>
      <c r="FB75" s="175">
        <f t="shared" si="50"/>
        <v>0</v>
      </c>
      <c r="FC75" s="175">
        <f t="shared" si="51"/>
        <v>0</v>
      </c>
      <c r="FD75" s="175">
        <f t="shared" si="52"/>
        <v>0</v>
      </c>
      <c r="FE75" s="175">
        <f t="shared" si="53"/>
        <v>0</v>
      </c>
      <c r="FF75" s="175">
        <f t="shared" si="57"/>
        <v>0</v>
      </c>
      <c r="FG75" s="37">
        <f t="shared" si="56"/>
        <v>73</v>
      </c>
      <c r="FH75" s="165">
        <f t="shared" si="54"/>
        <v>0</v>
      </c>
      <c r="FI75" s="165">
        <f>SUM(I7:ER7)-SUM(ES75:FF75)</f>
        <v>128</v>
      </c>
      <c r="FJ75" s="165">
        <f t="shared" si="55"/>
        <v>128</v>
      </c>
      <c r="FK75" s="7"/>
    </row>
    <row r="76" spans="1:167" ht="15.75" customHeight="1">
      <c r="A76" s="2"/>
      <c r="B76" s="3">
        <f t="shared" si="40"/>
        <v>0</v>
      </c>
      <c r="C76" s="182">
        <f t="shared" si="41"/>
        <v>17</v>
      </c>
      <c r="D76" s="186"/>
      <c r="E76" s="178"/>
      <c r="F76" s="178"/>
      <c r="G76" s="628">
        <v>45915</v>
      </c>
      <c r="H76" s="629"/>
      <c r="I76" s="99"/>
      <c r="J76" s="100"/>
      <c r="K76" s="100"/>
      <c r="L76" s="100"/>
      <c r="M76" s="100"/>
      <c r="N76" s="100"/>
      <c r="O76" s="100"/>
      <c r="P76" s="100"/>
      <c r="Q76" s="100"/>
      <c r="R76" s="101"/>
      <c r="S76" s="119"/>
      <c r="T76" s="118"/>
      <c r="U76" s="118"/>
      <c r="V76" s="118"/>
      <c r="W76" s="118"/>
      <c r="X76" s="118"/>
      <c r="Y76" s="118"/>
      <c r="Z76" s="118"/>
      <c r="AA76" s="118"/>
      <c r="AB76" s="120"/>
      <c r="AC76" s="90"/>
      <c r="AD76" s="91"/>
      <c r="AE76" s="91"/>
      <c r="AF76" s="91"/>
      <c r="AG76" s="592"/>
      <c r="AH76" s="593"/>
      <c r="AI76" s="91"/>
      <c r="AJ76" s="91"/>
      <c r="AK76" s="91"/>
      <c r="AL76" s="123"/>
      <c r="AM76" s="110"/>
      <c r="AN76" s="109"/>
      <c r="AO76" s="109"/>
      <c r="AP76" s="109"/>
      <c r="AQ76" s="109"/>
      <c r="AR76" s="109"/>
      <c r="AS76" s="109"/>
      <c r="AT76" s="109"/>
      <c r="AU76" s="109"/>
      <c r="AV76" s="132"/>
      <c r="AW76" s="128"/>
      <c r="AX76" s="129"/>
      <c r="AY76" s="129"/>
      <c r="AZ76" s="129"/>
      <c r="BA76" s="129"/>
      <c r="BB76" s="129"/>
      <c r="BC76" s="129"/>
      <c r="BD76" s="129"/>
      <c r="BE76" s="129"/>
      <c r="BF76" s="138"/>
      <c r="BG76" s="99"/>
      <c r="BH76" s="100"/>
      <c r="BI76" s="100"/>
      <c r="BJ76" s="100"/>
      <c r="BK76" s="100"/>
      <c r="BL76" s="100"/>
      <c r="BM76" s="100"/>
      <c r="BN76" s="100"/>
      <c r="BO76" s="100"/>
      <c r="BP76" s="101"/>
      <c r="BQ76" s="119"/>
      <c r="BR76" s="118"/>
      <c r="BS76" s="118"/>
      <c r="BT76" s="118"/>
      <c r="BU76" s="118"/>
      <c r="BV76" s="118"/>
      <c r="BW76" s="118"/>
      <c r="BX76" s="118"/>
      <c r="BY76" s="118"/>
      <c r="BZ76" s="120"/>
      <c r="CA76" s="537"/>
      <c r="CB76" s="538"/>
      <c r="CC76" s="538"/>
      <c r="CD76" s="538"/>
      <c r="CE76" s="538"/>
      <c r="CF76" s="538"/>
      <c r="CG76" s="538"/>
      <c r="CH76" s="538"/>
      <c r="CI76" s="538"/>
      <c r="CJ76" s="539"/>
      <c r="CK76" s="110"/>
      <c r="CL76" s="109"/>
      <c r="CM76" s="109"/>
      <c r="CN76" s="109"/>
      <c r="CO76" s="109"/>
      <c r="CP76" s="109"/>
      <c r="CQ76" s="109"/>
      <c r="CR76" s="109"/>
      <c r="CS76" s="109"/>
      <c r="CT76" s="111"/>
      <c r="CU76" s="128"/>
      <c r="CV76" s="129"/>
      <c r="CW76" s="129"/>
      <c r="CX76" s="129"/>
      <c r="CY76" s="129"/>
      <c r="CZ76" s="129"/>
      <c r="DA76" s="129"/>
      <c r="DB76" s="129"/>
      <c r="DC76" s="129"/>
      <c r="DD76" s="138"/>
      <c r="DE76" s="156"/>
      <c r="DF76" s="157"/>
      <c r="DG76" s="157"/>
      <c r="DH76" s="157"/>
      <c r="DI76" s="157"/>
      <c r="DJ76" s="157"/>
      <c r="DK76" s="157"/>
      <c r="DL76" s="157"/>
      <c r="DM76" s="157"/>
      <c r="DN76" s="158"/>
      <c r="DO76" s="119"/>
      <c r="DP76" s="118"/>
      <c r="DQ76" s="118"/>
      <c r="DR76" s="118"/>
      <c r="DS76" s="118"/>
      <c r="DT76" s="118"/>
      <c r="DU76" s="118"/>
      <c r="DV76" s="118"/>
      <c r="DW76" s="118"/>
      <c r="DX76" s="120"/>
      <c r="DY76" s="90"/>
      <c r="DZ76" s="91"/>
      <c r="EA76" s="91"/>
      <c r="EB76" s="91"/>
      <c r="EC76" s="91"/>
      <c r="ED76" s="91"/>
      <c r="EE76" s="91"/>
      <c r="EF76" s="91"/>
      <c r="EG76" s="91"/>
      <c r="EH76" s="92"/>
      <c r="EI76" s="110"/>
      <c r="EJ76" s="109"/>
      <c r="EK76" s="109"/>
      <c r="EL76" s="109"/>
      <c r="EM76" s="109"/>
      <c r="EN76" s="109"/>
      <c r="EO76" s="109"/>
      <c r="EP76" s="109"/>
      <c r="EQ76" s="109"/>
      <c r="ER76" s="132"/>
      <c r="ES76" s="176">
        <f t="shared" si="42"/>
        <v>0</v>
      </c>
      <c r="ET76" s="176">
        <f t="shared" si="43"/>
        <v>0</v>
      </c>
      <c r="EU76" s="176">
        <f t="shared" si="44"/>
        <v>0</v>
      </c>
      <c r="EV76" s="175">
        <f t="shared" si="45"/>
        <v>0</v>
      </c>
      <c r="EW76" s="175">
        <f t="shared" si="58"/>
        <v>0</v>
      </c>
      <c r="EX76" s="175">
        <f t="shared" si="46"/>
        <v>0</v>
      </c>
      <c r="EY76" s="175">
        <f t="shared" si="47"/>
        <v>0</v>
      </c>
      <c r="EZ76" s="176">
        <f t="shared" si="48"/>
        <v>0</v>
      </c>
      <c r="FA76" s="175">
        <f t="shared" si="49"/>
        <v>0</v>
      </c>
      <c r="FB76" s="175">
        <f t="shared" si="50"/>
        <v>0</v>
      </c>
      <c r="FC76" s="175">
        <f t="shared" si="51"/>
        <v>0</v>
      </c>
      <c r="FD76" s="175">
        <f t="shared" si="52"/>
        <v>0</v>
      </c>
      <c r="FE76" s="175">
        <f t="shared" si="53"/>
        <v>0</v>
      </c>
      <c r="FF76" s="175">
        <f t="shared" si="57"/>
        <v>0</v>
      </c>
      <c r="FG76" s="37">
        <f t="shared" si="56"/>
        <v>74</v>
      </c>
      <c r="FH76" s="165">
        <f t="shared" si="54"/>
        <v>0</v>
      </c>
      <c r="FI76" s="165">
        <f>SUM(I7:ER7)-SUM(ES76:FF76)</f>
        <v>128</v>
      </c>
      <c r="FJ76" s="165">
        <f t="shared" si="55"/>
        <v>128</v>
      </c>
      <c r="FK76" s="7"/>
    </row>
    <row r="77" spans="1:167" ht="15.75" customHeight="1">
      <c r="A77" s="2"/>
      <c r="B77" s="3">
        <f t="shared" si="40"/>
        <v>0</v>
      </c>
      <c r="C77" s="182">
        <f t="shared" si="41"/>
        <v>18</v>
      </c>
      <c r="D77" s="186"/>
      <c r="E77" s="178"/>
      <c r="F77" s="178"/>
      <c r="G77" s="628">
        <v>45915</v>
      </c>
      <c r="H77" s="629"/>
      <c r="I77" s="99"/>
      <c r="J77" s="100"/>
      <c r="K77" s="100"/>
      <c r="L77" s="100"/>
      <c r="M77" s="100"/>
      <c r="N77" s="100"/>
      <c r="O77" s="100"/>
      <c r="P77" s="100"/>
      <c r="Q77" s="100"/>
      <c r="R77" s="101"/>
      <c r="S77" s="119"/>
      <c r="T77" s="118"/>
      <c r="U77" s="118"/>
      <c r="V77" s="118"/>
      <c r="W77" s="118"/>
      <c r="X77" s="118"/>
      <c r="Y77" s="118"/>
      <c r="Z77" s="118"/>
      <c r="AA77" s="118"/>
      <c r="AB77" s="120"/>
      <c r="AC77" s="90"/>
      <c r="AD77" s="91"/>
      <c r="AE77" s="91"/>
      <c r="AF77" s="91"/>
      <c r="AG77" s="592"/>
      <c r="AH77" s="593"/>
      <c r="AI77" s="91"/>
      <c r="AJ77" s="91"/>
      <c r="AK77" s="91"/>
      <c r="AL77" s="123"/>
      <c r="AM77" s="110"/>
      <c r="AN77" s="109"/>
      <c r="AO77" s="109"/>
      <c r="AP77" s="109"/>
      <c r="AQ77" s="109"/>
      <c r="AR77" s="109"/>
      <c r="AS77" s="109"/>
      <c r="AT77" s="109"/>
      <c r="AU77" s="109"/>
      <c r="AV77" s="132"/>
      <c r="AW77" s="128"/>
      <c r="AX77" s="129"/>
      <c r="AY77" s="129"/>
      <c r="AZ77" s="129"/>
      <c r="BA77" s="129"/>
      <c r="BB77" s="129"/>
      <c r="BC77" s="129"/>
      <c r="BD77" s="129"/>
      <c r="BE77" s="129"/>
      <c r="BF77" s="138"/>
      <c r="BG77" s="99"/>
      <c r="BH77" s="100"/>
      <c r="BI77" s="100"/>
      <c r="BJ77" s="100"/>
      <c r="BK77" s="100"/>
      <c r="BL77" s="100"/>
      <c r="BM77" s="100"/>
      <c r="BN77" s="100"/>
      <c r="BO77" s="100"/>
      <c r="BP77" s="101"/>
      <c r="BQ77" s="119"/>
      <c r="BR77" s="118"/>
      <c r="BS77" s="118"/>
      <c r="BT77" s="118"/>
      <c r="BU77" s="118"/>
      <c r="BV77" s="118"/>
      <c r="BW77" s="118"/>
      <c r="BX77" s="118"/>
      <c r="BY77" s="118"/>
      <c r="BZ77" s="120"/>
      <c r="CA77" s="537"/>
      <c r="CB77" s="538"/>
      <c r="CC77" s="538"/>
      <c r="CD77" s="538"/>
      <c r="CE77" s="538"/>
      <c r="CF77" s="538"/>
      <c r="CG77" s="538"/>
      <c r="CH77" s="538"/>
      <c r="CI77" s="538"/>
      <c r="CJ77" s="539"/>
      <c r="CK77" s="110"/>
      <c r="CL77" s="109"/>
      <c r="CM77" s="109"/>
      <c r="CN77" s="109"/>
      <c r="CO77" s="109"/>
      <c r="CP77" s="109"/>
      <c r="CQ77" s="109"/>
      <c r="CR77" s="109"/>
      <c r="CS77" s="109"/>
      <c r="CT77" s="111"/>
      <c r="CU77" s="128"/>
      <c r="CV77" s="129"/>
      <c r="CW77" s="129"/>
      <c r="CX77" s="129"/>
      <c r="CY77" s="129"/>
      <c r="CZ77" s="129"/>
      <c r="DA77" s="129"/>
      <c r="DB77" s="129"/>
      <c r="DC77" s="129"/>
      <c r="DD77" s="138"/>
      <c r="DE77" s="156"/>
      <c r="DF77" s="157"/>
      <c r="DG77" s="157"/>
      <c r="DH77" s="157"/>
      <c r="DI77" s="157"/>
      <c r="DJ77" s="157"/>
      <c r="DK77" s="157"/>
      <c r="DL77" s="157"/>
      <c r="DM77" s="157"/>
      <c r="DN77" s="158"/>
      <c r="DO77" s="119"/>
      <c r="DP77" s="118"/>
      <c r="DQ77" s="118"/>
      <c r="DR77" s="118"/>
      <c r="DS77" s="118"/>
      <c r="DT77" s="118"/>
      <c r="DU77" s="118"/>
      <c r="DV77" s="118"/>
      <c r="DW77" s="118"/>
      <c r="DX77" s="120"/>
      <c r="DY77" s="90"/>
      <c r="DZ77" s="91"/>
      <c r="EA77" s="91"/>
      <c r="EB77" s="91"/>
      <c r="EC77" s="91"/>
      <c r="ED77" s="91"/>
      <c r="EE77" s="91"/>
      <c r="EF77" s="91"/>
      <c r="EG77" s="91"/>
      <c r="EH77" s="92"/>
      <c r="EI77" s="110"/>
      <c r="EJ77" s="109"/>
      <c r="EK77" s="109"/>
      <c r="EL77" s="109"/>
      <c r="EM77" s="109"/>
      <c r="EN77" s="109"/>
      <c r="EO77" s="109"/>
      <c r="EP77" s="109"/>
      <c r="EQ77" s="109"/>
      <c r="ER77" s="132"/>
      <c r="ES77" s="176">
        <f t="shared" si="42"/>
        <v>0</v>
      </c>
      <c r="ET77" s="176">
        <f t="shared" si="43"/>
        <v>0</v>
      </c>
      <c r="EU77" s="176">
        <f t="shared" si="44"/>
        <v>0</v>
      </c>
      <c r="EV77" s="175">
        <f t="shared" si="45"/>
        <v>0</v>
      </c>
      <c r="EW77" s="175">
        <f t="shared" si="58"/>
        <v>0</v>
      </c>
      <c r="EX77" s="175">
        <f t="shared" si="46"/>
        <v>0</v>
      </c>
      <c r="EY77" s="175">
        <f t="shared" si="47"/>
        <v>0</v>
      </c>
      <c r="EZ77" s="176">
        <f t="shared" si="48"/>
        <v>0</v>
      </c>
      <c r="FA77" s="175">
        <f t="shared" si="49"/>
        <v>0</v>
      </c>
      <c r="FB77" s="175">
        <f t="shared" si="50"/>
        <v>0</v>
      </c>
      <c r="FC77" s="175">
        <f t="shared" si="51"/>
        <v>0</v>
      </c>
      <c r="FD77" s="175">
        <f t="shared" si="52"/>
        <v>0</v>
      </c>
      <c r="FE77" s="175">
        <f t="shared" si="53"/>
        <v>0</v>
      </c>
      <c r="FF77" s="175">
        <f t="shared" si="57"/>
        <v>0</v>
      </c>
      <c r="FG77" s="37">
        <f t="shared" si="56"/>
        <v>75</v>
      </c>
      <c r="FH77" s="165">
        <f t="shared" si="54"/>
        <v>0</v>
      </c>
      <c r="FI77" s="165">
        <f>SUM(I7:ER7)-SUM(ES77:FF77)</f>
        <v>128</v>
      </c>
      <c r="FJ77" s="165">
        <f t="shared" si="55"/>
        <v>128</v>
      </c>
      <c r="FK77" s="7"/>
    </row>
    <row r="78" spans="1:167" ht="15.75" customHeight="1">
      <c r="A78" s="2"/>
      <c r="B78" s="3">
        <f t="shared" si="40"/>
        <v>0</v>
      </c>
      <c r="C78" s="182">
        <f t="shared" si="41"/>
        <v>19</v>
      </c>
      <c r="D78" s="186"/>
      <c r="E78" s="178"/>
      <c r="F78" s="178"/>
      <c r="G78" s="628">
        <v>45915</v>
      </c>
      <c r="H78" s="629"/>
      <c r="I78" s="99"/>
      <c r="J78" s="100"/>
      <c r="K78" s="100"/>
      <c r="L78" s="100"/>
      <c r="M78" s="100"/>
      <c r="N78" s="100"/>
      <c r="O78" s="100"/>
      <c r="P78" s="100"/>
      <c r="Q78" s="100"/>
      <c r="R78" s="101"/>
      <c r="S78" s="119"/>
      <c r="T78" s="118"/>
      <c r="U78" s="118"/>
      <c r="V78" s="118"/>
      <c r="W78" s="118"/>
      <c r="X78" s="118"/>
      <c r="Y78" s="118"/>
      <c r="Z78" s="118"/>
      <c r="AA78" s="118"/>
      <c r="AB78" s="120"/>
      <c r="AC78" s="90"/>
      <c r="AD78" s="91"/>
      <c r="AE78" s="91"/>
      <c r="AF78" s="91"/>
      <c r="AG78" s="592"/>
      <c r="AH78" s="593"/>
      <c r="AI78" s="91"/>
      <c r="AJ78" s="91"/>
      <c r="AK78" s="91"/>
      <c r="AL78" s="123"/>
      <c r="AM78" s="110"/>
      <c r="AN78" s="109"/>
      <c r="AO78" s="109"/>
      <c r="AP78" s="109"/>
      <c r="AQ78" s="109"/>
      <c r="AR78" s="109"/>
      <c r="AS78" s="109"/>
      <c r="AT78" s="109"/>
      <c r="AU78" s="109"/>
      <c r="AV78" s="132"/>
      <c r="AW78" s="128"/>
      <c r="AX78" s="129"/>
      <c r="AY78" s="129"/>
      <c r="AZ78" s="129"/>
      <c r="BA78" s="129"/>
      <c r="BB78" s="129"/>
      <c r="BC78" s="129"/>
      <c r="BD78" s="129"/>
      <c r="BE78" s="129"/>
      <c r="BF78" s="138"/>
      <c r="BG78" s="99"/>
      <c r="BH78" s="100"/>
      <c r="BI78" s="100"/>
      <c r="BJ78" s="100"/>
      <c r="BK78" s="100"/>
      <c r="BL78" s="100"/>
      <c r="BM78" s="100"/>
      <c r="BN78" s="100"/>
      <c r="BO78" s="100"/>
      <c r="BP78" s="101"/>
      <c r="BQ78" s="119"/>
      <c r="BR78" s="118"/>
      <c r="BS78" s="118"/>
      <c r="BT78" s="118"/>
      <c r="BU78" s="118"/>
      <c r="BV78" s="118"/>
      <c r="BW78" s="118"/>
      <c r="BX78" s="118"/>
      <c r="BY78" s="118"/>
      <c r="BZ78" s="120"/>
      <c r="CA78" s="537"/>
      <c r="CB78" s="538"/>
      <c r="CC78" s="538"/>
      <c r="CD78" s="538"/>
      <c r="CE78" s="538"/>
      <c r="CF78" s="538"/>
      <c r="CG78" s="538"/>
      <c r="CH78" s="538"/>
      <c r="CI78" s="538"/>
      <c r="CJ78" s="539"/>
      <c r="CK78" s="110"/>
      <c r="CL78" s="109"/>
      <c r="CM78" s="109"/>
      <c r="CN78" s="109"/>
      <c r="CO78" s="109"/>
      <c r="CP78" s="109"/>
      <c r="CQ78" s="109"/>
      <c r="CR78" s="109"/>
      <c r="CS78" s="109"/>
      <c r="CT78" s="111"/>
      <c r="CU78" s="128"/>
      <c r="CV78" s="129"/>
      <c r="CW78" s="129"/>
      <c r="CX78" s="129"/>
      <c r="CY78" s="129"/>
      <c r="CZ78" s="129"/>
      <c r="DA78" s="129"/>
      <c r="DB78" s="129"/>
      <c r="DC78" s="129"/>
      <c r="DD78" s="138"/>
      <c r="DE78" s="156"/>
      <c r="DF78" s="157"/>
      <c r="DG78" s="157"/>
      <c r="DH78" s="157"/>
      <c r="DI78" s="157"/>
      <c r="DJ78" s="157"/>
      <c r="DK78" s="157"/>
      <c r="DL78" s="157"/>
      <c r="DM78" s="157"/>
      <c r="DN78" s="158"/>
      <c r="DO78" s="119"/>
      <c r="DP78" s="118"/>
      <c r="DQ78" s="118"/>
      <c r="DR78" s="118"/>
      <c r="DS78" s="118"/>
      <c r="DT78" s="118"/>
      <c r="DU78" s="118"/>
      <c r="DV78" s="118"/>
      <c r="DW78" s="118"/>
      <c r="DX78" s="120"/>
      <c r="DY78" s="90"/>
      <c r="DZ78" s="91"/>
      <c r="EA78" s="91"/>
      <c r="EB78" s="91"/>
      <c r="EC78" s="91"/>
      <c r="ED78" s="91"/>
      <c r="EE78" s="91"/>
      <c r="EF78" s="91"/>
      <c r="EG78" s="91"/>
      <c r="EH78" s="92"/>
      <c r="EI78" s="110"/>
      <c r="EJ78" s="109"/>
      <c r="EK78" s="109"/>
      <c r="EL78" s="109"/>
      <c r="EM78" s="109"/>
      <c r="EN78" s="109"/>
      <c r="EO78" s="109"/>
      <c r="EP78" s="109"/>
      <c r="EQ78" s="109"/>
      <c r="ER78" s="132"/>
      <c r="ES78" s="176">
        <f t="shared" si="42"/>
        <v>0</v>
      </c>
      <c r="ET78" s="176">
        <f t="shared" si="43"/>
        <v>0</v>
      </c>
      <c r="EU78" s="176">
        <f t="shared" si="44"/>
        <v>0</v>
      </c>
      <c r="EV78" s="175">
        <f t="shared" si="45"/>
        <v>0</v>
      </c>
      <c r="EW78" s="175">
        <f t="shared" si="58"/>
        <v>0</v>
      </c>
      <c r="EX78" s="175">
        <f t="shared" si="46"/>
        <v>0</v>
      </c>
      <c r="EY78" s="175">
        <f t="shared" si="47"/>
        <v>0</v>
      </c>
      <c r="EZ78" s="176">
        <f t="shared" si="48"/>
        <v>0</v>
      </c>
      <c r="FA78" s="175">
        <f t="shared" si="49"/>
        <v>0</v>
      </c>
      <c r="FB78" s="175">
        <f t="shared" si="50"/>
        <v>0</v>
      </c>
      <c r="FC78" s="175">
        <f t="shared" si="51"/>
        <v>0</v>
      </c>
      <c r="FD78" s="175">
        <f t="shared" si="52"/>
        <v>0</v>
      </c>
      <c r="FE78" s="175">
        <f t="shared" si="53"/>
        <v>0</v>
      </c>
      <c r="FF78" s="175">
        <f t="shared" si="57"/>
        <v>0</v>
      </c>
      <c r="FG78" s="37">
        <f t="shared" si="56"/>
        <v>76</v>
      </c>
      <c r="FH78" s="165">
        <f t="shared" si="54"/>
        <v>0</v>
      </c>
      <c r="FI78" s="165">
        <f>SUM(I7:ER7)-SUM(ES78:FF78)</f>
        <v>128</v>
      </c>
      <c r="FJ78" s="165">
        <f t="shared" si="55"/>
        <v>128</v>
      </c>
      <c r="FK78" s="7"/>
    </row>
    <row r="79" spans="1:167" ht="15.75" customHeight="1">
      <c r="A79" s="2"/>
      <c r="B79" s="3">
        <f t="shared" si="40"/>
        <v>0</v>
      </c>
      <c r="C79" s="182">
        <f t="shared" si="41"/>
        <v>20</v>
      </c>
      <c r="D79" s="186"/>
      <c r="E79" s="178"/>
      <c r="F79" s="178"/>
      <c r="G79" s="628">
        <v>45915</v>
      </c>
      <c r="H79" s="629"/>
      <c r="I79" s="99"/>
      <c r="J79" s="100"/>
      <c r="K79" s="100"/>
      <c r="L79" s="100"/>
      <c r="M79" s="100"/>
      <c r="N79" s="100"/>
      <c r="O79" s="100"/>
      <c r="P79" s="100"/>
      <c r="Q79" s="100"/>
      <c r="R79" s="101"/>
      <c r="S79" s="119"/>
      <c r="T79" s="118"/>
      <c r="U79" s="118"/>
      <c r="V79" s="118"/>
      <c r="W79" s="118"/>
      <c r="X79" s="118"/>
      <c r="Y79" s="118"/>
      <c r="Z79" s="118"/>
      <c r="AA79" s="118"/>
      <c r="AB79" s="120"/>
      <c r="AC79" s="90"/>
      <c r="AD79" s="91"/>
      <c r="AE79" s="91"/>
      <c r="AF79" s="91"/>
      <c r="AG79" s="592"/>
      <c r="AH79" s="593"/>
      <c r="AI79" s="91"/>
      <c r="AJ79" s="91"/>
      <c r="AK79" s="91"/>
      <c r="AL79" s="123"/>
      <c r="AM79" s="110"/>
      <c r="AN79" s="109"/>
      <c r="AO79" s="109"/>
      <c r="AP79" s="109"/>
      <c r="AQ79" s="109"/>
      <c r="AR79" s="109"/>
      <c r="AS79" s="109"/>
      <c r="AT79" s="109"/>
      <c r="AU79" s="109"/>
      <c r="AV79" s="132"/>
      <c r="AW79" s="128"/>
      <c r="AX79" s="129"/>
      <c r="AY79" s="129"/>
      <c r="AZ79" s="129"/>
      <c r="BA79" s="129"/>
      <c r="BB79" s="129"/>
      <c r="BC79" s="129"/>
      <c r="BD79" s="129"/>
      <c r="BE79" s="129"/>
      <c r="BF79" s="138"/>
      <c r="BG79" s="99"/>
      <c r="BH79" s="100"/>
      <c r="BI79" s="100"/>
      <c r="BJ79" s="100"/>
      <c r="BK79" s="100"/>
      <c r="BL79" s="100"/>
      <c r="BM79" s="100"/>
      <c r="BN79" s="100"/>
      <c r="BO79" s="100"/>
      <c r="BP79" s="101"/>
      <c r="BQ79" s="119"/>
      <c r="BR79" s="118"/>
      <c r="BS79" s="118"/>
      <c r="BT79" s="118"/>
      <c r="BU79" s="118"/>
      <c r="BV79" s="118"/>
      <c r="BW79" s="118"/>
      <c r="BX79" s="118"/>
      <c r="BY79" s="118"/>
      <c r="BZ79" s="120"/>
      <c r="CA79" s="537"/>
      <c r="CB79" s="538"/>
      <c r="CC79" s="538"/>
      <c r="CD79" s="538"/>
      <c r="CE79" s="538"/>
      <c r="CF79" s="538"/>
      <c r="CG79" s="538"/>
      <c r="CH79" s="538"/>
      <c r="CI79" s="538"/>
      <c r="CJ79" s="539"/>
      <c r="CK79" s="110"/>
      <c r="CL79" s="109"/>
      <c r="CM79" s="109"/>
      <c r="CN79" s="109"/>
      <c r="CO79" s="109"/>
      <c r="CP79" s="109"/>
      <c r="CQ79" s="109"/>
      <c r="CR79" s="109"/>
      <c r="CS79" s="109"/>
      <c r="CT79" s="111"/>
      <c r="CU79" s="128"/>
      <c r="CV79" s="129"/>
      <c r="CW79" s="129"/>
      <c r="CX79" s="129"/>
      <c r="CY79" s="129"/>
      <c r="CZ79" s="129"/>
      <c r="DA79" s="129"/>
      <c r="DB79" s="129"/>
      <c r="DC79" s="129"/>
      <c r="DD79" s="138"/>
      <c r="DE79" s="156"/>
      <c r="DF79" s="157"/>
      <c r="DG79" s="157"/>
      <c r="DH79" s="157"/>
      <c r="DI79" s="157"/>
      <c r="DJ79" s="157"/>
      <c r="DK79" s="157"/>
      <c r="DL79" s="157"/>
      <c r="DM79" s="157"/>
      <c r="DN79" s="158"/>
      <c r="DO79" s="119"/>
      <c r="DP79" s="118"/>
      <c r="DQ79" s="118"/>
      <c r="DR79" s="118"/>
      <c r="DS79" s="118"/>
      <c r="DT79" s="118"/>
      <c r="DU79" s="118"/>
      <c r="DV79" s="118"/>
      <c r="DW79" s="118"/>
      <c r="DX79" s="120"/>
      <c r="DY79" s="90"/>
      <c r="DZ79" s="91"/>
      <c r="EA79" s="91"/>
      <c r="EB79" s="91"/>
      <c r="EC79" s="91"/>
      <c r="ED79" s="91"/>
      <c r="EE79" s="91"/>
      <c r="EF79" s="91"/>
      <c r="EG79" s="91"/>
      <c r="EH79" s="92"/>
      <c r="EI79" s="110"/>
      <c r="EJ79" s="109"/>
      <c r="EK79" s="109"/>
      <c r="EL79" s="109"/>
      <c r="EM79" s="109"/>
      <c r="EN79" s="109"/>
      <c r="EO79" s="109"/>
      <c r="EP79" s="109"/>
      <c r="EQ79" s="109"/>
      <c r="ER79" s="132"/>
      <c r="ES79" s="176">
        <f t="shared" si="42"/>
        <v>0</v>
      </c>
      <c r="ET79" s="176">
        <f t="shared" si="43"/>
        <v>0</v>
      </c>
      <c r="EU79" s="176">
        <f t="shared" si="44"/>
        <v>0</v>
      </c>
      <c r="EV79" s="175">
        <f t="shared" si="45"/>
        <v>0</v>
      </c>
      <c r="EW79" s="175">
        <f t="shared" si="58"/>
        <v>0</v>
      </c>
      <c r="EX79" s="175">
        <f t="shared" si="46"/>
        <v>0</v>
      </c>
      <c r="EY79" s="175">
        <f t="shared" si="47"/>
        <v>0</v>
      </c>
      <c r="EZ79" s="176">
        <f t="shared" si="48"/>
        <v>0</v>
      </c>
      <c r="FA79" s="175">
        <f t="shared" si="49"/>
        <v>0</v>
      </c>
      <c r="FB79" s="175">
        <f t="shared" si="50"/>
        <v>0</v>
      </c>
      <c r="FC79" s="175">
        <f t="shared" si="51"/>
        <v>0</v>
      </c>
      <c r="FD79" s="175">
        <f t="shared" si="52"/>
        <v>0</v>
      </c>
      <c r="FE79" s="175">
        <f t="shared" si="53"/>
        <v>0</v>
      </c>
      <c r="FF79" s="175">
        <f t="shared" si="57"/>
        <v>0</v>
      </c>
      <c r="FG79" s="37">
        <f t="shared" si="56"/>
        <v>77</v>
      </c>
      <c r="FH79" s="165">
        <f t="shared" si="54"/>
        <v>0</v>
      </c>
      <c r="FI79" s="165">
        <f>SUM(I7:ER7)-SUM(ES79:FF79)</f>
        <v>128</v>
      </c>
      <c r="FJ79" s="165">
        <f t="shared" si="55"/>
        <v>128</v>
      </c>
      <c r="FK79" s="7"/>
    </row>
    <row r="80" spans="1:167" ht="15.75" customHeight="1">
      <c r="A80" s="2"/>
      <c r="B80" s="3">
        <f t="shared" si="40"/>
        <v>0</v>
      </c>
      <c r="C80" s="182">
        <f t="shared" si="41"/>
        <v>21</v>
      </c>
      <c r="D80" s="186"/>
      <c r="E80" s="178"/>
      <c r="F80" s="178"/>
      <c r="G80" s="628">
        <v>45915</v>
      </c>
      <c r="H80" s="629"/>
      <c r="I80" s="99"/>
      <c r="J80" s="100"/>
      <c r="K80" s="100"/>
      <c r="L80" s="100"/>
      <c r="M80" s="100"/>
      <c r="N80" s="100"/>
      <c r="O80" s="100"/>
      <c r="P80" s="100"/>
      <c r="Q80" s="100"/>
      <c r="R80" s="101"/>
      <c r="S80" s="119"/>
      <c r="T80" s="118"/>
      <c r="U80" s="118"/>
      <c r="V80" s="118"/>
      <c r="W80" s="118"/>
      <c r="X80" s="118"/>
      <c r="Y80" s="118"/>
      <c r="Z80" s="118"/>
      <c r="AA80" s="118"/>
      <c r="AB80" s="120"/>
      <c r="AC80" s="90"/>
      <c r="AD80" s="91"/>
      <c r="AE80" s="91"/>
      <c r="AF80" s="91"/>
      <c r="AG80" s="592"/>
      <c r="AH80" s="593"/>
      <c r="AI80" s="91"/>
      <c r="AJ80" s="91"/>
      <c r="AK80" s="91"/>
      <c r="AL80" s="123"/>
      <c r="AM80" s="110"/>
      <c r="AN80" s="109"/>
      <c r="AO80" s="109"/>
      <c r="AP80" s="109"/>
      <c r="AQ80" s="109"/>
      <c r="AR80" s="109"/>
      <c r="AS80" s="109"/>
      <c r="AT80" s="109"/>
      <c r="AU80" s="109"/>
      <c r="AV80" s="132"/>
      <c r="AW80" s="128"/>
      <c r="AX80" s="129"/>
      <c r="AY80" s="129"/>
      <c r="AZ80" s="129"/>
      <c r="BA80" s="129"/>
      <c r="BB80" s="129"/>
      <c r="BC80" s="129"/>
      <c r="BD80" s="129"/>
      <c r="BE80" s="129"/>
      <c r="BF80" s="138"/>
      <c r="BG80" s="99"/>
      <c r="BH80" s="100"/>
      <c r="BI80" s="100"/>
      <c r="BJ80" s="100"/>
      <c r="BK80" s="100"/>
      <c r="BL80" s="100"/>
      <c r="BM80" s="100"/>
      <c r="BN80" s="100"/>
      <c r="BO80" s="100"/>
      <c r="BP80" s="101"/>
      <c r="BQ80" s="119"/>
      <c r="BR80" s="118"/>
      <c r="BS80" s="118"/>
      <c r="BT80" s="118"/>
      <c r="BU80" s="118"/>
      <c r="BV80" s="118"/>
      <c r="BW80" s="118"/>
      <c r="BX80" s="118"/>
      <c r="BY80" s="118"/>
      <c r="BZ80" s="120"/>
      <c r="CA80" s="537"/>
      <c r="CB80" s="538"/>
      <c r="CC80" s="538"/>
      <c r="CD80" s="538"/>
      <c r="CE80" s="538"/>
      <c r="CF80" s="538"/>
      <c r="CG80" s="538"/>
      <c r="CH80" s="538"/>
      <c r="CI80" s="538"/>
      <c r="CJ80" s="539"/>
      <c r="CK80" s="110"/>
      <c r="CL80" s="109"/>
      <c r="CM80" s="109"/>
      <c r="CN80" s="109"/>
      <c r="CO80" s="109"/>
      <c r="CP80" s="109"/>
      <c r="CQ80" s="109"/>
      <c r="CR80" s="109"/>
      <c r="CS80" s="109"/>
      <c r="CT80" s="111"/>
      <c r="CU80" s="128"/>
      <c r="CV80" s="129"/>
      <c r="CW80" s="129"/>
      <c r="CX80" s="129"/>
      <c r="CY80" s="129"/>
      <c r="CZ80" s="129"/>
      <c r="DA80" s="129"/>
      <c r="DB80" s="129"/>
      <c r="DC80" s="129"/>
      <c r="DD80" s="138"/>
      <c r="DE80" s="156"/>
      <c r="DF80" s="157"/>
      <c r="DG80" s="157"/>
      <c r="DH80" s="157"/>
      <c r="DI80" s="157"/>
      <c r="DJ80" s="157"/>
      <c r="DK80" s="157"/>
      <c r="DL80" s="157"/>
      <c r="DM80" s="157"/>
      <c r="DN80" s="158"/>
      <c r="DO80" s="119"/>
      <c r="DP80" s="118"/>
      <c r="DQ80" s="118"/>
      <c r="DR80" s="118"/>
      <c r="DS80" s="118"/>
      <c r="DT80" s="118"/>
      <c r="DU80" s="118"/>
      <c r="DV80" s="118"/>
      <c r="DW80" s="118"/>
      <c r="DX80" s="120"/>
      <c r="DY80" s="90"/>
      <c r="DZ80" s="91"/>
      <c r="EA80" s="91"/>
      <c r="EB80" s="91"/>
      <c r="EC80" s="91"/>
      <c r="ED80" s="91"/>
      <c r="EE80" s="91"/>
      <c r="EF80" s="91"/>
      <c r="EG80" s="91"/>
      <c r="EH80" s="92"/>
      <c r="EI80" s="110"/>
      <c r="EJ80" s="109"/>
      <c r="EK80" s="109"/>
      <c r="EL80" s="109"/>
      <c r="EM80" s="109"/>
      <c r="EN80" s="109"/>
      <c r="EO80" s="109"/>
      <c r="EP80" s="109"/>
      <c r="EQ80" s="109"/>
      <c r="ER80" s="132"/>
      <c r="ES80" s="176">
        <f t="shared" si="42"/>
        <v>0</v>
      </c>
      <c r="ET80" s="176">
        <f t="shared" si="43"/>
        <v>0</v>
      </c>
      <c r="EU80" s="176">
        <f t="shared" si="44"/>
        <v>0</v>
      </c>
      <c r="EV80" s="175">
        <f t="shared" si="45"/>
        <v>0</v>
      </c>
      <c r="EW80" s="175">
        <f t="shared" si="58"/>
        <v>0</v>
      </c>
      <c r="EX80" s="175">
        <f t="shared" si="46"/>
        <v>0</v>
      </c>
      <c r="EY80" s="175">
        <f t="shared" si="47"/>
        <v>0</v>
      </c>
      <c r="EZ80" s="176">
        <f t="shared" si="48"/>
        <v>0</v>
      </c>
      <c r="FA80" s="175">
        <f t="shared" si="49"/>
        <v>0</v>
      </c>
      <c r="FB80" s="175">
        <f t="shared" si="50"/>
        <v>0</v>
      </c>
      <c r="FC80" s="175">
        <f t="shared" si="51"/>
        <v>0</v>
      </c>
      <c r="FD80" s="175">
        <f t="shared" si="52"/>
        <v>0</v>
      </c>
      <c r="FE80" s="175">
        <f t="shared" si="53"/>
        <v>0</v>
      </c>
      <c r="FF80" s="175">
        <f t="shared" si="57"/>
        <v>0</v>
      </c>
      <c r="FG80" s="37">
        <f t="shared" si="56"/>
        <v>78</v>
      </c>
      <c r="FH80" s="165">
        <f t="shared" si="54"/>
        <v>0</v>
      </c>
      <c r="FI80" s="165">
        <f>SUM(I7:ER7)-SUM(ES80:FF80)</f>
        <v>128</v>
      </c>
      <c r="FJ80" s="165">
        <f t="shared" si="55"/>
        <v>128</v>
      </c>
      <c r="FK80" s="7"/>
    </row>
    <row r="81" spans="1:167" ht="15.75" customHeight="1">
      <c r="A81" s="2"/>
      <c r="B81" s="3">
        <f t="shared" si="40"/>
        <v>0</v>
      </c>
      <c r="C81" s="182">
        <f t="shared" si="41"/>
        <v>22</v>
      </c>
      <c r="D81" s="186"/>
      <c r="E81" s="178"/>
      <c r="F81" s="178"/>
      <c r="G81" s="628">
        <v>45915</v>
      </c>
      <c r="H81" s="629"/>
      <c r="I81" s="99"/>
      <c r="J81" s="100"/>
      <c r="K81" s="100"/>
      <c r="L81" s="100"/>
      <c r="M81" s="100"/>
      <c r="N81" s="100"/>
      <c r="O81" s="100"/>
      <c r="P81" s="100"/>
      <c r="Q81" s="100"/>
      <c r="R81" s="101"/>
      <c r="S81" s="119"/>
      <c r="T81" s="118"/>
      <c r="U81" s="118"/>
      <c r="V81" s="118"/>
      <c r="W81" s="118"/>
      <c r="X81" s="118"/>
      <c r="Y81" s="118"/>
      <c r="Z81" s="118"/>
      <c r="AA81" s="118"/>
      <c r="AB81" s="120"/>
      <c r="AC81" s="90"/>
      <c r="AD81" s="91"/>
      <c r="AE81" s="91"/>
      <c r="AF81" s="91"/>
      <c r="AG81" s="592"/>
      <c r="AH81" s="593"/>
      <c r="AI81" s="91"/>
      <c r="AJ81" s="91"/>
      <c r="AK81" s="91"/>
      <c r="AL81" s="123"/>
      <c r="AM81" s="110"/>
      <c r="AN81" s="109"/>
      <c r="AO81" s="109"/>
      <c r="AP81" s="109"/>
      <c r="AQ81" s="109"/>
      <c r="AR81" s="109"/>
      <c r="AS81" s="109"/>
      <c r="AT81" s="109"/>
      <c r="AU81" s="109"/>
      <c r="AV81" s="132"/>
      <c r="AW81" s="128"/>
      <c r="AX81" s="129"/>
      <c r="AY81" s="129"/>
      <c r="AZ81" s="129"/>
      <c r="BA81" s="129"/>
      <c r="BB81" s="129"/>
      <c r="BC81" s="129"/>
      <c r="BD81" s="129"/>
      <c r="BE81" s="129"/>
      <c r="BF81" s="138"/>
      <c r="BG81" s="99"/>
      <c r="BH81" s="100"/>
      <c r="BI81" s="100"/>
      <c r="BJ81" s="100"/>
      <c r="BK81" s="100"/>
      <c r="BL81" s="100"/>
      <c r="BM81" s="100"/>
      <c r="BN81" s="100"/>
      <c r="BO81" s="100"/>
      <c r="BP81" s="101"/>
      <c r="BQ81" s="119"/>
      <c r="BR81" s="118"/>
      <c r="BS81" s="118"/>
      <c r="BT81" s="118"/>
      <c r="BU81" s="118"/>
      <c r="BV81" s="118"/>
      <c r="BW81" s="118"/>
      <c r="BX81" s="118"/>
      <c r="BY81" s="118"/>
      <c r="BZ81" s="120"/>
      <c r="CA81" s="537"/>
      <c r="CB81" s="538"/>
      <c r="CC81" s="538"/>
      <c r="CD81" s="538"/>
      <c r="CE81" s="538"/>
      <c r="CF81" s="538"/>
      <c r="CG81" s="538"/>
      <c r="CH81" s="538"/>
      <c r="CI81" s="538"/>
      <c r="CJ81" s="539"/>
      <c r="CK81" s="110"/>
      <c r="CL81" s="109"/>
      <c r="CM81" s="109"/>
      <c r="CN81" s="109"/>
      <c r="CO81" s="109"/>
      <c r="CP81" s="109"/>
      <c r="CQ81" s="109"/>
      <c r="CR81" s="109"/>
      <c r="CS81" s="109"/>
      <c r="CT81" s="111"/>
      <c r="CU81" s="128"/>
      <c r="CV81" s="129"/>
      <c r="CW81" s="129"/>
      <c r="CX81" s="129"/>
      <c r="CY81" s="129"/>
      <c r="CZ81" s="129"/>
      <c r="DA81" s="129"/>
      <c r="DB81" s="129"/>
      <c r="DC81" s="129"/>
      <c r="DD81" s="138"/>
      <c r="DE81" s="156"/>
      <c r="DF81" s="157"/>
      <c r="DG81" s="157"/>
      <c r="DH81" s="157"/>
      <c r="DI81" s="157"/>
      <c r="DJ81" s="157"/>
      <c r="DK81" s="157"/>
      <c r="DL81" s="157"/>
      <c r="DM81" s="157"/>
      <c r="DN81" s="158"/>
      <c r="DO81" s="119"/>
      <c r="DP81" s="118"/>
      <c r="DQ81" s="118"/>
      <c r="DR81" s="118"/>
      <c r="DS81" s="118"/>
      <c r="DT81" s="118"/>
      <c r="DU81" s="118"/>
      <c r="DV81" s="118"/>
      <c r="DW81" s="118"/>
      <c r="DX81" s="120"/>
      <c r="DY81" s="90"/>
      <c r="DZ81" s="91"/>
      <c r="EA81" s="91"/>
      <c r="EB81" s="91"/>
      <c r="EC81" s="91"/>
      <c r="ED81" s="91"/>
      <c r="EE81" s="91"/>
      <c r="EF81" s="91"/>
      <c r="EG81" s="91"/>
      <c r="EH81" s="92"/>
      <c r="EI81" s="110"/>
      <c r="EJ81" s="109"/>
      <c r="EK81" s="109"/>
      <c r="EL81" s="109"/>
      <c r="EM81" s="109"/>
      <c r="EN81" s="109"/>
      <c r="EO81" s="109"/>
      <c r="EP81" s="109"/>
      <c r="EQ81" s="109"/>
      <c r="ER81" s="132"/>
      <c r="ES81" s="176">
        <f t="shared" si="42"/>
        <v>0</v>
      </c>
      <c r="ET81" s="176">
        <f t="shared" si="43"/>
        <v>0</v>
      </c>
      <c r="EU81" s="176">
        <f t="shared" si="44"/>
        <v>0</v>
      </c>
      <c r="EV81" s="175">
        <f t="shared" si="45"/>
        <v>0</v>
      </c>
      <c r="EW81" s="175">
        <f t="shared" si="58"/>
        <v>0</v>
      </c>
      <c r="EX81" s="175">
        <f t="shared" si="46"/>
        <v>0</v>
      </c>
      <c r="EY81" s="175">
        <f t="shared" si="47"/>
        <v>0</v>
      </c>
      <c r="EZ81" s="176">
        <f t="shared" si="48"/>
        <v>0</v>
      </c>
      <c r="FA81" s="175">
        <f t="shared" si="49"/>
        <v>0</v>
      </c>
      <c r="FB81" s="175">
        <f t="shared" si="50"/>
        <v>0</v>
      </c>
      <c r="FC81" s="175">
        <f t="shared" si="51"/>
        <v>0</v>
      </c>
      <c r="FD81" s="175">
        <f t="shared" si="52"/>
        <v>0</v>
      </c>
      <c r="FE81" s="175">
        <f t="shared" si="53"/>
        <v>0</v>
      </c>
      <c r="FF81" s="175">
        <f t="shared" si="57"/>
        <v>0</v>
      </c>
      <c r="FG81" s="37">
        <f t="shared" si="56"/>
        <v>79</v>
      </c>
      <c r="FH81" s="165">
        <f t="shared" si="54"/>
        <v>0</v>
      </c>
      <c r="FI81" s="165">
        <f>SUM(I7:ER7)-SUM(ES81:FF81)</f>
        <v>128</v>
      </c>
      <c r="FJ81" s="165">
        <f t="shared" si="55"/>
        <v>128</v>
      </c>
      <c r="FK81" s="7"/>
    </row>
    <row r="82" spans="1:167" ht="15.75" customHeight="1">
      <c r="A82" s="2"/>
      <c r="B82" s="3">
        <f t="shared" si="40"/>
        <v>0</v>
      </c>
      <c r="C82" s="182">
        <f t="shared" si="41"/>
        <v>23</v>
      </c>
      <c r="D82" s="186"/>
      <c r="E82" s="178"/>
      <c r="F82" s="178"/>
      <c r="G82" s="628">
        <v>45915</v>
      </c>
      <c r="H82" s="629"/>
      <c r="I82" s="99"/>
      <c r="J82" s="100"/>
      <c r="K82" s="100"/>
      <c r="L82" s="100"/>
      <c r="M82" s="100"/>
      <c r="N82" s="100"/>
      <c r="O82" s="100"/>
      <c r="P82" s="100"/>
      <c r="Q82" s="100"/>
      <c r="R82" s="101"/>
      <c r="S82" s="119"/>
      <c r="T82" s="118"/>
      <c r="U82" s="118"/>
      <c r="V82" s="118"/>
      <c r="W82" s="118"/>
      <c r="X82" s="118"/>
      <c r="Y82" s="118"/>
      <c r="Z82" s="118"/>
      <c r="AA82" s="118"/>
      <c r="AB82" s="120"/>
      <c r="AC82" s="90"/>
      <c r="AD82" s="91"/>
      <c r="AE82" s="91"/>
      <c r="AF82" s="91"/>
      <c r="AG82" s="592"/>
      <c r="AH82" s="593"/>
      <c r="AI82" s="91"/>
      <c r="AJ82" s="91"/>
      <c r="AK82" s="91"/>
      <c r="AL82" s="123"/>
      <c r="AM82" s="110"/>
      <c r="AN82" s="109"/>
      <c r="AO82" s="109"/>
      <c r="AP82" s="109"/>
      <c r="AQ82" s="109"/>
      <c r="AR82" s="109"/>
      <c r="AS82" s="109"/>
      <c r="AT82" s="109"/>
      <c r="AU82" s="109"/>
      <c r="AV82" s="132"/>
      <c r="AW82" s="128"/>
      <c r="AX82" s="129"/>
      <c r="AY82" s="129"/>
      <c r="AZ82" s="129"/>
      <c r="BA82" s="129"/>
      <c r="BB82" s="129"/>
      <c r="BC82" s="129"/>
      <c r="BD82" s="129"/>
      <c r="BE82" s="129"/>
      <c r="BF82" s="138"/>
      <c r="BG82" s="99"/>
      <c r="BH82" s="100"/>
      <c r="BI82" s="100"/>
      <c r="BJ82" s="100"/>
      <c r="BK82" s="100"/>
      <c r="BL82" s="100"/>
      <c r="BM82" s="100"/>
      <c r="BN82" s="100"/>
      <c r="BO82" s="100"/>
      <c r="BP82" s="101"/>
      <c r="BQ82" s="119"/>
      <c r="BR82" s="118"/>
      <c r="BS82" s="118"/>
      <c r="BT82" s="118"/>
      <c r="BU82" s="118"/>
      <c r="BV82" s="118"/>
      <c r="BW82" s="118"/>
      <c r="BX82" s="118"/>
      <c r="BY82" s="118"/>
      <c r="BZ82" s="120"/>
      <c r="CA82" s="537"/>
      <c r="CB82" s="538"/>
      <c r="CC82" s="538"/>
      <c r="CD82" s="538"/>
      <c r="CE82" s="538"/>
      <c r="CF82" s="538"/>
      <c r="CG82" s="538"/>
      <c r="CH82" s="538"/>
      <c r="CI82" s="538"/>
      <c r="CJ82" s="539"/>
      <c r="CK82" s="110"/>
      <c r="CL82" s="109"/>
      <c r="CM82" s="109"/>
      <c r="CN82" s="109"/>
      <c r="CO82" s="109"/>
      <c r="CP82" s="109"/>
      <c r="CQ82" s="109"/>
      <c r="CR82" s="109"/>
      <c r="CS82" s="109"/>
      <c r="CT82" s="111"/>
      <c r="CU82" s="128"/>
      <c r="CV82" s="129"/>
      <c r="CW82" s="129"/>
      <c r="CX82" s="129"/>
      <c r="CY82" s="129"/>
      <c r="CZ82" s="129"/>
      <c r="DA82" s="129"/>
      <c r="DB82" s="129"/>
      <c r="DC82" s="129"/>
      <c r="DD82" s="138"/>
      <c r="DE82" s="156"/>
      <c r="DF82" s="157"/>
      <c r="DG82" s="157"/>
      <c r="DH82" s="157"/>
      <c r="DI82" s="157"/>
      <c r="DJ82" s="157"/>
      <c r="DK82" s="157"/>
      <c r="DL82" s="157"/>
      <c r="DM82" s="157"/>
      <c r="DN82" s="158"/>
      <c r="DO82" s="119"/>
      <c r="DP82" s="118"/>
      <c r="DQ82" s="118"/>
      <c r="DR82" s="118"/>
      <c r="DS82" s="118"/>
      <c r="DT82" s="118"/>
      <c r="DU82" s="118"/>
      <c r="DV82" s="118"/>
      <c r="DW82" s="118"/>
      <c r="DX82" s="120"/>
      <c r="DY82" s="90"/>
      <c r="DZ82" s="91"/>
      <c r="EA82" s="91"/>
      <c r="EB82" s="91"/>
      <c r="EC82" s="91"/>
      <c r="ED82" s="91"/>
      <c r="EE82" s="91"/>
      <c r="EF82" s="91"/>
      <c r="EG82" s="91"/>
      <c r="EH82" s="92"/>
      <c r="EI82" s="110"/>
      <c r="EJ82" s="109"/>
      <c r="EK82" s="109"/>
      <c r="EL82" s="109"/>
      <c r="EM82" s="109"/>
      <c r="EN82" s="109"/>
      <c r="EO82" s="109"/>
      <c r="EP82" s="109"/>
      <c r="EQ82" s="109"/>
      <c r="ER82" s="132"/>
      <c r="ES82" s="176">
        <f t="shared" si="42"/>
        <v>0</v>
      </c>
      <c r="ET82" s="176">
        <f t="shared" si="43"/>
        <v>0</v>
      </c>
      <c r="EU82" s="176">
        <f t="shared" si="44"/>
        <v>0</v>
      </c>
      <c r="EV82" s="175">
        <f t="shared" si="45"/>
        <v>0</v>
      </c>
      <c r="EW82" s="175">
        <f t="shared" si="58"/>
        <v>0</v>
      </c>
      <c r="EX82" s="175">
        <f t="shared" si="46"/>
        <v>0</v>
      </c>
      <c r="EY82" s="175">
        <f t="shared" si="47"/>
        <v>0</v>
      </c>
      <c r="EZ82" s="176">
        <f t="shared" si="48"/>
        <v>0</v>
      </c>
      <c r="FA82" s="175">
        <f t="shared" si="49"/>
        <v>0</v>
      </c>
      <c r="FB82" s="175">
        <f t="shared" si="50"/>
        <v>0</v>
      </c>
      <c r="FC82" s="175">
        <f t="shared" si="51"/>
        <v>0</v>
      </c>
      <c r="FD82" s="175">
        <f t="shared" si="52"/>
        <v>0</v>
      </c>
      <c r="FE82" s="175">
        <f t="shared" si="53"/>
        <v>0</v>
      </c>
      <c r="FF82" s="175">
        <f t="shared" si="57"/>
        <v>0</v>
      </c>
      <c r="FG82" s="37">
        <f t="shared" si="56"/>
        <v>80</v>
      </c>
      <c r="FH82" s="165">
        <f t="shared" si="54"/>
        <v>0</v>
      </c>
      <c r="FI82" s="165">
        <f>SUM(I7:ER7)-SUM(ES82:FF82)</f>
        <v>128</v>
      </c>
      <c r="FJ82" s="165">
        <f t="shared" si="55"/>
        <v>128</v>
      </c>
      <c r="FK82" s="7"/>
    </row>
    <row r="83" spans="1:167" ht="15.75" customHeight="1">
      <c r="A83" s="2"/>
      <c r="B83" s="3">
        <f t="shared" si="40"/>
        <v>0</v>
      </c>
      <c r="C83" s="182">
        <f t="shared" si="41"/>
        <v>24</v>
      </c>
      <c r="D83" s="186"/>
      <c r="E83" s="178"/>
      <c r="F83" s="178"/>
      <c r="G83" s="628">
        <v>45915</v>
      </c>
      <c r="H83" s="629"/>
      <c r="I83" s="99"/>
      <c r="J83" s="100"/>
      <c r="K83" s="100"/>
      <c r="L83" s="100"/>
      <c r="M83" s="100"/>
      <c r="N83" s="100"/>
      <c r="O83" s="100"/>
      <c r="P83" s="100"/>
      <c r="Q83" s="100"/>
      <c r="R83" s="101"/>
      <c r="S83" s="119"/>
      <c r="T83" s="118"/>
      <c r="U83" s="118"/>
      <c r="V83" s="118"/>
      <c r="W83" s="118"/>
      <c r="X83" s="118"/>
      <c r="Y83" s="118"/>
      <c r="Z83" s="118"/>
      <c r="AA83" s="118"/>
      <c r="AB83" s="120"/>
      <c r="AC83" s="90"/>
      <c r="AD83" s="91"/>
      <c r="AE83" s="91"/>
      <c r="AF83" s="91"/>
      <c r="AG83" s="592"/>
      <c r="AH83" s="593"/>
      <c r="AI83" s="91"/>
      <c r="AJ83" s="91"/>
      <c r="AK83" s="91"/>
      <c r="AL83" s="123"/>
      <c r="AM83" s="110"/>
      <c r="AN83" s="109"/>
      <c r="AO83" s="109"/>
      <c r="AP83" s="109"/>
      <c r="AQ83" s="109"/>
      <c r="AR83" s="109"/>
      <c r="AS83" s="109"/>
      <c r="AT83" s="109"/>
      <c r="AU83" s="109"/>
      <c r="AV83" s="132"/>
      <c r="AW83" s="128"/>
      <c r="AX83" s="129"/>
      <c r="AY83" s="129"/>
      <c r="AZ83" s="129"/>
      <c r="BA83" s="129"/>
      <c r="BB83" s="129"/>
      <c r="BC83" s="129"/>
      <c r="BD83" s="129"/>
      <c r="BE83" s="129"/>
      <c r="BF83" s="138"/>
      <c r="BG83" s="99"/>
      <c r="BH83" s="100"/>
      <c r="BI83" s="100"/>
      <c r="BJ83" s="100"/>
      <c r="BK83" s="100"/>
      <c r="BL83" s="100"/>
      <c r="BM83" s="100"/>
      <c r="BN83" s="100"/>
      <c r="BO83" s="100"/>
      <c r="BP83" s="101"/>
      <c r="BQ83" s="119"/>
      <c r="BR83" s="118"/>
      <c r="BS83" s="118"/>
      <c r="BT83" s="118"/>
      <c r="BU83" s="118"/>
      <c r="BV83" s="118"/>
      <c r="BW83" s="118"/>
      <c r="BX83" s="118"/>
      <c r="BY83" s="118"/>
      <c r="BZ83" s="120"/>
      <c r="CA83" s="537"/>
      <c r="CB83" s="538"/>
      <c r="CC83" s="538"/>
      <c r="CD83" s="538"/>
      <c r="CE83" s="538"/>
      <c r="CF83" s="538"/>
      <c r="CG83" s="538"/>
      <c r="CH83" s="538"/>
      <c r="CI83" s="538"/>
      <c r="CJ83" s="539"/>
      <c r="CK83" s="110"/>
      <c r="CL83" s="109"/>
      <c r="CM83" s="109"/>
      <c r="CN83" s="109"/>
      <c r="CO83" s="109"/>
      <c r="CP83" s="109"/>
      <c r="CQ83" s="109"/>
      <c r="CR83" s="109"/>
      <c r="CS83" s="109"/>
      <c r="CT83" s="111"/>
      <c r="CU83" s="128"/>
      <c r="CV83" s="129"/>
      <c r="CW83" s="129"/>
      <c r="CX83" s="129"/>
      <c r="CY83" s="129"/>
      <c r="CZ83" s="129"/>
      <c r="DA83" s="129"/>
      <c r="DB83" s="129"/>
      <c r="DC83" s="129"/>
      <c r="DD83" s="138"/>
      <c r="DE83" s="156"/>
      <c r="DF83" s="157"/>
      <c r="DG83" s="157"/>
      <c r="DH83" s="157"/>
      <c r="DI83" s="157"/>
      <c r="DJ83" s="157"/>
      <c r="DK83" s="157"/>
      <c r="DL83" s="157"/>
      <c r="DM83" s="157"/>
      <c r="DN83" s="158"/>
      <c r="DO83" s="119"/>
      <c r="DP83" s="118"/>
      <c r="DQ83" s="118"/>
      <c r="DR83" s="118"/>
      <c r="DS83" s="118"/>
      <c r="DT83" s="118"/>
      <c r="DU83" s="118"/>
      <c r="DV83" s="118"/>
      <c r="DW83" s="118"/>
      <c r="DX83" s="120"/>
      <c r="DY83" s="90"/>
      <c r="DZ83" s="91"/>
      <c r="EA83" s="91"/>
      <c r="EB83" s="91"/>
      <c r="EC83" s="91"/>
      <c r="ED83" s="91"/>
      <c r="EE83" s="91"/>
      <c r="EF83" s="91"/>
      <c r="EG83" s="91"/>
      <c r="EH83" s="92"/>
      <c r="EI83" s="110"/>
      <c r="EJ83" s="109"/>
      <c r="EK83" s="109"/>
      <c r="EL83" s="109"/>
      <c r="EM83" s="109"/>
      <c r="EN83" s="109"/>
      <c r="EO83" s="109"/>
      <c r="EP83" s="109"/>
      <c r="EQ83" s="109"/>
      <c r="ER83" s="132"/>
      <c r="ES83" s="176">
        <f t="shared" si="42"/>
        <v>0</v>
      </c>
      <c r="ET83" s="176">
        <f t="shared" si="43"/>
        <v>0</v>
      </c>
      <c r="EU83" s="176">
        <f t="shared" si="44"/>
        <v>0</v>
      </c>
      <c r="EV83" s="175">
        <f t="shared" si="45"/>
        <v>0</v>
      </c>
      <c r="EW83" s="175">
        <f t="shared" si="58"/>
        <v>0</v>
      </c>
      <c r="EX83" s="175">
        <f t="shared" si="46"/>
        <v>0</v>
      </c>
      <c r="EY83" s="175">
        <f t="shared" si="47"/>
        <v>0</v>
      </c>
      <c r="EZ83" s="176">
        <f t="shared" si="48"/>
        <v>0</v>
      </c>
      <c r="FA83" s="175">
        <f t="shared" si="49"/>
        <v>0</v>
      </c>
      <c r="FB83" s="175">
        <f t="shared" si="50"/>
        <v>0</v>
      </c>
      <c r="FC83" s="175">
        <f t="shared" si="51"/>
        <v>0</v>
      </c>
      <c r="FD83" s="175">
        <f t="shared" si="52"/>
        <v>0</v>
      </c>
      <c r="FE83" s="175">
        <f t="shared" si="53"/>
        <v>0</v>
      </c>
      <c r="FF83" s="175">
        <f t="shared" si="57"/>
        <v>0</v>
      </c>
      <c r="FG83" s="37">
        <f t="shared" si="56"/>
        <v>81</v>
      </c>
      <c r="FH83" s="165">
        <f t="shared" si="54"/>
        <v>0</v>
      </c>
      <c r="FI83" s="165">
        <f>SUM(I7:ER7)-SUM(ES83:FF83)</f>
        <v>128</v>
      </c>
      <c r="FJ83" s="165">
        <f t="shared" si="55"/>
        <v>128</v>
      </c>
      <c r="FK83" s="7"/>
    </row>
    <row r="84" spans="1:167" ht="15.75" customHeight="1">
      <c r="A84" s="2"/>
      <c r="B84" s="3">
        <f t="shared" si="40"/>
        <v>0</v>
      </c>
      <c r="C84" s="182">
        <f t="shared" si="41"/>
        <v>25</v>
      </c>
      <c r="D84" s="186"/>
      <c r="E84" s="178"/>
      <c r="F84" s="178"/>
      <c r="G84" s="628">
        <v>45915</v>
      </c>
      <c r="H84" s="629"/>
      <c r="I84" s="99"/>
      <c r="J84" s="100"/>
      <c r="K84" s="100"/>
      <c r="L84" s="100"/>
      <c r="M84" s="100"/>
      <c r="N84" s="100"/>
      <c r="O84" s="100"/>
      <c r="P84" s="100"/>
      <c r="Q84" s="100"/>
      <c r="R84" s="101"/>
      <c r="S84" s="119"/>
      <c r="T84" s="118"/>
      <c r="U84" s="118"/>
      <c r="V84" s="118"/>
      <c r="W84" s="118"/>
      <c r="X84" s="118"/>
      <c r="Y84" s="118"/>
      <c r="Z84" s="118"/>
      <c r="AA84" s="118"/>
      <c r="AB84" s="120"/>
      <c r="AC84" s="90"/>
      <c r="AD84" s="91"/>
      <c r="AE84" s="91"/>
      <c r="AF84" s="91"/>
      <c r="AG84" s="592"/>
      <c r="AH84" s="593"/>
      <c r="AI84" s="91"/>
      <c r="AJ84" s="91"/>
      <c r="AK84" s="91"/>
      <c r="AL84" s="123"/>
      <c r="AM84" s="110"/>
      <c r="AN84" s="109"/>
      <c r="AO84" s="109"/>
      <c r="AP84" s="109"/>
      <c r="AQ84" s="109"/>
      <c r="AR84" s="109"/>
      <c r="AS84" s="109"/>
      <c r="AT84" s="109"/>
      <c r="AU84" s="109"/>
      <c r="AV84" s="132"/>
      <c r="AW84" s="128"/>
      <c r="AX84" s="129"/>
      <c r="AY84" s="129"/>
      <c r="AZ84" s="129"/>
      <c r="BA84" s="129"/>
      <c r="BB84" s="129"/>
      <c r="BC84" s="129"/>
      <c r="BD84" s="129"/>
      <c r="BE84" s="129"/>
      <c r="BF84" s="138"/>
      <c r="BG84" s="99"/>
      <c r="BH84" s="100"/>
      <c r="BI84" s="100"/>
      <c r="BJ84" s="100"/>
      <c r="BK84" s="100"/>
      <c r="BL84" s="100"/>
      <c r="BM84" s="100"/>
      <c r="BN84" s="100"/>
      <c r="BO84" s="100"/>
      <c r="BP84" s="101"/>
      <c r="BQ84" s="119"/>
      <c r="BR84" s="118"/>
      <c r="BS84" s="118"/>
      <c r="BT84" s="118"/>
      <c r="BU84" s="118"/>
      <c r="BV84" s="118"/>
      <c r="BW84" s="118"/>
      <c r="BX84" s="118"/>
      <c r="BY84" s="118"/>
      <c r="BZ84" s="120"/>
      <c r="CA84" s="537"/>
      <c r="CB84" s="538"/>
      <c r="CC84" s="538"/>
      <c r="CD84" s="538"/>
      <c r="CE84" s="538"/>
      <c r="CF84" s="538"/>
      <c r="CG84" s="538"/>
      <c r="CH84" s="538"/>
      <c r="CI84" s="538"/>
      <c r="CJ84" s="539"/>
      <c r="CK84" s="110"/>
      <c r="CL84" s="109"/>
      <c r="CM84" s="109"/>
      <c r="CN84" s="109"/>
      <c r="CO84" s="109"/>
      <c r="CP84" s="109"/>
      <c r="CQ84" s="109"/>
      <c r="CR84" s="109"/>
      <c r="CS84" s="109"/>
      <c r="CT84" s="111"/>
      <c r="CU84" s="128"/>
      <c r="CV84" s="129"/>
      <c r="CW84" s="129"/>
      <c r="CX84" s="129"/>
      <c r="CY84" s="129"/>
      <c r="CZ84" s="129"/>
      <c r="DA84" s="129"/>
      <c r="DB84" s="129"/>
      <c r="DC84" s="129"/>
      <c r="DD84" s="138"/>
      <c r="DE84" s="156"/>
      <c r="DF84" s="157"/>
      <c r="DG84" s="157"/>
      <c r="DH84" s="157"/>
      <c r="DI84" s="157"/>
      <c r="DJ84" s="157"/>
      <c r="DK84" s="157"/>
      <c r="DL84" s="157"/>
      <c r="DM84" s="157"/>
      <c r="DN84" s="158"/>
      <c r="DO84" s="119"/>
      <c r="DP84" s="118"/>
      <c r="DQ84" s="118"/>
      <c r="DR84" s="118"/>
      <c r="DS84" s="118"/>
      <c r="DT84" s="118"/>
      <c r="DU84" s="118"/>
      <c r="DV84" s="118"/>
      <c r="DW84" s="118"/>
      <c r="DX84" s="120"/>
      <c r="DY84" s="90"/>
      <c r="DZ84" s="91"/>
      <c r="EA84" s="91"/>
      <c r="EB84" s="91"/>
      <c r="EC84" s="91"/>
      <c r="ED84" s="91"/>
      <c r="EE84" s="91"/>
      <c r="EF84" s="91"/>
      <c r="EG84" s="91"/>
      <c r="EH84" s="92"/>
      <c r="EI84" s="110"/>
      <c r="EJ84" s="109"/>
      <c r="EK84" s="109"/>
      <c r="EL84" s="109"/>
      <c r="EM84" s="109"/>
      <c r="EN84" s="109"/>
      <c r="EO84" s="109"/>
      <c r="EP84" s="109"/>
      <c r="EQ84" s="109"/>
      <c r="ER84" s="132"/>
      <c r="ES84" s="176">
        <f t="shared" si="42"/>
        <v>0</v>
      </c>
      <c r="ET84" s="176">
        <f t="shared" si="43"/>
        <v>0</v>
      </c>
      <c r="EU84" s="176">
        <f t="shared" si="44"/>
        <v>0</v>
      </c>
      <c r="EV84" s="175">
        <f t="shared" si="45"/>
        <v>0</v>
      </c>
      <c r="EW84" s="175">
        <f t="shared" si="58"/>
        <v>0</v>
      </c>
      <c r="EX84" s="175">
        <f t="shared" si="46"/>
        <v>0</v>
      </c>
      <c r="EY84" s="175">
        <f t="shared" si="47"/>
        <v>0</v>
      </c>
      <c r="EZ84" s="176">
        <f t="shared" si="48"/>
        <v>0</v>
      </c>
      <c r="FA84" s="175">
        <f t="shared" si="49"/>
        <v>0</v>
      </c>
      <c r="FB84" s="175">
        <f t="shared" si="50"/>
        <v>0</v>
      </c>
      <c r="FC84" s="175">
        <f t="shared" si="51"/>
        <v>0</v>
      </c>
      <c r="FD84" s="175">
        <f t="shared" si="52"/>
        <v>0</v>
      </c>
      <c r="FE84" s="175">
        <f t="shared" si="53"/>
        <v>0</v>
      </c>
      <c r="FF84" s="175">
        <f t="shared" si="57"/>
        <v>0</v>
      </c>
      <c r="FG84" s="37">
        <f t="shared" si="56"/>
        <v>82</v>
      </c>
      <c r="FH84" s="165">
        <f t="shared" si="54"/>
        <v>0</v>
      </c>
      <c r="FI84" s="165">
        <f>SUM(I7:ER7)-SUM(ES84:FF84)</f>
        <v>128</v>
      </c>
      <c r="FJ84" s="165">
        <f t="shared" si="55"/>
        <v>128</v>
      </c>
      <c r="FK84" s="7"/>
    </row>
    <row r="85" spans="1:167" ht="15.75" customHeight="1">
      <c r="A85" s="2"/>
      <c r="B85" s="3">
        <f t="shared" si="40"/>
        <v>0</v>
      </c>
      <c r="C85" s="182">
        <f t="shared" si="41"/>
        <v>26</v>
      </c>
      <c r="D85" s="186"/>
      <c r="E85" s="178"/>
      <c r="F85" s="178"/>
      <c r="G85" s="628">
        <v>45915</v>
      </c>
      <c r="H85" s="629"/>
      <c r="I85" s="99"/>
      <c r="J85" s="100"/>
      <c r="K85" s="100"/>
      <c r="L85" s="100"/>
      <c r="M85" s="100"/>
      <c r="N85" s="100"/>
      <c r="O85" s="100"/>
      <c r="P85" s="100"/>
      <c r="Q85" s="100"/>
      <c r="R85" s="101"/>
      <c r="S85" s="119"/>
      <c r="T85" s="118"/>
      <c r="U85" s="118"/>
      <c r="V85" s="118"/>
      <c r="W85" s="118"/>
      <c r="X85" s="118"/>
      <c r="Y85" s="118"/>
      <c r="Z85" s="118"/>
      <c r="AA85" s="118"/>
      <c r="AB85" s="120"/>
      <c r="AC85" s="90"/>
      <c r="AD85" s="91"/>
      <c r="AE85" s="91"/>
      <c r="AF85" s="91"/>
      <c r="AG85" s="592"/>
      <c r="AH85" s="593"/>
      <c r="AI85" s="91"/>
      <c r="AJ85" s="91"/>
      <c r="AK85" s="91"/>
      <c r="AL85" s="123"/>
      <c r="AM85" s="110"/>
      <c r="AN85" s="109"/>
      <c r="AO85" s="109"/>
      <c r="AP85" s="109"/>
      <c r="AQ85" s="109"/>
      <c r="AR85" s="109"/>
      <c r="AS85" s="109"/>
      <c r="AT85" s="109"/>
      <c r="AU85" s="109"/>
      <c r="AV85" s="132"/>
      <c r="AW85" s="128"/>
      <c r="AX85" s="129"/>
      <c r="AY85" s="129"/>
      <c r="AZ85" s="129"/>
      <c r="BA85" s="129"/>
      <c r="BB85" s="129"/>
      <c r="BC85" s="129"/>
      <c r="BD85" s="129"/>
      <c r="BE85" s="129"/>
      <c r="BF85" s="138"/>
      <c r="BG85" s="99"/>
      <c r="BH85" s="100"/>
      <c r="BI85" s="100"/>
      <c r="BJ85" s="100"/>
      <c r="BK85" s="100"/>
      <c r="BL85" s="100"/>
      <c r="BM85" s="100"/>
      <c r="BN85" s="100"/>
      <c r="BO85" s="100"/>
      <c r="BP85" s="101"/>
      <c r="BQ85" s="119"/>
      <c r="BR85" s="118"/>
      <c r="BS85" s="118"/>
      <c r="BT85" s="118"/>
      <c r="BU85" s="118"/>
      <c r="BV85" s="118"/>
      <c r="BW85" s="118"/>
      <c r="BX85" s="118"/>
      <c r="BY85" s="118"/>
      <c r="BZ85" s="120"/>
      <c r="CA85" s="537"/>
      <c r="CB85" s="538"/>
      <c r="CC85" s="538"/>
      <c r="CD85" s="538"/>
      <c r="CE85" s="538"/>
      <c r="CF85" s="538"/>
      <c r="CG85" s="538"/>
      <c r="CH85" s="538"/>
      <c r="CI85" s="538"/>
      <c r="CJ85" s="539"/>
      <c r="CK85" s="110"/>
      <c r="CL85" s="109"/>
      <c r="CM85" s="109"/>
      <c r="CN85" s="109"/>
      <c r="CO85" s="109"/>
      <c r="CP85" s="109"/>
      <c r="CQ85" s="109"/>
      <c r="CR85" s="109"/>
      <c r="CS85" s="109"/>
      <c r="CT85" s="111"/>
      <c r="CU85" s="128"/>
      <c r="CV85" s="129"/>
      <c r="CW85" s="129"/>
      <c r="CX85" s="129"/>
      <c r="CY85" s="129"/>
      <c r="CZ85" s="129"/>
      <c r="DA85" s="129"/>
      <c r="DB85" s="129"/>
      <c r="DC85" s="129"/>
      <c r="DD85" s="138"/>
      <c r="DE85" s="156"/>
      <c r="DF85" s="157"/>
      <c r="DG85" s="157"/>
      <c r="DH85" s="157"/>
      <c r="DI85" s="157"/>
      <c r="DJ85" s="157"/>
      <c r="DK85" s="157"/>
      <c r="DL85" s="157"/>
      <c r="DM85" s="157"/>
      <c r="DN85" s="158"/>
      <c r="DO85" s="119"/>
      <c r="DP85" s="118"/>
      <c r="DQ85" s="118"/>
      <c r="DR85" s="118"/>
      <c r="DS85" s="118"/>
      <c r="DT85" s="118"/>
      <c r="DU85" s="118"/>
      <c r="DV85" s="118"/>
      <c r="DW85" s="118"/>
      <c r="DX85" s="120"/>
      <c r="DY85" s="90"/>
      <c r="DZ85" s="91"/>
      <c r="EA85" s="91"/>
      <c r="EB85" s="91"/>
      <c r="EC85" s="91"/>
      <c r="ED85" s="91"/>
      <c r="EE85" s="91"/>
      <c r="EF85" s="91"/>
      <c r="EG85" s="91"/>
      <c r="EH85" s="92"/>
      <c r="EI85" s="110"/>
      <c r="EJ85" s="109"/>
      <c r="EK85" s="109"/>
      <c r="EL85" s="109"/>
      <c r="EM85" s="109"/>
      <c r="EN85" s="109"/>
      <c r="EO85" s="109"/>
      <c r="EP85" s="109"/>
      <c r="EQ85" s="109"/>
      <c r="ER85" s="132"/>
      <c r="ES85" s="176">
        <f t="shared" si="42"/>
        <v>0</v>
      </c>
      <c r="ET85" s="176">
        <f t="shared" si="43"/>
        <v>0</v>
      </c>
      <c r="EU85" s="176">
        <f t="shared" si="44"/>
        <v>0</v>
      </c>
      <c r="EV85" s="175">
        <f t="shared" si="45"/>
        <v>0</v>
      </c>
      <c r="EW85" s="175">
        <f t="shared" si="58"/>
        <v>0</v>
      </c>
      <c r="EX85" s="175">
        <f t="shared" si="46"/>
        <v>0</v>
      </c>
      <c r="EY85" s="175">
        <f t="shared" si="47"/>
        <v>0</v>
      </c>
      <c r="EZ85" s="176">
        <f t="shared" si="48"/>
        <v>0</v>
      </c>
      <c r="FA85" s="175">
        <f t="shared" si="49"/>
        <v>0</v>
      </c>
      <c r="FB85" s="175">
        <f t="shared" si="50"/>
        <v>0</v>
      </c>
      <c r="FC85" s="175">
        <f t="shared" si="51"/>
        <v>0</v>
      </c>
      <c r="FD85" s="175">
        <f t="shared" si="52"/>
        <v>0</v>
      </c>
      <c r="FE85" s="175">
        <f t="shared" si="53"/>
        <v>0</v>
      </c>
      <c r="FF85" s="175">
        <f t="shared" si="57"/>
        <v>0</v>
      </c>
      <c r="FG85" s="37">
        <f t="shared" si="56"/>
        <v>83</v>
      </c>
      <c r="FH85" s="165">
        <f t="shared" si="54"/>
        <v>0</v>
      </c>
      <c r="FI85" s="165">
        <f>SUM(I7:ER7)-SUM(ES85:FF85)</f>
        <v>128</v>
      </c>
      <c r="FJ85" s="165">
        <f t="shared" si="55"/>
        <v>128</v>
      </c>
      <c r="FK85" s="7"/>
    </row>
    <row r="86" spans="1:167" ht="15.75" customHeight="1">
      <c r="A86" s="2"/>
      <c r="B86" s="3">
        <f t="shared" si="40"/>
        <v>0</v>
      </c>
      <c r="C86" s="182">
        <f t="shared" si="41"/>
        <v>27</v>
      </c>
      <c r="D86" s="186"/>
      <c r="E86" s="178"/>
      <c r="F86" s="178"/>
      <c r="G86" s="628">
        <v>45915</v>
      </c>
      <c r="H86" s="629"/>
      <c r="I86" s="99"/>
      <c r="J86" s="100"/>
      <c r="K86" s="100"/>
      <c r="L86" s="100"/>
      <c r="M86" s="100"/>
      <c r="N86" s="100"/>
      <c r="O86" s="100"/>
      <c r="P86" s="100"/>
      <c r="Q86" s="100"/>
      <c r="R86" s="101"/>
      <c r="S86" s="119"/>
      <c r="T86" s="118"/>
      <c r="U86" s="118"/>
      <c r="V86" s="118"/>
      <c r="W86" s="118"/>
      <c r="X86" s="118"/>
      <c r="Y86" s="118"/>
      <c r="Z86" s="118"/>
      <c r="AA86" s="118"/>
      <c r="AB86" s="120"/>
      <c r="AC86" s="90"/>
      <c r="AD86" s="91"/>
      <c r="AE86" s="91"/>
      <c r="AF86" s="91"/>
      <c r="AG86" s="592"/>
      <c r="AH86" s="593"/>
      <c r="AI86" s="91"/>
      <c r="AJ86" s="91"/>
      <c r="AK86" s="91"/>
      <c r="AL86" s="123"/>
      <c r="AM86" s="110"/>
      <c r="AN86" s="109"/>
      <c r="AO86" s="109"/>
      <c r="AP86" s="109"/>
      <c r="AQ86" s="109"/>
      <c r="AR86" s="109"/>
      <c r="AS86" s="109"/>
      <c r="AT86" s="109"/>
      <c r="AU86" s="109"/>
      <c r="AV86" s="132"/>
      <c r="AW86" s="128"/>
      <c r="AX86" s="129"/>
      <c r="AY86" s="129"/>
      <c r="AZ86" s="129"/>
      <c r="BA86" s="129"/>
      <c r="BB86" s="129"/>
      <c r="BC86" s="129"/>
      <c r="BD86" s="129"/>
      <c r="BE86" s="129"/>
      <c r="BF86" s="138"/>
      <c r="BG86" s="99"/>
      <c r="BH86" s="100"/>
      <c r="BI86" s="100"/>
      <c r="BJ86" s="100"/>
      <c r="BK86" s="100"/>
      <c r="BL86" s="100"/>
      <c r="BM86" s="100"/>
      <c r="BN86" s="100"/>
      <c r="BO86" s="100"/>
      <c r="BP86" s="101"/>
      <c r="BQ86" s="119"/>
      <c r="BR86" s="118"/>
      <c r="BS86" s="118"/>
      <c r="BT86" s="118"/>
      <c r="BU86" s="118"/>
      <c r="BV86" s="118"/>
      <c r="BW86" s="118"/>
      <c r="BX86" s="118"/>
      <c r="BY86" s="118"/>
      <c r="BZ86" s="120"/>
      <c r="CA86" s="537"/>
      <c r="CB86" s="538"/>
      <c r="CC86" s="538"/>
      <c r="CD86" s="538"/>
      <c r="CE86" s="538"/>
      <c r="CF86" s="538"/>
      <c r="CG86" s="538"/>
      <c r="CH86" s="538"/>
      <c r="CI86" s="538"/>
      <c r="CJ86" s="539"/>
      <c r="CK86" s="110"/>
      <c r="CL86" s="109"/>
      <c r="CM86" s="109"/>
      <c r="CN86" s="109"/>
      <c r="CO86" s="109"/>
      <c r="CP86" s="109"/>
      <c r="CQ86" s="109"/>
      <c r="CR86" s="109"/>
      <c r="CS86" s="109"/>
      <c r="CT86" s="111"/>
      <c r="CU86" s="128"/>
      <c r="CV86" s="129"/>
      <c r="CW86" s="129"/>
      <c r="CX86" s="129"/>
      <c r="CY86" s="129"/>
      <c r="CZ86" s="129"/>
      <c r="DA86" s="129"/>
      <c r="DB86" s="129"/>
      <c r="DC86" s="129"/>
      <c r="DD86" s="138"/>
      <c r="DE86" s="156"/>
      <c r="DF86" s="157"/>
      <c r="DG86" s="157"/>
      <c r="DH86" s="157"/>
      <c r="DI86" s="157"/>
      <c r="DJ86" s="157"/>
      <c r="DK86" s="157"/>
      <c r="DL86" s="157"/>
      <c r="DM86" s="157"/>
      <c r="DN86" s="158"/>
      <c r="DO86" s="119"/>
      <c r="DP86" s="118"/>
      <c r="DQ86" s="118"/>
      <c r="DR86" s="118"/>
      <c r="DS86" s="118"/>
      <c r="DT86" s="118"/>
      <c r="DU86" s="118"/>
      <c r="DV86" s="118"/>
      <c r="DW86" s="118"/>
      <c r="DX86" s="120"/>
      <c r="DY86" s="90"/>
      <c r="DZ86" s="91"/>
      <c r="EA86" s="91"/>
      <c r="EB86" s="91"/>
      <c r="EC86" s="91"/>
      <c r="ED86" s="91"/>
      <c r="EE86" s="91"/>
      <c r="EF86" s="91"/>
      <c r="EG86" s="91"/>
      <c r="EH86" s="92"/>
      <c r="EI86" s="110"/>
      <c r="EJ86" s="109"/>
      <c r="EK86" s="109"/>
      <c r="EL86" s="109"/>
      <c r="EM86" s="109"/>
      <c r="EN86" s="109"/>
      <c r="EO86" s="109"/>
      <c r="EP86" s="109"/>
      <c r="EQ86" s="109"/>
      <c r="ER86" s="132"/>
      <c r="ES86" s="176">
        <f t="shared" si="42"/>
        <v>0</v>
      </c>
      <c r="ET86" s="176">
        <f t="shared" si="43"/>
        <v>0</v>
      </c>
      <c r="EU86" s="176">
        <f t="shared" si="44"/>
        <v>0</v>
      </c>
      <c r="EV86" s="175">
        <f t="shared" si="45"/>
        <v>0</v>
      </c>
      <c r="EW86" s="175">
        <f t="shared" si="58"/>
        <v>0</v>
      </c>
      <c r="EX86" s="175">
        <f t="shared" si="46"/>
        <v>0</v>
      </c>
      <c r="EY86" s="175">
        <f t="shared" si="47"/>
        <v>0</v>
      </c>
      <c r="EZ86" s="176">
        <f t="shared" si="48"/>
        <v>0</v>
      </c>
      <c r="FA86" s="175">
        <f t="shared" si="49"/>
        <v>0</v>
      </c>
      <c r="FB86" s="175">
        <f t="shared" si="50"/>
        <v>0</v>
      </c>
      <c r="FC86" s="175">
        <f t="shared" si="51"/>
        <v>0</v>
      </c>
      <c r="FD86" s="175">
        <f t="shared" si="52"/>
        <v>0</v>
      </c>
      <c r="FE86" s="175">
        <f t="shared" si="53"/>
        <v>0</v>
      </c>
      <c r="FF86" s="175">
        <f t="shared" si="57"/>
        <v>0</v>
      </c>
      <c r="FG86" s="37">
        <f t="shared" si="56"/>
        <v>84</v>
      </c>
      <c r="FH86" s="165">
        <f t="shared" si="54"/>
        <v>0</v>
      </c>
      <c r="FI86" s="165">
        <f>SUM(I7:ER7)-SUM(ES86:FF86)</f>
        <v>128</v>
      </c>
      <c r="FJ86" s="165">
        <f t="shared" si="55"/>
        <v>128</v>
      </c>
      <c r="FK86" s="7"/>
    </row>
    <row r="87" spans="1:167" ht="15.75" customHeight="1">
      <c r="A87" s="2"/>
      <c r="B87" s="3">
        <f t="shared" si="40"/>
        <v>0</v>
      </c>
      <c r="C87" s="182">
        <f t="shared" si="41"/>
        <v>28</v>
      </c>
      <c r="D87" s="186"/>
      <c r="E87" s="178"/>
      <c r="F87" s="178"/>
      <c r="G87" s="628">
        <v>45915</v>
      </c>
      <c r="H87" s="629"/>
      <c r="I87" s="99"/>
      <c r="J87" s="100"/>
      <c r="K87" s="100"/>
      <c r="L87" s="100"/>
      <c r="M87" s="100"/>
      <c r="N87" s="100"/>
      <c r="O87" s="100"/>
      <c r="P87" s="100"/>
      <c r="Q87" s="100"/>
      <c r="R87" s="101"/>
      <c r="S87" s="119"/>
      <c r="T87" s="118"/>
      <c r="U87" s="118"/>
      <c r="V87" s="118"/>
      <c r="W87" s="118"/>
      <c r="X87" s="118"/>
      <c r="Y87" s="118"/>
      <c r="Z87" s="118"/>
      <c r="AA87" s="118"/>
      <c r="AB87" s="120"/>
      <c r="AC87" s="90"/>
      <c r="AD87" s="91"/>
      <c r="AE87" s="91"/>
      <c r="AF87" s="91"/>
      <c r="AG87" s="592"/>
      <c r="AH87" s="593"/>
      <c r="AI87" s="91"/>
      <c r="AJ87" s="91"/>
      <c r="AK87" s="91"/>
      <c r="AL87" s="123"/>
      <c r="AM87" s="110"/>
      <c r="AN87" s="109"/>
      <c r="AO87" s="109"/>
      <c r="AP87" s="109"/>
      <c r="AQ87" s="109"/>
      <c r="AR87" s="109"/>
      <c r="AS87" s="109"/>
      <c r="AT87" s="109"/>
      <c r="AU87" s="109"/>
      <c r="AV87" s="132"/>
      <c r="AW87" s="128"/>
      <c r="AX87" s="129"/>
      <c r="AY87" s="129"/>
      <c r="AZ87" s="129"/>
      <c r="BA87" s="129"/>
      <c r="BB87" s="129"/>
      <c r="BC87" s="129"/>
      <c r="BD87" s="129"/>
      <c r="BE87" s="129"/>
      <c r="BF87" s="138"/>
      <c r="BG87" s="99"/>
      <c r="BH87" s="100"/>
      <c r="BI87" s="100"/>
      <c r="BJ87" s="100"/>
      <c r="BK87" s="100"/>
      <c r="BL87" s="100"/>
      <c r="BM87" s="100"/>
      <c r="BN87" s="100"/>
      <c r="BO87" s="100"/>
      <c r="BP87" s="101"/>
      <c r="BQ87" s="119"/>
      <c r="BR87" s="118"/>
      <c r="BS87" s="118"/>
      <c r="BT87" s="118"/>
      <c r="BU87" s="118"/>
      <c r="BV87" s="118"/>
      <c r="BW87" s="118"/>
      <c r="BX87" s="118"/>
      <c r="BY87" s="118"/>
      <c r="BZ87" s="120"/>
      <c r="CA87" s="537"/>
      <c r="CB87" s="538"/>
      <c r="CC87" s="538"/>
      <c r="CD87" s="538"/>
      <c r="CE87" s="538"/>
      <c r="CF87" s="538"/>
      <c r="CG87" s="538"/>
      <c r="CH87" s="538"/>
      <c r="CI87" s="538"/>
      <c r="CJ87" s="539"/>
      <c r="CK87" s="110"/>
      <c r="CL87" s="109"/>
      <c r="CM87" s="109"/>
      <c r="CN87" s="109"/>
      <c r="CO87" s="109"/>
      <c r="CP87" s="109"/>
      <c r="CQ87" s="109"/>
      <c r="CR87" s="109"/>
      <c r="CS87" s="109"/>
      <c r="CT87" s="111"/>
      <c r="CU87" s="128"/>
      <c r="CV87" s="129"/>
      <c r="CW87" s="129"/>
      <c r="CX87" s="129"/>
      <c r="CY87" s="129"/>
      <c r="CZ87" s="129"/>
      <c r="DA87" s="129"/>
      <c r="DB87" s="129"/>
      <c r="DC87" s="129"/>
      <c r="DD87" s="138"/>
      <c r="DE87" s="156"/>
      <c r="DF87" s="157"/>
      <c r="DG87" s="157"/>
      <c r="DH87" s="157"/>
      <c r="DI87" s="157"/>
      <c r="DJ87" s="157"/>
      <c r="DK87" s="157"/>
      <c r="DL87" s="157"/>
      <c r="DM87" s="157"/>
      <c r="DN87" s="158"/>
      <c r="DO87" s="119"/>
      <c r="DP87" s="118"/>
      <c r="DQ87" s="118"/>
      <c r="DR87" s="118"/>
      <c r="DS87" s="118"/>
      <c r="DT87" s="118"/>
      <c r="DU87" s="118"/>
      <c r="DV87" s="118"/>
      <c r="DW87" s="118"/>
      <c r="DX87" s="120"/>
      <c r="DY87" s="90"/>
      <c r="DZ87" s="91"/>
      <c r="EA87" s="91"/>
      <c r="EB87" s="91"/>
      <c r="EC87" s="91"/>
      <c r="ED87" s="91"/>
      <c r="EE87" s="91"/>
      <c r="EF87" s="91"/>
      <c r="EG87" s="91"/>
      <c r="EH87" s="92"/>
      <c r="EI87" s="110"/>
      <c r="EJ87" s="109"/>
      <c r="EK87" s="109"/>
      <c r="EL87" s="109"/>
      <c r="EM87" s="109"/>
      <c r="EN87" s="109"/>
      <c r="EO87" s="109"/>
      <c r="EP87" s="109"/>
      <c r="EQ87" s="109"/>
      <c r="ER87" s="132"/>
      <c r="ES87" s="176">
        <f t="shared" si="42"/>
        <v>0</v>
      </c>
      <c r="ET87" s="176">
        <f t="shared" si="43"/>
        <v>0</v>
      </c>
      <c r="EU87" s="176">
        <f t="shared" si="44"/>
        <v>0</v>
      </c>
      <c r="EV87" s="175">
        <f t="shared" si="45"/>
        <v>0</v>
      </c>
      <c r="EW87" s="175">
        <f t="shared" si="58"/>
        <v>0</v>
      </c>
      <c r="EX87" s="175">
        <f t="shared" si="46"/>
        <v>0</v>
      </c>
      <c r="EY87" s="175">
        <f t="shared" si="47"/>
        <v>0</v>
      </c>
      <c r="EZ87" s="176">
        <f t="shared" si="48"/>
        <v>0</v>
      </c>
      <c r="FA87" s="175">
        <f t="shared" si="49"/>
        <v>0</v>
      </c>
      <c r="FB87" s="175">
        <f t="shared" si="50"/>
        <v>0</v>
      </c>
      <c r="FC87" s="175">
        <f t="shared" si="51"/>
        <v>0</v>
      </c>
      <c r="FD87" s="175">
        <f t="shared" si="52"/>
        <v>0</v>
      </c>
      <c r="FE87" s="175">
        <f t="shared" si="53"/>
        <v>0</v>
      </c>
      <c r="FF87" s="175">
        <f t="shared" si="57"/>
        <v>0</v>
      </c>
      <c r="FG87" s="37">
        <f t="shared" si="56"/>
        <v>85</v>
      </c>
      <c r="FH87" s="165">
        <f t="shared" si="54"/>
        <v>0</v>
      </c>
      <c r="FI87" s="165">
        <f>SUM(I7:ER7)-SUM(ES87:FF87)</f>
        <v>128</v>
      </c>
      <c r="FJ87" s="165">
        <f t="shared" si="55"/>
        <v>128</v>
      </c>
      <c r="FK87" s="7"/>
    </row>
    <row r="88" spans="1:167" ht="15.75" customHeight="1">
      <c r="A88" s="2"/>
      <c r="B88" s="3">
        <f t="shared" si="40"/>
        <v>0</v>
      </c>
      <c r="C88" s="182">
        <f t="shared" si="41"/>
        <v>29</v>
      </c>
      <c r="D88" s="186"/>
      <c r="E88" s="178"/>
      <c r="F88" s="178"/>
      <c r="G88" s="628">
        <v>45915</v>
      </c>
      <c r="H88" s="629"/>
      <c r="I88" s="99"/>
      <c r="J88" s="100"/>
      <c r="K88" s="100"/>
      <c r="L88" s="100"/>
      <c r="M88" s="100"/>
      <c r="N88" s="100"/>
      <c r="O88" s="100"/>
      <c r="P88" s="100"/>
      <c r="Q88" s="100"/>
      <c r="R88" s="101"/>
      <c r="S88" s="119"/>
      <c r="T88" s="118"/>
      <c r="U88" s="118"/>
      <c r="V88" s="118"/>
      <c r="W88" s="118"/>
      <c r="X88" s="118"/>
      <c r="Y88" s="118"/>
      <c r="Z88" s="118"/>
      <c r="AA88" s="118"/>
      <c r="AB88" s="120"/>
      <c r="AC88" s="90"/>
      <c r="AD88" s="91"/>
      <c r="AE88" s="91"/>
      <c r="AF88" s="91"/>
      <c r="AG88" s="592"/>
      <c r="AH88" s="593"/>
      <c r="AI88" s="91"/>
      <c r="AJ88" s="91"/>
      <c r="AK88" s="91"/>
      <c r="AL88" s="123"/>
      <c r="AM88" s="110"/>
      <c r="AN88" s="109"/>
      <c r="AO88" s="109"/>
      <c r="AP88" s="109"/>
      <c r="AQ88" s="109"/>
      <c r="AR88" s="109"/>
      <c r="AS88" s="109"/>
      <c r="AT88" s="109"/>
      <c r="AU88" s="109"/>
      <c r="AV88" s="132"/>
      <c r="AW88" s="128"/>
      <c r="AX88" s="129"/>
      <c r="AY88" s="129"/>
      <c r="AZ88" s="129"/>
      <c r="BA88" s="129"/>
      <c r="BB88" s="129"/>
      <c r="BC88" s="129"/>
      <c r="BD88" s="129"/>
      <c r="BE88" s="129"/>
      <c r="BF88" s="138"/>
      <c r="BG88" s="99"/>
      <c r="BH88" s="100"/>
      <c r="BI88" s="100"/>
      <c r="BJ88" s="100"/>
      <c r="BK88" s="100"/>
      <c r="BL88" s="100"/>
      <c r="BM88" s="100"/>
      <c r="BN88" s="100"/>
      <c r="BO88" s="100"/>
      <c r="BP88" s="101"/>
      <c r="BQ88" s="119"/>
      <c r="BR88" s="118"/>
      <c r="BS88" s="118"/>
      <c r="BT88" s="118"/>
      <c r="BU88" s="118"/>
      <c r="BV88" s="118"/>
      <c r="BW88" s="118"/>
      <c r="BX88" s="118"/>
      <c r="BY88" s="118"/>
      <c r="BZ88" s="120"/>
      <c r="CA88" s="537"/>
      <c r="CB88" s="538"/>
      <c r="CC88" s="538"/>
      <c r="CD88" s="538"/>
      <c r="CE88" s="538"/>
      <c r="CF88" s="538"/>
      <c r="CG88" s="538"/>
      <c r="CH88" s="538"/>
      <c r="CI88" s="538"/>
      <c r="CJ88" s="539"/>
      <c r="CK88" s="110"/>
      <c r="CL88" s="109"/>
      <c r="CM88" s="109"/>
      <c r="CN88" s="109"/>
      <c r="CO88" s="109"/>
      <c r="CP88" s="109"/>
      <c r="CQ88" s="109"/>
      <c r="CR88" s="109"/>
      <c r="CS88" s="109"/>
      <c r="CT88" s="111"/>
      <c r="CU88" s="128"/>
      <c r="CV88" s="129"/>
      <c r="CW88" s="129"/>
      <c r="CX88" s="129"/>
      <c r="CY88" s="129"/>
      <c r="CZ88" s="129"/>
      <c r="DA88" s="129"/>
      <c r="DB88" s="129"/>
      <c r="DC88" s="129"/>
      <c r="DD88" s="138"/>
      <c r="DE88" s="156"/>
      <c r="DF88" s="157"/>
      <c r="DG88" s="157"/>
      <c r="DH88" s="157"/>
      <c r="DI88" s="157"/>
      <c r="DJ88" s="157"/>
      <c r="DK88" s="157"/>
      <c r="DL88" s="157"/>
      <c r="DM88" s="157"/>
      <c r="DN88" s="158"/>
      <c r="DO88" s="119"/>
      <c r="DP88" s="118"/>
      <c r="DQ88" s="118"/>
      <c r="DR88" s="118"/>
      <c r="DS88" s="118"/>
      <c r="DT88" s="118"/>
      <c r="DU88" s="118"/>
      <c r="DV88" s="118"/>
      <c r="DW88" s="118"/>
      <c r="DX88" s="120"/>
      <c r="DY88" s="90"/>
      <c r="DZ88" s="91"/>
      <c r="EA88" s="91"/>
      <c r="EB88" s="91"/>
      <c r="EC88" s="91"/>
      <c r="ED88" s="91"/>
      <c r="EE88" s="91"/>
      <c r="EF88" s="91"/>
      <c r="EG88" s="91"/>
      <c r="EH88" s="92"/>
      <c r="EI88" s="110"/>
      <c r="EJ88" s="109"/>
      <c r="EK88" s="109"/>
      <c r="EL88" s="109"/>
      <c r="EM88" s="109"/>
      <c r="EN88" s="109"/>
      <c r="EO88" s="109"/>
      <c r="EP88" s="109"/>
      <c r="EQ88" s="109"/>
      <c r="ER88" s="132"/>
      <c r="ES88" s="176">
        <f t="shared" si="42"/>
        <v>0</v>
      </c>
      <c r="ET88" s="176">
        <f t="shared" si="43"/>
        <v>0</v>
      </c>
      <c r="EU88" s="176">
        <f t="shared" si="44"/>
        <v>0</v>
      </c>
      <c r="EV88" s="175">
        <f t="shared" si="45"/>
        <v>0</v>
      </c>
      <c r="EW88" s="175">
        <f t="shared" si="58"/>
        <v>0</v>
      </c>
      <c r="EX88" s="175">
        <f t="shared" si="46"/>
        <v>0</v>
      </c>
      <c r="EY88" s="175">
        <f t="shared" si="47"/>
        <v>0</v>
      </c>
      <c r="EZ88" s="176">
        <f t="shared" si="48"/>
        <v>0</v>
      </c>
      <c r="FA88" s="175">
        <f t="shared" si="49"/>
        <v>0</v>
      </c>
      <c r="FB88" s="175">
        <f t="shared" si="50"/>
        <v>0</v>
      </c>
      <c r="FC88" s="175">
        <f t="shared" si="51"/>
        <v>0</v>
      </c>
      <c r="FD88" s="175">
        <f t="shared" si="52"/>
        <v>0</v>
      </c>
      <c r="FE88" s="175">
        <f t="shared" si="53"/>
        <v>0</v>
      </c>
      <c r="FF88" s="175">
        <f t="shared" si="57"/>
        <v>0</v>
      </c>
      <c r="FG88" s="37">
        <f t="shared" si="56"/>
        <v>86</v>
      </c>
      <c r="FH88" s="165">
        <f t="shared" si="54"/>
        <v>0</v>
      </c>
      <c r="FI88" s="165">
        <f>SUM(I7:ER7)-SUM(ES88:FF88)</f>
        <v>128</v>
      </c>
      <c r="FJ88" s="165">
        <f t="shared" si="55"/>
        <v>128</v>
      </c>
      <c r="FK88" s="7"/>
    </row>
    <row r="89" spans="1:167" ht="15.75" customHeight="1">
      <c r="A89" s="2"/>
      <c r="B89" s="3">
        <f t="shared" si="40"/>
        <v>0</v>
      </c>
      <c r="C89" s="182">
        <f t="shared" si="41"/>
        <v>30</v>
      </c>
      <c r="D89" s="186"/>
      <c r="E89" s="178"/>
      <c r="F89" s="178"/>
      <c r="G89" s="628">
        <v>45915</v>
      </c>
      <c r="H89" s="629"/>
      <c r="I89" s="99"/>
      <c r="J89" s="100"/>
      <c r="K89" s="100"/>
      <c r="L89" s="100"/>
      <c r="M89" s="100"/>
      <c r="N89" s="100"/>
      <c r="O89" s="100"/>
      <c r="P89" s="100"/>
      <c r="Q89" s="100"/>
      <c r="R89" s="101"/>
      <c r="S89" s="119"/>
      <c r="T89" s="118"/>
      <c r="U89" s="118"/>
      <c r="V89" s="118"/>
      <c r="W89" s="118"/>
      <c r="X89" s="118"/>
      <c r="Y89" s="118"/>
      <c r="Z89" s="118"/>
      <c r="AA89" s="118"/>
      <c r="AB89" s="120"/>
      <c r="AC89" s="90"/>
      <c r="AD89" s="91"/>
      <c r="AE89" s="91"/>
      <c r="AF89" s="91"/>
      <c r="AG89" s="592"/>
      <c r="AH89" s="593"/>
      <c r="AI89" s="91"/>
      <c r="AJ89" s="91"/>
      <c r="AK89" s="91"/>
      <c r="AL89" s="123"/>
      <c r="AM89" s="110"/>
      <c r="AN89" s="109"/>
      <c r="AO89" s="109"/>
      <c r="AP89" s="109"/>
      <c r="AQ89" s="109"/>
      <c r="AR89" s="109"/>
      <c r="AS89" s="109"/>
      <c r="AT89" s="109"/>
      <c r="AU89" s="109"/>
      <c r="AV89" s="132"/>
      <c r="AW89" s="128"/>
      <c r="AX89" s="129"/>
      <c r="AY89" s="129"/>
      <c r="AZ89" s="129"/>
      <c r="BA89" s="129"/>
      <c r="BB89" s="129"/>
      <c r="BC89" s="129"/>
      <c r="BD89" s="129"/>
      <c r="BE89" s="129"/>
      <c r="BF89" s="138"/>
      <c r="BG89" s="99"/>
      <c r="BH89" s="100"/>
      <c r="BI89" s="100"/>
      <c r="BJ89" s="100"/>
      <c r="BK89" s="100"/>
      <c r="BL89" s="100"/>
      <c r="BM89" s="100"/>
      <c r="BN89" s="100"/>
      <c r="BO89" s="100"/>
      <c r="BP89" s="101"/>
      <c r="BQ89" s="119"/>
      <c r="BR89" s="118"/>
      <c r="BS89" s="118"/>
      <c r="BT89" s="118"/>
      <c r="BU89" s="118"/>
      <c r="BV89" s="118"/>
      <c r="BW89" s="118"/>
      <c r="BX89" s="118"/>
      <c r="BY89" s="118"/>
      <c r="BZ89" s="120"/>
      <c r="CA89" s="537"/>
      <c r="CB89" s="538"/>
      <c r="CC89" s="538"/>
      <c r="CD89" s="538"/>
      <c r="CE89" s="538"/>
      <c r="CF89" s="538"/>
      <c r="CG89" s="538"/>
      <c r="CH89" s="538"/>
      <c r="CI89" s="538"/>
      <c r="CJ89" s="539"/>
      <c r="CK89" s="110"/>
      <c r="CL89" s="109"/>
      <c r="CM89" s="109"/>
      <c r="CN89" s="109"/>
      <c r="CO89" s="109"/>
      <c r="CP89" s="109"/>
      <c r="CQ89" s="109"/>
      <c r="CR89" s="109"/>
      <c r="CS89" s="109"/>
      <c r="CT89" s="111"/>
      <c r="CU89" s="128"/>
      <c r="CV89" s="129"/>
      <c r="CW89" s="129"/>
      <c r="CX89" s="129"/>
      <c r="CY89" s="129"/>
      <c r="CZ89" s="129"/>
      <c r="DA89" s="129"/>
      <c r="DB89" s="129"/>
      <c r="DC89" s="129"/>
      <c r="DD89" s="138"/>
      <c r="DE89" s="156"/>
      <c r="DF89" s="157"/>
      <c r="DG89" s="157"/>
      <c r="DH89" s="157"/>
      <c r="DI89" s="157"/>
      <c r="DJ89" s="157"/>
      <c r="DK89" s="157"/>
      <c r="DL89" s="157"/>
      <c r="DM89" s="157"/>
      <c r="DN89" s="158"/>
      <c r="DO89" s="119"/>
      <c r="DP89" s="118"/>
      <c r="DQ89" s="118"/>
      <c r="DR89" s="118"/>
      <c r="DS89" s="118"/>
      <c r="DT89" s="118"/>
      <c r="DU89" s="118"/>
      <c r="DV89" s="118"/>
      <c r="DW89" s="118"/>
      <c r="DX89" s="120"/>
      <c r="DY89" s="90"/>
      <c r="DZ89" s="91"/>
      <c r="EA89" s="91"/>
      <c r="EB89" s="91"/>
      <c r="EC89" s="91"/>
      <c r="ED89" s="91"/>
      <c r="EE89" s="91"/>
      <c r="EF89" s="91"/>
      <c r="EG89" s="91"/>
      <c r="EH89" s="92"/>
      <c r="EI89" s="110"/>
      <c r="EJ89" s="109"/>
      <c r="EK89" s="109"/>
      <c r="EL89" s="109"/>
      <c r="EM89" s="109"/>
      <c r="EN89" s="109"/>
      <c r="EO89" s="109"/>
      <c r="EP89" s="109"/>
      <c r="EQ89" s="109"/>
      <c r="ER89" s="132"/>
      <c r="ES89" s="176">
        <f t="shared" si="42"/>
        <v>0</v>
      </c>
      <c r="ET89" s="176">
        <f t="shared" si="43"/>
        <v>0</v>
      </c>
      <c r="EU89" s="176">
        <f t="shared" si="44"/>
        <v>0</v>
      </c>
      <c r="EV89" s="175">
        <f t="shared" si="45"/>
        <v>0</v>
      </c>
      <c r="EW89" s="175">
        <f t="shared" si="58"/>
        <v>0</v>
      </c>
      <c r="EX89" s="175">
        <f t="shared" si="46"/>
        <v>0</v>
      </c>
      <c r="EY89" s="175">
        <f t="shared" si="47"/>
        <v>0</v>
      </c>
      <c r="EZ89" s="176">
        <f t="shared" si="48"/>
        <v>0</v>
      </c>
      <c r="FA89" s="175">
        <f t="shared" si="49"/>
        <v>0</v>
      </c>
      <c r="FB89" s="175">
        <f t="shared" si="50"/>
        <v>0</v>
      </c>
      <c r="FC89" s="175">
        <f t="shared" si="51"/>
        <v>0</v>
      </c>
      <c r="FD89" s="175">
        <f t="shared" si="52"/>
        <v>0</v>
      </c>
      <c r="FE89" s="175">
        <f t="shared" si="53"/>
        <v>0</v>
      </c>
      <c r="FF89" s="175">
        <f t="shared" si="57"/>
        <v>0</v>
      </c>
      <c r="FG89" s="37">
        <f t="shared" si="56"/>
        <v>87</v>
      </c>
      <c r="FH89" s="165">
        <f t="shared" si="54"/>
        <v>0</v>
      </c>
      <c r="FI89" s="165">
        <f>SUM(I7:ER7)-SUM(ES89:FF89)</f>
        <v>128</v>
      </c>
      <c r="FJ89" s="165">
        <f t="shared" si="55"/>
        <v>128</v>
      </c>
      <c r="FK89" s="7"/>
    </row>
    <row r="90" spans="1:167" ht="15.75" customHeight="1">
      <c r="A90" s="2"/>
      <c r="B90" s="3">
        <f t="shared" si="40"/>
        <v>0</v>
      </c>
      <c r="C90" s="182">
        <f t="shared" si="41"/>
        <v>31</v>
      </c>
      <c r="D90" s="186"/>
      <c r="E90" s="178"/>
      <c r="F90" s="178"/>
      <c r="G90" s="628">
        <v>45915</v>
      </c>
      <c r="H90" s="629"/>
      <c r="I90" s="99"/>
      <c r="J90" s="100"/>
      <c r="K90" s="100"/>
      <c r="L90" s="100"/>
      <c r="M90" s="100"/>
      <c r="N90" s="100"/>
      <c r="O90" s="100"/>
      <c r="P90" s="100"/>
      <c r="Q90" s="100"/>
      <c r="R90" s="101"/>
      <c r="S90" s="119"/>
      <c r="T90" s="118"/>
      <c r="U90" s="118"/>
      <c r="V90" s="118"/>
      <c r="W90" s="118"/>
      <c r="X90" s="118"/>
      <c r="Y90" s="118"/>
      <c r="Z90" s="118"/>
      <c r="AA90" s="118"/>
      <c r="AB90" s="120"/>
      <c r="AC90" s="90"/>
      <c r="AD90" s="91"/>
      <c r="AE90" s="91"/>
      <c r="AF90" s="91"/>
      <c r="AG90" s="592"/>
      <c r="AH90" s="593"/>
      <c r="AI90" s="91"/>
      <c r="AJ90" s="91"/>
      <c r="AK90" s="91"/>
      <c r="AL90" s="123"/>
      <c r="AM90" s="110"/>
      <c r="AN90" s="109"/>
      <c r="AO90" s="109"/>
      <c r="AP90" s="109"/>
      <c r="AQ90" s="109"/>
      <c r="AR90" s="109"/>
      <c r="AS90" s="109"/>
      <c r="AT90" s="109"/>
      <c r="AU90" s="109"/>
      <c r="AV90" s="132"/>
      <c r="AW90" s="128"/>
      <c r="AX90" s="129"/>
      <c r="AY90" s="129"/>
      <c r="AZ90" s="129"/>
      <c r="BA90" s="129"/>
      <c r="BB90" s="129"/>
      <c r="BC90" s="129"/>
      <c r="BD90" s="129"/>
      <c r="BE90" s="129"/>
      <c r="BF90" s="138"/>
      <c r="BG90" s="99"/>
      <c r="BH90" s="100"/>
      <c r="BI90" s="100"/>
      <c r="BJ90" s="100"/>
      <c r="BK90" s="100"/>
      <c r="BL90" s="100"/>
      <c r="BM90" s="100"/>
      <c r="BN90" s="100"/>
      <c r="BO90" s="100"/>
      <c r="BP90" s="101"/>
      <c r="BQ90" s="119"/>
      <c r="BR90" s="118"/>
      <c r="BS90" s="118"/>
      <c r="BT90" s="118"/>
      <c r="BU90" s="118"/>
      <c r="BV90" s="118"/>
      <c r="BW90" s="118"/>
      <c r="BX90" s="118"/>
      <c r="BY90" s="118"/>
      <c r="BZ90" s="120"/>
      <c r="CA90" s="537"/>
      <c r="CB90" s="538"/>
      <c r="CC90" s="538"/>
      <c r="CD90" s="538"/>
      <c r="CE90" s="538"/>
      <c r="CF90" s="538"/>
      <c r="CG90" s="538"/>
      <c r="CH90" s="538"/>
      <c r="CI90" s="538"/>
      <c r="CJ90" s="539"/>
      <c r="CK90" s="110"/>
      <c r="CL90" s="109"/>
      <c r="CM90" s="109"/>
      <c r="CN90" s="109"/>
      <c r="CO90" s="109"/>
      <c r="CP90" s="109"/>
      <c r="CQ90" s="109"/>
      <c r="CR90" s="109"/>
      <c r="CS90" s="109"/>
      <c r="CT90" s="111"/>
      <c r="CU90" s="128"/>
      <c r="CV90" s="129"/>
      <c r="CW90" s="129"/>
      <c r="CX90" s="129"/>
      <c r="CY90" s="129"/>
      <c r="CZ90" s="129"/>
      <c r="DA90" s="129"/>
      <c r="DB90" s="129"/>
      <c r="DC90" s="129"/>
      <c r="DD90" s="138"/>
      <c r="DE90" s="156"/>
      <c r="DF90" s="157"/>
      <c r="DG90" s="157"/>
      <c r="DH90" s="157"/>
      <c r="DI90" s="157"/>
      <c r="DJ90" s="157"/>
      <c r="DK90" s="157"/>
      <c r="DL90" s="157"/>
      <c r="DM90" s="157"/>
      <c r="DN90" s="158"/>
      <c r="DO90" s="119"/>
      <c r="DP90" s="118"/>
      <c r="DQ90" s="118"/>
      <c r="DR90" s="118"/>
      <c r="DS90" s="118"/>
      <c r="DT90" s="118"/>
      <c r="DU90" s="118"/>
      <c r="DV90" s="118"/>
      <c r="DW90" s="118"/>
      <c r="DX90" s="120"/>
      <c r="DY90" s="90"/>
      <c r="DZ90" s="91"/>
      <c r="EA90" s="91"/>
      <c r="EB90" s="91"/>
      <c r="EC90" s="91"/>
      <c r="ED90" s="91"/>
      <c r="EE90" s="91"/>
      <c r="EF90" s="91"/>
      <c r="EG90" s="91"/>
      <c r="EH90" s="92"/>
      <c r="EI90" s="110"/>
      <c r="EJ90" s="109"/>
      <c r="EK90" s="109"/>
      <c r="EL90" s="109"/>
      <c r="EM90" s="109"/>
      <c r="EN90" s="109"/>
      <c r="EO90" s="109"/>
      <c r="EP90" s="109"/>
      <c r="EQ90" s="109"/>
      <c r="ER90" s="132"/>
      <c r="ES90" s="176">
        <f t="shared" si="42"/>
        <v>0</v>
      </c>
      <c r="ET90" s="176">
        <f t="shared" si="43"/>
        <v>0</v>
      </c>
      <c r="EU90" s="176">
        <f t="shared" si="44"/>
        <v>0</v>
      </c>
      <c r="EV90" s="175">
        <f t="shared" si="45"/>
        <v>0</v>
      </c>
      <c r="EW90" s="175">
        <f t="shared" si="58"/>
        <v>0</v>
      </c>
      <c r="EX90" s="175">
        <f t="shared" si="46"/>
        <v>0</v>
      </c>
      <c r="EY90" s="175">
        <f t="shared" si="47"/>
        <v>0</v>
      </c>
      <c r="EZ90" s="176">
        <f t="shared" si="48"/>
        <v>0</v>
      </c>
      <c r="FA90" s="175">
        <f t="shared" si="49"/>
        <v>0</v>
      </c>
      <c r="FB90" s="175">
        <f t="shared" si="50"/>
        <v>0</v>
      </c>
      <c r="FC90" s="175">
        <f t="shared" si="51"/>
        <v>0</v>
      </c>
      <c r="FD90" s="175">
        <f t="shared" si="52"/>
        <v>0</v>
      </c>
      <c r="FE90" s="175">
        <f t="shared" si="53"/>
        <v>0</v>
      </c>
      <c r="FF90" s="175">
        <f t="shared" si="57"/>
        <v>0</v>
      </c>
      <c r="FG90" s="37">
        <f t="shared" si="56"/>
        <v>88</v>
      </c>
      <c r="FH90" s="165">
        <f t="shared" si="54"/>
        <v>0</v>
      </c>
      <c r="FI90" s="165">
        <f>SUM(I7:ER7)-SUM(ES90:FF90)</f>
        <v>128</v>
      </c>
      <c r="FJ90" s="165">
        <f t="shared" si="55"/>
        <v>128</v>
      </c>
      <c r="FK90" s="7"/>
    </row>
    <row r="91" spans="1:167" ht="15.75" customHeight="1">
      <c r="A91" s="2"/>
      <c r="B91" s="3">
        <f t="shared" si="40"/>
        <v>0</v>
      </c>
      <c r="C91" s="182">
        <f t="shared" si="41"/>
        <v>32</v>
      </c>
      <c r="D91" s="186"/>
      <c r="E91" s="178"/>
      <c r="F91" s="178"/>
      <c r="G91" s="628">
        <v>45915</v>
      </c>
      <c r="H91" s="629"/>
      <c r="I91" s="99"/>
      <c r="J91" s="100"/>
      <c r="K91" s="100"/>
      <c r="L91" s="100"/>
      <c r="M91" s="100"/>
      <c r="N91" s="100"/>
      <c r="O91" s="100"/>
      <c r="P91" s="100"/>
      <c r="Q91" s="100"/>
      <c r="R91" s="101"/>
      <c r="S91" s="119"/>
      <c r="T91" s="118"/>
      <c r="U91" s="118"/>
      <c r="V91" s="118"/>
      <c r="W91" s="118"/>
      <c r="X91" s="118"/>
      <c r="Y91" s="118"/>
      <c r="Z91" s="118"/>
      <c r="AA91" s="118"/>
      <c r="AB91" s="120"/>
      <c r="AC91" s="90"/>
      <c r="AD91" s="91"/>
      <c r="AE91" s="91"/>
      <c r="AF91" s="91"/>
      <c r="AG91" s="592"/>
      <c r="AH91" s="593"/>
      <c r="AI91" s="91"/>
      <c r="AJ91" s="91"/>
      <c r="AK91" s="91"/>
      <c r="AL91" s="123"/>
      <c r="AM91" s="110"/>
      <c r="AN91" s="109"/>
      <c r="AO91" s="109"/>
      <c r="AP91" s="109"/>
      <c r="AQ91" s="109"/>
      <c r="AR91" s="109"/>
      <c r="AS91" s="109"/>
      <c r="AT91" s="109"/>
      <c r="AU91" s="109"/>
      <c r="AV91" s="132"/>
      <c r="AW91" s="128"/>
      <c r="AX91" s="129"/>
      <c r="AY91" s="129"/>
      <c r="AZ91" s="129"/>
      <c r="BA91" s="129"/>
      <c r="BB91" s="129"/>
      <c r="BC91" s="129"/>
      <c r="BD91" s="129"/>
      <c r="BE91" s="129"/>
      <c r="BF91" s="138"/>
      <c r="BG91" s="99"/>
      <c r="BH91" s="100"/>
      <c r="BI91" s="100"/>
      <c r="BJ91" s="100"/>
      <c r="BK91" s="100"/>
      <c r="BL91" s="100"/>
      <c r="BM91" s="100"/>
      <c r="BN91" s="100"/>
      <c r="BO91" s="100"/>
      <c r="BP91" s="101"/>
      <c r="BQ91" s="119"/>
      <c r="BR91" s="118"/>
      <c r="BS91" s="118"/>
      <c r="BT91" s="118"/>
      <c r="BU91" s="118"/>
      <c r="BV91" s="118"/>
      <c r="BW91" s="118"/>
      <c r="BX91" s="118"/>
      <c r="BY91" s="118"/>
      <c r="BZ91" s="120"/>
      <c r="CA91" s="537"/>
      <c r="CB91" s="538"/>
      <c r="CC91" s="538"/>
      <c r="CD91" s="538"/>
      <c r="CE91" s="538"/>
      <c r="CF91" s="538"/>
      <c r="CG91" s="538"/>
      <c r="CH91" s="538"/>
      <c r="CI91" s="538"/>
      <c r="CJ91" s="539"/>
      <c r="CK91" s="110"/>
      <c r="CL91" s="109"/>
      <c r="CM91" s="109"/>
      <c r="CN91" s="109"/>
      <c r="CO91" s="109"/>
      <c r="CP91" s="109"/>
      <c r="CQ91" s="109"/>
      <c r="CR91" s="109"/>
      <c r="CS91" s="109"/>
      <c r="CT91" s="111"/>
      <c r="CU91" s="128"/>
      <c r="CV91" s="129"/>
      <c r="CW91" s="129"/>
      <c r="CX91" s="129"/>
      <c r="CY91" s="129"/>
      <c r="CZ91" s="129"/>
      <c r="DA91" s="129"/>
      <c r="DB91" s="129"/>
      <c r="DC91" s="129"/>
      <c r="DD91" s="138"/>
      <c r="DE91" s="156"/>
      <c r="DF91" s="157"/>
      <c r="DG91" s="157"/>
      <c r="DH91" s="157"/>
      <c r="DI91" s="157"/>
      <c r="DJ91" s="157"/>
      <c r="DK91" s="157"/>
      <c r="DL91" s="157"/>
      <c r="DM91" s="157"/>
      <c r="DN91" s="158"/>
      <c r="DO91" s="119"/>
      <c r="DP91" s="118"/>
      <c r="DQ91" s="118"/>
      <c r="DR91" s="118"/>
      <c r="DS91" s="118"/>
      <c r="DT91" s="118"/>
      <c r="DU91" s="118"/>
      <c r="DV91" s="118"/>
      <c r="DW91" s="118"/>
      <c r="DX91" s="120"/>
      <c r="DY91" s="90"/>
      <c r="DZ91" s="91"/>
      <c r="EA91" s="91"/>
      <c r="EB91" s="91"/>
      <c r="EC91" s="91"/>
      <c r="ED91" s="91"/>
      <c r="EE91" s="91"/>
      <c r="EF91" s="91"/>
      <c r="EG91" s="91"/>
      <c r="EH91" s="92"/>
      <c r="EI91" s="110"/>
      <c r="EJ91" s="109"/>
      <c r="EK91" s="109"/>
      <c r="EL91" s="109"/>
      <c r="EM91" s="109"/>
      <c r="EN91" s="109"/>
      <c r="EO91" s="109"/>
      <c r="EP91" s="109"/>
      <c r="EQ91" s="109"/>
      <c r="ER91" s="132"/>
      <c r="ES91" s="176">
        <f t="shared" si="42"/>
        <v>0</v>
      </c>
      <c r="ET91" s="176">
        <f t="shared" si="43"/>
        <v>0</v>
      </c>
      <c r="EU91" s="176">
        <f t="shared" si="44"/>
        <v>0</v>
      </c>
      <c r="EV91" s="175">
        <f t="shared" si="45"/>
        <v>0</v>
      </c>
      <c r="EW91" s="175">
        <f t="shared" si="58"/>
        <v>0</v>
      </c>
      <c r="EX91" s="175">
        <f t="shared" si="46"/>
        <v>0</v>
      </c>
      <c r="EY91" s="175">
        <f t="shared" si="47"/>
        <v>0</v>
      </c>
      <c r="EZ91" s="176">
        <f t="shared" si="48"/>
        <v>0</v>
      </c>
      <c r="FA91" s="175">
        <f t="shared" si="49"/>
        <v>0</v>
      </c>
      <c r="FB91" s="175">
        <f t="shared" si="50"/>
        <v>0</v>
      </c>
      <c r="FC91" s="175">
        <f t="shared" si="51"/>
        <v>0</v>
      </c>
      <c r="FD91" s="175">
        <f t="shared" si="52"/>
        <v>0</v>
      </c>
      <c r="FE91" s="175">
        <f t="shared" si="53"/>
        <v>0</v>
      </c>
      <c r="FF91" s="175">
        <f t="shared" si="57"/>
        <v>0</v>
      </c>
      <c r="FG91" s="37">
        <f t="shared" si="56"/>
        <v>89</v>
      </c>
      <c r="FH91" s="165">
        <f t="shared" si="54"/>
        <v>0</v>
      </c>
      <c r="FI91" s="165">
        <f>SUM(I7:ER7)-SUM(ES91:FF91)</f>
        <v>128</v>
      </c>
      <c r="FJ91" s="165">
        <f t="shared" si="55"/>
        <v>128</v>
      </c>
      <c r="FK91" s="7"/>
    </row>
    <row r="92" spans="1:167" ht="15.75" customHeight="1">
      <c r="A92" s="2"/>
      <c r="B92" s="3">
        <f t="shared" si="40"/>
        <v>0</v>
      </c>
      <c r="C92" s="182">
        <f t="shared" si="41"/>
        <v>33</v>
      </c>
      <c r="D92" s="186"/>
      <c r="E92" s="178"/>
      <c r="F92" s="178"/>
      <c r="G92" s="628">
        <v>45915</v>
      </c>
      <c r="H92" s="629"/>
      <c r="I92" s="99"/>
      <c r="J92" s="100"/>
      <c r="K92" s="100"/>
      <c r="L92" s="100"/>
      <c r="M92" s="100"/>
      <c r="N92" s="100"/>
      <c r="O92" s="100"/>
      <c r="P92" s="100"/>
      <c r="Q92" s="100"/>
      <c r="R92" s="101"/>
      <c r="S92" s="119"/>
      <c r="T92" s="118"/>
      <c r="U92" s="118"/>
      <c r="V92" s="118"/>
      <c r="W92" s="118"/>
      <c r="X92" s="118"/>
      <c r="Y92" s="118"/>
      <c r="Z92" s="118"/>
      <c r="AA92" s="118"/>
      <c r="AB92" s="120"/>
      <c r="AC92" s="90"/>
      <c r="AD92" s="91"/>
      <c r="AE92" s="91"/>
      <c r="AF92" s="91"/>
      <c r="AG92" s="592"/>
      <c r="AH92" s="593"/>
      <c r="AI92" s="91"/>
      <c r="AJ92" s="91"/>
      <c r="AK92" s="91"/>
      <c r="AL92" s="123"/>
      <c r="AM92" s="110"/>
      <c r="AN92" s="109"/>
      <c r="AO92" s="109"/>
      <c r="AP92" s="109"/>
      <c r="AQ92" s="109"/>
      <c r="AR92" s="109"/>
      <c r="AS92" s="109"/>
      <c r="AT92" s="109"/>
      <c r="AU92" s="109"/>
      <c r="AV92" s="132"/>
      <c r="AW92" s="128"/>
      <c r="AX92" s="129"/>
      <c r="AY92" s="129"/>
      <c r="AZ92" s="129"/>
      <c r="BA92" s="129"/>
      <c r="BB92" s="129"/>
      <c r="BC92" s="129"/>
      <c r="BD92" s="129"/>
      <c r="BE92" s="129"/>
      <c r="BF92" s="138"/>
      <c r="BG92" s="99"/>
      <c r="BH92" s="100"/>
      <c r="BI92" s="100"/>
      <c r="BJ92" s="100"/>
      <c r="BK92" s="100"/>
      <c r="BL92" s="100"/>
      <c r="BM92" s="100"/>
      <c r="BN92" s="100"/>
      <c r="BO92" s="100"/>
      <c r="BP92" s="101"/>
      <c r="BQ92" s="119"/>
      <c r="BR92" s="118"/>
      <c r="BS92" s="118"/>
      <c r="BT92" s="118"/>
      <c r="BU92" s="118"/>
      <c r="BV92" s="118"/>
      <c r="BW92" s="118"/>
      <c r="BX92" s="118"/>
      <c r="BY92" s="118"/>
      <c r="BZ92" s="120"/>
      <c r="CA92" s="537"/>
      <c r="CB92" s="538"/>
      <c r="CC92" s="538"/>
      <c r="CD92" s="538"/>
      <c r="CE92" s="538"/>
      <c r="CF92" s="538"/>
      <c r="CG92" s="538"/>
      <c r="CH92" s="538"/>
      <c r="CI92" s="538"/>
      <c r="CJ92" s="539"/>
      <c r="CK92" s="110"/>
      <c r="CL92" s="109"/>
      <c r="CM92" s="109"/>
      <c r="CN92" s="109"/>
      <c r="CO92" s="109"/>
      <c r="CP92" s="109"/>
      <c r="CQ92" s="109"/>
      <c r="CR92" s="109"/>
      <c r="CS92" s="109"/>
      <c r="CT92" s="111"/>
      <c r="CU92" s="128"/>
      <c r="CV92" s="129"/>
      <c r="CW92" s="129"/>
      <c r="CX92" s="129"/>
      <c r="CY92" s="129"/>
      <c r="CZ92" s="129"/>
      <c r="DA92" s="129"/>
      <c r="DB92" s="129"/>
      <c r="DC92" s="129"/>
      <c r="DD92" s="138"/>
      <c r="DE92" s="156"/>
      <c r="DF92" s="157"/>
      <c r="DG92" s="157"/>
      <c r="DH92" s="157"/>
      <c r="DI92" s="157"/>
      <c r="DJ92" s="157"/>
      <c r="DK92" s="157"/>
      <c r="DL92" s="157"/>
      <c r="DM92" s="157"/>
      <c r="DN92" s="158"/>
      <c r="DO92" s="119"/>
      <c r="DP92" s="118"/>
      <c r="DQ92" s="118"/>
      <c r="DR92" s="118"/>
      <c r="DS92" s="118"/>
      <c r="DT92" s="118"/>
      <c r="DU92" s="118"/>
      <c r="DV92" s="118"/>
      <c r="DW92" s="118"/>
      <c r="DX92" s="120"/>
      <c r="DY92" s="90"/>
      <c r="DZ92" s="91"/>
      <c r="EA92" s="91"/>
      <c r="EB92" s="91"/>
      <c r="EC92" s="91"/>
      <c r="ED92" s="91"/>
      <c r="EE92" s="91"/>
      <c r="EF92" s="91"/>
      <c r="EG92" s="91"/>
      <c r="EH92" s="92"/>
      <c r="EI92" s="110"/>
      <c r="EJ92" s="109"/>
      <c r="EK92" s="109"/>
      <c r="EL92" s="109"/>
      <c r="EM92" s="109"/>
      <c r="EN92" s="109"/>
      <c r="EO92" s="109"/>
      <c r="EP92" s="109"/>
      <c r="EQ92" s="109"/>
      <c r="ER92" s="132"/>
      <c r="ES92" s="176">
        <f t="shared" si="42"/>
        <v>0</v>
      </c>
      <c r="ET92" s="176">
        <f t="shared" si="43"/>
        <v>0</v>
      </c>
      <c r="EU92" s="176">
        <f t="shared" si="44"/>
        <v>0</v>
      </c>
      <c r="EV92" s="175">
        <f t="shared" si="45"/>
        <v>0</v>
      </c>
      <c r="EW92" s="175">
        <f t="shared" si="58"/>
        <v>0</v>
      </c>
      <c r="EX92" s="175">
        <f t="shared" si="46"/>
        <v>0</v>
      </c>
      <c r="EY92" s="175">
        <f t="shared" si="47"/>
        <v>0</v>
      </c>
      <c r="EZ92" s="176">
        <f t="shared" si="48"/>
        <v>0</v>
      </c>
      <c r="FA92" s="175">
        <f t="shared" si="49"/>
        <v>0</v>
      </c>
      <c r="FB92" s="175">
        <f t="shared" si="50"/>
        <v>0</v>
      </c>
      <c r="FC92" s="175">
        <f t="shared" si="51"/>
        <v>0</v>
      </c>
      <c r="FD92" s="175">
        <f t="shared" si="52"/>
        <v>0</v>
      </c>
      <c r="FE92" s="175">
        <f t="shared" si="53"/>
        <v>0</v>
      </c>
      <c r="FF92" s="175">
        <f t="shared" si="57"/>
        <v>0</v>
      </c>
      <c r="FG92" s="37">
        <f t="shared" si="56"/>
        <v>90</v>
      </c>
      <c r="FH92" s="165">
        <f t="shared" si="54"/>
        <v>0</v>
      </c>
      <c r="FI92" s="165">
        <f>SUM(I7:ER7)-SUM(ES92:FF92)</f>
        <v>128</v>
      </c>
      <c r="FJ92" s="165">
        <f t="shared" si="55"/>
        <v>128</v>
      </c>
      <c r="FK92" s="7"/>
    </row>
    <row r="93" spans="1:167" ht="15.75" customHeight="1">
      <c r="A93" s="2"/>
      <c r="B93" s="3">
        <f t="shared" si="40"/>
        <v>0</v>
      </c>
      <c r="C93" s="182">
        <f t="shared" si="41"/>
        <v>34</v>
      </c>
      <c r="D93" s="186"/>
      <c r="E93" s="178"/>
      <c r="F93" s="178"/>
      <c r="G93" s="628">
        <v>45915</v>
      </c>
      <c r="H93" s="629"/>
      <c r="I93" s="99"/>
      <c r="J93" s="100"/>
      <c r="K93" s="100"/>
      <c r="L93" s="100"/>
      <c r="M93" s="100"/>
      <c r="N93" s="100"/>
      <c r="O93" s="100"/>
      <c r="P93" s="100"/>
      <c r="Q93" s="100"/>
      <c r="R93" s="101"/>
      <c r="S93" s="119"/>
      <c r="T93" s="118"/>
      <c r="U93" s="118"/>
      <c r="V93" s="118"/>
      <c r="W93" s="118"/>
      <c r="X93" s="118"/>
      <c r="Y93" s="118"/>
      <c r="Z93" s="118"/>
      <c r="AA93" s="118"/>
      <c r="AB93" s="120"/>
      <c r="AC93" s="90"/>
      <c r="AD93" s="91"/>
      <c r="AE93" s="91"/>
      <c r="AF93" s="91"/>
      <c r="AG93" s="592"/>
      <c r="AH93" s="593"/>
      <c r="AI93" s="91"/>
      <c r="AJ93" s="91"/>
      <c r="AK93" s="91"/>
      <c r="AL93" s="123"/>
      <c r="AM93" s="110"/>
      <c r="AN93" s="109"/>
      <c r="AO93" s="109"/>
      <c r="AP93" s="109"/>
      <c r="AQ93" s="109"/>
      <c r="AR93" s="109"/>
      <c r="AS93" s="109"/>
      <c r="AT93" s="109"/>
      <c r="AU93" s="109"/>
      <c r="AV93" s="132"/>
      <c r="AW93" s="128"/>
      <c r="AX93" s="129"/>
      <c r="AY93" s="129"/>
      <c r="AZ93" s="129"/>
      <c r="BA93" s="129"/>
      <c r="BB93" s="129"/>
      <c r="BC93" s="129"/>
      <c r="BD93" s="129"/>
      <c r="BE93" s="129"/>
      <c r="BF93" s="138"/>
      <c r="BG93" s="99"/>
      <c r="BH93" s="100"/>
      <c r="BI93" s="100"/>
      <c r="BJ93" s="100"/>
      <c r="BK93" s="100"/>
      <c r="BL93" s="100"/>
      <c r="BM93" s="100"/>
      <c r="BN93" s="100"/>
      <c r="BO93" s="100"/>
      <c r="BP93" s="101"/>
      <c r="BQ93" s="119"/>
      <c r="BR93" s="118"/>
      <c r="BS93" s="118"/>
      <c r="BT93" s="118"/>
      <c r="BU93" s="118"/>
      <c r="BV93" s="118"/>
      <c r="BW93" s="118"/>
      <c r="BX93" s="118"/>
      <c r="BY93" s="118"/>
      <c r="BZ93" s="120"/>
      <c r="CA93" s="537"/>
      <c r="CB93" s="538"/>
      <c r="CC93" s="538"/>
      <c r="CD93" s="538"/>
      <c r="CE93" s="538"/>
      <c r="CF93" s="538"/>
      <c r="CG93" s="538"/>
      <c r="CH93" s="538"/>
      <c r="CI93" s="538"/>
      <c r="CJ93" s="539"/>
      <c r="CK93" s="110"/>
      <c r="CL93" s="109"/>
      <c r="CM93" s="109"/>
      <c r="CN93" s="109"/>
      <c r="CO93" s="109"/>
      <c r="CP93" s="109"/>
      <c r="CQ93" s="109"/>
      <c r="CR93" s="109"/>
      <c r="CS93" s="109"/>
      <c r="CT93" s="111"/>
      <c r="CU93" s="128"/>
      <c r="CV93" s="129"/>
      <c r="CW93" s="129"/>
      <c r="CX93" s="129"/>
      <c r="CY93" s="129"/>
      <c r="CZ93" s="129"/>
      <c r="DA93" s="129"/>
      <c r="DB93" s="129"/>
      <c r="DC93" s="129"/>
      <c r="DD93" s="138"/>
      <c r="DE93" s="156"/>
      <c r="DF93" s="157"/>
      <c r="DG93" s="157"/>
      <c r="DH93" s="157"/>
      <c r="DI93" s="157"/>
      <c r="DJ93" s="157"/>
      <c r="DK93" s="157"/>
      <c r="DL93" s="157"/>
      <c r="DM93" s="157"/>
      <c r="DN93" s="158"/>
      <c r="DO93" s="119"/>
      <c r="DP93" s="118"/>
      <c r="DQ93" s="118"/>
      <c r="DR93" s="118"/>
      <c r="DS93" s="118"/>
      <c r="DT93" s="118"/>
      <c r="DU93" s="118"/>
      <c r="DV93" s="118"/>
      <c r="DW93" s="118"/>
      <c r="DX93" s="120"/>
      <c r="DY93" s="90"/>
      <c r="DZ93" s="91"/>
      <c r="EA93" s="91"/>
      <c r="EB93" s="91"/>
      <c r="EC93" s="91"/>
      <c r="ED93" s="91"/>
      <c r="EE93" s="91"/>
      <c r="EF93" s="91"/>
      <c r="EG93" s="91"/>
      <c r="EH93" s="92"/>
      <c r="EI93" s="110"/>
      <c r="EJ93" s="109"/>
      <c r="EK93" s="109"/>
      <c r="EL93" s="109"/>
      <c r="EM93" s="109"/>
      <c r="EN93" s="109"/>
      <c r="EO93" s="109"/>
      <c r="EP93" s="109"/>
      <c r="EQ93" s="109"/>
      <c r="ER93" s="132"/>
      <c r="ES93" s="176">
        <f t="shared" si="42"/>
        <v>0</v>
      </c>
      <c r="ET93" s="176">
        <f t="shared" si="43"/>
        <v>0</v>
      </c>
      <c r="EU93" s="176">
        <f t="shared" si="44"/>
        <v>0</v>
      </c>
      <c r="EV93" s="175">
        <f t="shared" si="45"/>
        <v>0</v>
      </c>
      <c r="EW93" s="175">
        <f t="shared" si="58"/>
        <v>0</v>
      </c>
      <c r="EX93" s="175">
        <f t="shared" si="46"/>
        <v>0</v>
      </c>
      <c r="EY93" s="175">
        <f t="shared" si="47"/>
        <v>0</v>
      </c>
      <c r="EZ93" s="176">
        <f t="shared" si="48"/>
        <v>0</v>
      </c>
      <c r="FA93" s="175">
        <f t="shared" si="49"/>
        <v>0</v>
      </c>
      <c r="FB93" s="175">
        <f t="shared" si="50"/>
        <v>0</v>
      </c>
      <c r="FC93" s="175">
        <f t="shared" si="51"/>
        <v>0</v>
      </c>
      <c r="FD93" s="175">
        <f t="shared" si="52"/>
        <v>0</v>
      </c>
      <c r="FE93" s="175">
        <f t="shared" si="53"/>
        <v>0</v>
      </c>
      <c r="FF93" s="175">
        <f t="shared" si="57"/>
        <v>0</v>
      </c>
      <c r="FG93" s="37">
        <f t="shared" si="56"/>
        <v>91</v>
      </c>
      <c r="FH93" s="165">
        <f t="shared" si="54"/>
        <v>0</v>
      </c>
      <c r="FI93" s="165">
        <f>SUM(I7:ER7)-SUM(ES93:FF93)</f>
        <v>128</v>
      </c>
      <c r="FJ93" s="165">
        <f t="shared" si="55"/>
        <v>128</v>
      </c>
      <c r="FK93" s="7"/>
    </row>
    <row r="94" spans="1:167" ht="15.75" customHeight="1">
      <c r="A94" s="2"/>
      <c r="B94" s="3">
        <f t="shared" si="40"/>
        <v>0</v>
      </c>
      <c r="C94" s="182">
        <f t="shared" si="41"/>
        <v>35</v>
      </c>
      <c r="D94" s="186"/>
      <c r="E94" s="178"/>
      <c r="F94" s="178"/>
      <c r="G94" s="628">
        <v>45915</v>
      </c>
      <c r="H94" s="629"/>
      <c r="I94" s="99"/>
      <c r="J94" s="100"/>
      <c r="K94" s="100"/>
      <c r="L94" s="100"/>
      <c r="M94" s="100"/>
      <c r="N94" s="100"/>
      <c r="O94" s="100"/>
      <c r="P94" s="100"/>
      <c r="Q94" s="100"/>
      <c r="R94" s="101"/>
      <c r="S94" s="119"/>
      <c r="T94" s="118"/>
      <c r="U94" s="118"/>
      <c r="V94" s="118"/>
      <c r="W94" s="118"/>
      <c r="X94" s="118"/>
      <c r="Y94" s="118"/>
      <c r="Z94" s="118"/>
      <c r="AA94" s="118"/>
      <c r="AB94" s="120"/>
      <c r="AC94" s="90"/>
      <c r="AD94" s="91"/>
      <c r="AE94" s="91"/>
      <c r="AF94" s="91"/>
      <c r="AG94" s="592"/>
      <c r="AH94" s="593"/>
      <c r="AI94" s="91"/>
      <c r="AJ94" s="91"/>
      <c r="AK94" s="91"/>
      <c r="AL94" s="123"/>
      <c r="AM94" s="110"/>
      <c r="AN94" s="109"/>
      <c r="AO94" s="109"/>
      <c r="AP94" s="109"/>
      <c r="AQ94" s="109"/>
      <c r="AR94" s="109"/>
      <c r="AS94" s="109"/>
      <c r="AT94" s="109"/>
      <c r="AU94" s="109"/>
      <c r="AV94" s="132"/>
      <c r="AW94" s="128"/>
      <c r="AX94" s="129"/>
      <c r="AY94" s="129"/>
      <c r="AZ94" s="129"/>
      <c r="BA94" s="129"/>
      <c r="BB94" s="129"/>
      <c r="BC94" s="129"/>
      <c r="BD94" s="129"/>
      <c r="BE94" s="129"/>
      <c r="BF94" s="138"/>
      <c r="BG94" s="99"/>
      <c r="BH94" s="100"/>
      <c r="BI94" s="100"/>
      <c r="BJ94" s="100"/>
      <c r="BK94" s="100"/>
      <c r="BL94" s="100"/>
      <c r="BM94" s="100"/>
      <c r="BN94" s="100"/>
      <c r="BO94" s="100"/>
      <c r="BP94" s="101"/>
      <c r="BQ94" s="119"/>
      <c r="BR94" s="118"/>
      <c r="BS94" s="118"/>
      <c r="BT94" s="118"/>
      <c r="BU94" s="118"/>
      <c r="BV94" s="118"/>
      <c r="BW94" s="118"/>
      <c r="BX94" s="118"/>
      <c r="BY94" s="118"/>
      <c r="BZ94" s="120"/>
      <c r="CA94" s="537"/>
      <c r="CB94" s="538"/>
      <c r="CC94" s="538"/>
      <c r="CD94" s="538"/>
      <c r="CE94" s="538"/>
      <c r="CF94" s="538"/>
      <c r="CG94" s="538"/>
      <c r="CH94" s="538"/>
      <c r="CI94" s="538"/>
      <c r="CJ94" s="539"/>
      <c r="CK94" s="110"/>
      <c r="CL94" s="109"/>
      <c r="CM94" s="109"/>
      <c r="CN94" s="109"/>
      <c r="CO94" s="109"/>
      <c r="CP94" s="109"/>
      <c r="CQ94" s="109"/>
      <c r="CR94" s="109"/>
      <c r="CS94" s="109"/>
      <c r="CT94" s="111"/>
      <c r="CU94" s="128"/>
      <c r="CV94" s="129"/>
      <c r="CW94" s="129"/>
      <c r="CX94" s="129"/>
      <c r="CY94" s="129"/>
      <c r="CZ94" s="129"/>
      <c r="DA94" s="129"/>
      <c r="DB94" s="129"/>
      <c r="DC94" s="129"/>
      <c r="DD94" s="138"/>
      <c r="DE94" s="156"/>
      <c r="DF94" s="157"/>
      <c r="DG94" s="157"/>
      <c r="DH94" s="157"/>
      <c r="DI94" s="157"/>
      <c r="DJ94" s="157"/>
      <c r="DK94" s="157"/>
      <c r="DL94" s="157"/>
      <c r="DM94" s="157"/>
      <c r="DN94" s="158"/>
      <c r="DO94" s="119"/>
      <c r="DP94" s="118"/>
      <c r="DQ94" s="118"/>
      <c r="DR94" s="118"/>
      <c r="DS94" s="118"/>
      <c r="DT94" s="118"/>
      <c r="DU94" s="118"/>
      <c r="DV94" s="118"/>
      <c r="DW94" s="118"/>
      <c r="DX94" s="120"/>
      <c r="DY94" s="90"/>
      <c r="DZ94" s="91"/>
      <c r="EA94" s="91"/>
      <c r="EB94" s="91"/>
      <c r="EC94" s="91"/>
      <c r="ED94" s="91"/>
      <c r="EE94" s="91"/>
      <c r="EF94" s="91"/>
      <c r="EG94" s="91"/>
      <c r="EH94" s="92"/>
      <c r="EI94" s="110"/>
      <c r="EJ94" s="109"/>
      <c r="EK94" s="109"/>
      <c r="EL94" s="109"/>
      <c r="EM94" s="109"/>
      <c r="EN94" s="109"/>
      <c r="EO94" s="109"/>
      <c r="EP94" s="109"/>
      <c r="EQ94" s="109"/>
      <c r="ER94" s="132"/>
      <c r="ES94" s="176">
        <f t="shared" si="42"/>
        <v>0</v>
      </c>
      <c r="ET94" s="176">
        <f t="shared" si="43"/>
        <v>0</v>
      </c>
      <c r="EU94" s="176">
        <f t="shared" si="44"/>
        <v>0</v>
      </c>
      <c r="EV94" s="175">
        <f t="shared" si="45"/>
        <v>0</v>
      </c>
      <c r="EW94" s="175">
        <f t="shared" si="58"/>
        <v>0</v>
      </c>
      <c r="EX94" s="175">
        <f t="shared" si="46"/>
        <v>0</v>
      </c>
      <c r="EY94" s="175">
        <f t="shared" si="47"/>
        <v>0</v>
      </c>
      <c r="EZ94" s="176">
        <f t="shared" si="48"/>
        <v>0</v>
      </c>
      <c r="FA94" s="175">
        <f t="shared" si="49"/>
        <v>0</v>
      </c>
      <c r="FB94" s="175">
        <f t="shared" si="50"/>
        <v>0</v>
      </c>
      <c r="FC94" s="175">
        <f t="shared" si="51"/>
        <v>0</v>
      </c>
      <c r="FD94" s="175">
        <f t="shared" si="52"/>
        <v>0</v>
      </c>
      <c r="FE94" s="175">
        <f t="shared" si="53"/>
        <v>0</v>
      </c>
      <c r="FF94" s="175">
        <f t="shared" si="57"/>
        <v>0</v>
      </c>
      <c r="FG94" s="37">
        <f t="shared" si="56"/>
        <v>92</v>
      </c>
      <c r="FH94" s="165">
        <f t="shared" si="54"/>
        <v>0</v>
      </c>
      <c r="FI94" s="165">
        <f>SUM(I7:ER7)-SUM(ES94:FF94)</f>
        <v>128</v>
      </c>
      <c r="FJ94" s="165">
        <f t="shared" si="55"/>
        <v>128</v>
      </c>
      <c r="FK94" s="7"/>
    </row>
    <row r="95" spans="1:167" ht="15.75" customHeight="1">
      <c r="A95" s="2"/>
      <c r="B95" s="3">
        <f t="shared" si="40"/>
        <v>0</v>
      </c>
      <c r="C95" s="182">
        <f t="shared" si="41"/>
        <v>36</v>
      </c>
      <c r="D95" s="186"/>
      <c r="E95" s="178"/>
      <c r="F95" s="178"/>
      <c r="G95" s="628">
        <v>45915</v>
      </c>
      <c r="H95" s="629"/>
      <c r="I95" s="99"/>
      <c r="J95" s="100"/>
      <c r="K95" s="100"/>
      <c r="L95" s="100"/>
      <c r="M95" s="100"/>
      <c r="N95" s="100"/>
      <c r="O95" s="100"/>
      <c r="P95" s="100"/>
      <c r="Q95" s="100"/>
      <c r="R95" s="101"/>
      <c r="S95" s="119"/>
      <c r="T95" s="118"/>
      <c r="U95" s="118"/>
      <c r="V95" s="118"/>
      <c r="W95" s="118"/>
      <c r="X95" s="118"/>
      <c r="Y95" s="118"/>
      <c r="Z95" s="118"/>
      <c r="AA95" s="118"/>
      <c r="AB95" s="120"/>
      <c r="AC95" s="90"/>
      <c r="AD95" s="91"/>
      <c r="AE95" s="91"/>
      <c r="AF95" s="91"/>
      <c r="AG95" s="592"/>
      <c r="AH95" s="593"/>
      <c r="AI95" s="91"/>
      <c r="AJ95" s="91"/>
      <c r="AK95" s="91"/>
      <c r="AL95" s="123"/>
      <c r="AM95" s="110"/>
      <c r="AN95" s="109"/>
      <c r="AO95" s="109"/>
      <c r="AP95" s="109"/>
      <c r="AQ95" s="109"/>
      <c r="AR95" s="109"/>
      <c r="AS95" s="109"/>
      <c r="AT95" s="109"/>
      <c r="AU95" s="109"/>
      <c r="AV95" s="132"/>
      <c r="AW95" s="128"/>
      <c r="AX95" s="129"/>
      <c r="AY95" s="129"/>
      <c r="AZ95" s="129"/>
      <c r="BA95" s="129"/>
      <c r="BB95" s="129"/>
      <c r="BC95" s="129"/>
      <c r="BD95" s="129"/>
      <c r="BE95" s="129"/>
      <c r="BF95" s="138"/>
      <c r="BG95" s="99"/>
      <c r="BH95" s="100"/>
      <c r="BI95" s="100"/>
      <c r="BJ95" s="100"/>
      <c r="BK95" s="100"/>
      <c r="BL95" s="100"/>
      <c r="BM95" s="100"/>
      <c r="BN95" s="100"/>
      <c r="BO95" s="100"/>
      <c r="BP95" s="101"/>
      <c r="BQ95" s="119"/>
      <c r="BR95" s="118"/>
      <c r="BS95" s="118"/>
      <c r="BT95" s="118"/>
      <c r="BU95" s="118"/>
      <c r="BV95" s="118"/>
      <c r="BW95" s="118"/>
      <c r="BX95" s="118"/>
      <c r="BY95" s="118"/>
      <c r="BZ95" s="120"/>
      <c r="CA95" s="537"/>
      <c r="CB95" s="538"/>
      <c r="CC95" s="538"/>
      <c r="CD95" s="538"/>
      <c r="CE95" s="538"/>
      <c r="CF95" s="538"/>
      <c r="CG95" s="538"/>
      <c r="CH95" s="538"/>
      <c r="CI95" s="538"/>
      <c r="CJ95" s="539"/>
      <c r="CK95" s="110"/>
      <c r="CL95" s="109"/>
      <c r="CM95" s="109"/>
      <c r="CN95" s="109"/>
      <c r="CO95" s="109"/>
      <c r="CP95" s="109"/>
      <c r="CQ95" s="109"/>
      <c r="CR95" s="109"/>
      <c r="CS95" s="109"/>
      <c r="CT95" s="111"/>
      <c r="CU95" s="128"/>
      <c r="CV95" s="129"/>
      <c r="CW95" s="129"/>
      <c r="CX95" s="129"/>
      <c r="CY95" s="129"/>
      <c r="CZ95" s="129"/>
      <c r="DA95" s="129"/>
      <c r="DB95" s="129"/>
      <c r="DC95" s="129"/>
      <c r="DD95" s="138"/>
      <c r="DE95" s="156"/>
      <c r="DF95" s="157"/>
      <c r="DG95" s="157"/>
      <c r="DH95" s="157"/>
      <c r="DI95" s="157"/>
      <c r="DJ95" s="157"/>
      <c r="DK95" s="157"/>
      <c r="DL95" s="157"/>
      <c r="DM95" s="157"/>
      <c r="DN95" s="158"/>
      <c r="DO95" s="119"/>
      <c r="DP95" s="118"/>
      <c r="DQ95" s="118"/>
      <c r="DR95" s="118"/>
      <c r="DS95" s="118"/>
      <c r="DT95" s="118"/>
      <c r="DU95" s="118"/>
      <c r="DV95" s="118"/>
      <c r="DW95" s="118"/>
      <c r="DX95" s="120"/>
      <c r="DY95" s="90"/>
      <c r="DZ95" s="91"/>
      <c r="EA95" s="91"/>
      <c r="EB95" s="91"/>
      <c r="EC95" s="91"/>
      <c r="ED95" s="91"/>
      <c r="EE95" s="91"/>
      <c r="EF95" s="91"/>
      <c r="EG95" s="91"/>
      <c r="EH95" s="92"/>
      <c r="EI95" s="110"/>
      <c r="EJ95" s="109"/>
      <c r="EK95" s="109"/>
      <c r="EL95" s="109"/>
      <c r="EM95" s="109"/>
      <c r="EN95" s="109"/>
      <c r="EO95" s="109"/>
      <c r="EP95" s="109"/>
      <c r="EQ95" s="109"/>
      <c r="ER95" s="132"/>
      <c r="ES95" s="176">
        <f t="shared" si="42"/>
        <v>0</v>
      </c>
      <c r="ET95" s="176">
        <f t="shared" si="43"/>
        <v>0</v>
      </c>
      <c r="EU95" s="176">
        <f t="shared" si="44"/>
        <v>0</v>
      </c>
      <c r="EV95" s="175">
        <f t="shared" si="45"/>
        <v>0</v>
      </c>
      <c r="EW95" s="175">
        <f t="shared" si="58"/>
        <v>0</v>
      </c>
      <c r="EX95" s="175">
        <f t="shared" si="46"/>
        <v>0</v>
      </c>
      <c r="EY95" s="175">
        <f t="shared" si="47"/>
        <v>0</v>
      </c>
      <c r="EZ95" s="176">
        <f t="shared" si="48"/>
        <v>0</v>
      </c>
      <c r="FA95" s="175">
        <f t="shared" si="49"/>
        <v>0</v>
      </c>
      <c r="FB95" s="175">
        <f t="shared" si="50"/>
        <v>0</v>
      </c>
      <c r="FC95" s="175">
        <f t="shared" si="51"/>
        <v>0</v>
      </c>
      <c r="FD95" s="175">
        <f t="shared" si="52"/>
        <v>0</v>
      </c>
      <c r="FE95" s="175">
        <f t="shared" si="53"/>
        <v>0</v>
      </c>
      <c r="FF95" s="175">
        <f t="shared" si="57"/>
        <v>0</v>
      </c>
      <c r="FG95" s="37">
        <f t="shared" si="56"/>
        <v>93</v>
      </c>
      <c r="FH95" s="165">
        <f t="shared" si="54"/>
        <v>0</v>
      </c>
      <c r="FI95" s="165">
        <f>SUM(I7:ER7)-SUM(ES95:FF95)</f>
        <v>128</v>
      </c>
      <c r="FJ95" s="165">
        <f t="shared" si="55"/>
        <v>128</v>
      </c>
      <c r="FK95" s="7"/>
    </row>
    <row r="96" spans="1:167" ht="15.75" customHeight="1">
      <c r="A96" s="2"/>
      <c r="B96" s="3">
        <f t="shared" si="40"/>
        <v>0</v>
      </c>
      <c r="C96" s="182">
        <f t="shared" si="41"/>
        <v>37</v>
      </c>
      <c r="D96" s="186"/>
      <c r="E96" s="178"/>
      <c r="F96" s="178"/>
      <c r="G96" s="628">
        <v>45915</v>
      </c>
      <c r="H96" s="629"/>
      <c r="I96" s="99"/>
      <c r="J96" s="100"/>
      <c r="K96" s="100"/>
      <c r="L96" s="100"/>
      <c r="M96" s="100"/>
      <c r="N96" s="100"/>
      <c r="O96" s="100"/>
      <c r="P96" s="100"/>
      <c r="Q96" s="100"/>
      <c r="R96" s="101"/>
      <c r="S96" s="119"/>
      <c r="T96" s="118"/>
      <c r="U96" s="118"/>
      <c r="V96" s="118"/>
      <c r="W96" s="118"/>
      <c r="X96" s="118"/>
      <c r="Y96" s="118"/>
      <c r="Z96" s="118"/>
      <c r="AA96" s="118"/>
      <c r="AB96" s="120"/>
      <c r="AC96" s="90"/>
      <c r="AD96" s="91"/>
      <c r="AE96" s="91"/>
      <c r="AF96" s="91"/>
      <c r="AG96" s="592"/>
      <c r="AH96" s="593"/>
      <c r="AI96" s="91"/>
      <c r="AJ96" s="91"/>
      <c r="AK96" s="91"/>
      <c r="AL96" s="123"/>
      <c r="AM96" s="110"/>
      <c r="AN96" s="109"/>
      <c r="AO96" s="109"/>
      <c r="AP96" s="109"/>
      <c r="AQ96" s="109"/>
      <c r="AR96" s="109"/>
      <c r="AS96" s="109"/>
      <c r="AT96" s="109"/>
      <c r="AU96" s="109"/>
      <c r="AV96" s="132"/>
      <c r="AW96" s="128"/>
      <c r="AX96" s="129"/>
      <c r="AY96" s="129"/>
      <c r="AZ96" s="129"/>
      <c r="BA96" s="129"/>
      <c r="BB96" s="129"/>
      <c r="BC96" s="129"/>
      <c r="BD96" s="129"/>
      <c r="BE96" s="129"/>
      <c r="BF96" s="138"/>
      <c r="BG96" s="99"/>
      <c r="BH96" s="100"/>
      <c r="BI96" s="100"/>
      <c r="BJ96" s="100"/>
      <c r="BK96" s="100"/>
      <c r="BL96" s="100"/>
      <c r="BM96" s="100"/>
      <c r="BN96" s="100"/>
      <c r="BO96" s="100"/>
      <c r="BP96" s="101"/>
      <c r="BQ96" s="119"/>
      <c r="BR96" s="118"/>
      <c r="BS96" s="118"/>
      <c r="BT96" s="118"/>
      <c r="BU96" s="118"/>
      <c r="BV96" s="118"/>
      <c r="BW96" s="118"/>
      <c r="BX96" s="118"/>
      <c r="BY96" s="118"/>
      <c r="BZ96" s="120"/>
      <c r="CA96" s="537"/>
      <c r="CB96" s="538"/>
      <c r="CC96" s="538"/>
      <c r="CD96" s="538"/>
      <c r="CE96" s="538"/>
      <c r="CF96" s="538"/>
      <c r="CG96" s="538"/>
      <c r="CH96" s="538"/>
      <c r="CI96" s="538"/>
      <c r="CJ96" s="539"/>
      <c r="CK96" s="110"/>
      <c r="CL96" s="109"/>
      <c r="CM96" s="109"/>
      <c r="CN96" s="109"/>
      <c r="CO96" s="109"/>
      <c r="CP96" s="109"/>
      <c r="CQ96" s="109"/>
      <c r="CR96" s="109"/>
      <c r="CS96" s="109"/>
      <c r="CT96" s="111"/>
      <c r="CU96" s="128"/>
      <c r="CV96" s="129"/>
      <c r="CW96" s="129"/>
      <c r="CX96" s="129"/>
      <c r="CY96" s="129"/>
      <c r="CZ96" s="129"/>
      <c r="DA96" s="129"/>
      <c r="DB96" s="129"/>
      <c r="DC96" s="129"/>
      <c r="DD96" s="138"/>
      <c r="DE96" s="156"/>
      <c r="DF96" s="157"/>
      <c r="DG96" s="157"/>
      <c r="DH96" s="157"/>
      <c r="DI96" s="157"/>
      <c r="DJ96" s="157"/>
      <c r="DK96" s="157"/>
      <c r="DL96" s="157"/>
      <c r="DM96" s="157"/>
      <c r="DN96" s="158"/>
      <c r="DO96" s="119"/>
      <c r="DP96" s="118"/>
      <c r="DQ96" s="118"/>
      <c r="DR96" s="118"/>
      <c r="DS96" s="118"/>
      <c r="DT96" s="118"/>
      <c r="DU96" s="118"/>
      <c r="DV96" s="118"/>
      <c r="DW96" s="118"/>
      <c r="DX96" s="120"/>
      <c r="DY96" s="90"/>
      <c r="DZ96" s="91"/>
      <c r="EA96" s="91"/>
      <c r="EB96" s="91"/>
      <c r="EC96" s="91"/>
      <c r="ED96" s="91"/>
      <c r="EE96" s="91"/>
      <c r="EF96" s="91"/>
      <c r="EG96" s="91"/>
      <c r="EH96" s="92"/>
      <c r="EI96" s="110"/>
      <c r="EJ96" s="109"/>
      <c r="EK96" s="109"/>
      <c r="EL96" s="109"/>
      <c r="EM96" s="109"/>
      <c r="EN96" s="109"/>
      <c r="EO96" s="109"/>
      <c r="EP96" s="109"/>
      <c r="EQ96" s="109"/>
      <c r="ER96" s="132"/>
      <c r="ES96" s="176">
        <f t="shared" si="42"/>
        <v>0</v>
      </c>
      <c r="ET96" s="176">
        <f t="shared" si="43"/>
        <v>0</v>
      </c>
      <c r="EU96" s="176">
        <f t="shared" si="44"/>
        <v>0</v>
      </c>
      <c r="EV96" s="175">
        <f t="shared" si="45"/>
        <v>0</v>
      </c>
      <c r="EW96" s="175">
        <f t="shared" si="58"/>
        <v>0</v>
      </c>
      <c r="EX96" s="175">
        <f t="shared" si="46"/>
        <v>0</v>
      </c>
      <c r="EY96" s="175">
        <f t="shared" si="47"/>
        <v>0</v>
      </c>
      <c r="EZ96" s="176">
        <f t="shared" si="48"/>
        <v>0</v>
      </c>
      <c r="FA96" s="175">
        <f t="shared" si="49"/>
        <v>0</v>
      </c>
      <c r="FB96" s="175">
        <f t="shared" si="50"/>
        <v>0</v>
      </c>
      <c r="FC96" s="175">
        <f t="shared" si="51"/>
        <v>0</v>
      </c>
      <c r="FD96" s="175">
        <f t="shared" si="52"/>
        <v>0</v>
      </c>
      <c r="FE96" s="175">
        <f t="shared" si="53"/>
        <v>0</v>
      </c>
      <c r="FF96" s="175">
        <f t="shared" si="57"/>
        <v>0</v>
      </c>
      <c r="FG96" s="37">
        <f t="shared" si="56"/>
        <v>94</v>
      </c>
      <c r="FH96" s="165">
        <f t="shared" si="54"/>
        <v>0</v>
      </c>
      <c r="FI96" s="165">
        <f>SUM(I7:ER7)-SUM(ES96:FF96)</f>
        <v>128</v>
      </c>
      <c r="FJ96" s="165">
        <f t="shared" si="55"/>
        <v>128</v>
      </c>
      <c r="FK96" s="7"/>
    </row>
    <row r="97" spans="1:167" ht="15.75" customHeight="1">
      <c r="A97" s="2"/>
      <c r="B97" s="3">
        <f t="shared" si="40"/>
        <v>0</v>
      </c>
      <c r="C97" s="182">
        <f t="shared" si="41"/>
        <v>38</v>
      </c>
      <c r="D97" s="186"/>
      <c r="E97" s="178"/>
      <c r="F97" s="178"/>
      <c r="G97" s="628">
        <v>45915</v>
      </c>
      <c r="H97" s="629"/>
      <c r="I97" s="99"/>
      <c r="J97" s="100"/>
      <c r="K97" s="100"/>
      <c r="L97" s="100"/>
      <c r="M97" s="100"/>
      <c r="N97" s="100"/>
      <c r="O97" s="100"/>
      <c r="P97" s="100"/>
      <c r="Q97" s="100"/>
      <c r="R97" s="101"/>
      <c r="S97" s="119"/>
      <c r="T97" s="118"/>
      <c r="U97" s="118"/>
      <c r="V97" s="118"/>
      <c r="W97" s="118"/>
      <c r="X97" s="118"/>
      <c r="Y97" s="118"/>
      <c r="Z97" s="118"/>
      <c r="AA97" s="118"/>
      <c r="AB97" s="120"/>
      <c r="AC97" s="90"/>
      <c r="AD97" s="91"/>
      <c r="AE97" s="91"/>
      <c r="AF97" s="91"/>
      <c r="AG97" s="592"/>
      <c r="AH97" s="593"/>
      <c r="AI97" s="91"/>
      <c r="AJ97" s="91"/>
      <c r="AK97" s="91"/>
      <c r="AL97" s="123"/>
      <c r="AM97" s="110"/>
      <c r="AN97" s="109"/>
      <c r="AO97" s="109"/>
      <c r="AP97" s="109"/>
      <c r="AQ97" s="109"/>
      <c r="AR97" s="109"/>
      <c r="AS97" s="109"/>
      <c r="AT97" s="109"/>
      <c r="AU97" s="109"/>
      <c r="AV97" s="132"/>
      <c r="AW97" s="128"/>
      <c r="AX97" s="129"/>
      <c r="AY97" s="129"/>
      <c r="AZ97" s="129"/>
      <c r="BA97" s="129"/>
      <c r="BB97" s="129"/>
      <c r="BC97" s="129"/>
      <c r="BD97" s="129"/>
      <c r="BE97" s="129"/>
      <c r="BF97" s="138"/>
      <c r="BG97" s="99"/>
      <c r="BH97" s="100"/>
      <c r="BI97" s="100"/>
      <c r="BJ97" s="100"/>
      <c r="BK97" s="100"/>
      <c r="BL97" s="100"/>
      <c r="BM97" s="100"/>
      <c r="BN97" s="100"/>
      <c r="BO97" s="100"/>
      <c r="BP97" s="101"/>
      <c r="BQ97" s="119"/>
      <c r="BR97" s="118"/>
      <c r="BS97" s="118"/>
      <c r="BT97" s="118"/>
      <c r="BU97" s="118"/>
      <c r="BV97" s="118"/>
      <c r="BW97" s="118"/>
      <c r="BX97" s="118"/>
      <c r="BY97" s="118"/>
      <c r="BZ97" s="120"/>
      <c r="CA97" s="537"/>
      <c r="CB97" s="538"/>
      <c r="CC97" s="538"/>
      <c r="CD97" s="538"/>
      <c r="CE97" s="538"/>
      <c r="CF97" s="538"/>
      <c r="CG97" s="538"/>
      <c r="CH97" s="538"/>
      <c r="CI97" s="538"/>
      <c r="CJ97" s="539"/>
      <c r="CK97" s="110"/>
      <c r="CL97" s="109"/>
      <c r="CM97" s="109"/>
      <c r="CN97" s="109"/>
      <c r="CO97" s="109"/>
      <c r="CP97" s="109"/>
      <c r="CQ97" s="109"/>
      <c r="CR97" s="109"/>
      <c r="CS97" s="109"/>
      <c r="CT97" s="111"/>
      <c r="CU97" s="128"/>
      <c r="CV97" s="129"/>
      <c r="CW97" s="129"/>
      <c r="CX97" s="129"/>
      <c r="CY97" s="129"/>
      <c r="CZ97" s="129"/>
      <c r="DA97" s="129"/>
      <c r="DB97" s="129"/>
      <c r="DC97" s="129"/>
      <c r="DD97" s="138"/>
      <c r="DE97" s="156"/>
      <c r="DF97" s="157"/>
      <c r="DG97" s="157"/>
      <c r="DH97" s="157"/>
      <c r="DI97" s="157"/>
      <c r="DJ97" s="157"/>
      <c r="DK97" s="157"/>
      <c r="DL97" s="157"/>
      <c r="DM97" s="157"/>
      <c r="DN97" s="158"/>
      <c r="DO97" s="119"/>
      <c r="DP97" s="118"/>
      <c r="DQ97" s="118"/>
      <c r="DR97" s="118"/>
      <c r="DS97" s="118"/>
      <c r="DT97" s="118"/>
      <c r="DU97" s="118"/>
      <c r="DV97" s="118"/>
      <c r="DW97" s="118"/>
      <c r="DX97" s="120"/>
      <c r="DY97" s="90"/>
      <c r="DZ97" s="91"/>
      <c r="EA97" s="91"/>
      <c r="EB97" s="91"/>
      <c r="EC97" s="91"/>
      <c r="ED97" s="91"/>
      <c r="EE97" s="91"/>
      <c r="EF97" s="91"/>
      <c r="EG97" s="91"/>
      <c r="EH97" s="92"/>
      <c r="EI97" s="110"/>
      <c r="EJ97" s="109"/>
      <c r="EK97" s="109"/>
      <c r="EL97" s="109"/>
      <c r="EM97" s="109"/>
      <c r="EN97" s="109"/>
      <c r="EO97" s="109"/>
      <c r="EP97" s="109"/>
      <c r="EQ97" s="109"/>
      <c r="ER97" s="132"/>
      <c r="ES97" s="176">
        <f t="shared" si="42"/>
        <v>0</v>
      </c>
      <c r="ET97" s="176">
        <f t="shared" si="43"/>
        <v>0</v>
      </c>
      <c r="EU97" s="176">
        <f t="shared" si="44"/>
        <v>0</v>
      </c>
      <c r="EV97" s="176">
        <f t="shared" si="45"/>
        <v>0</v>
      </c>
      <c r="EW97" s="175">
        <f t="shared" si="58"/>
        <v>0</v>
      </c>
      <c r="EX97" s="175">
        <f t="shared" si="46"/>
        <v>0</v>
      </c>
      <c r="EY97" s="175">
        <f t="shared" si="47"/>
        <v>0</v>
      </c>
      <c r="EZ97" s="176">
        <f t="shared" si="48"/>
        <v>0</v>
      </c>
      <c r="FA97" s="175">
        <f t="shared" si="49"/>
        <v>0</v>
      </c>
      <c r="FB97" s="175">
        <f t="shared" si="50"/>
        <v>0</v>
      </c>
      <c r="FC97" s="175">
        <f t="shared" si="51"/>
        <v>0</v>
      </c>
      <c r="FD97" s="175">
        <f t="shared" si="52"/>
        <v>0</v>
      </c>
      <c r="FE97" s="175">
        <f t="shared" si="53"/>
        <v>0</v>
      </c>
      <c r="FF97" s="175">
        <f t="shared" si="57"/>
        <v>0</v>
      </c>
      <c r="FG97" s="37">
        <f t="shared" si="56"/>
        <v>95</v>
      </c>
      <c r="FH97" s="165">
        <f t="shared" si="54"/>
        <v>0</v>
      </c>
      <c r="FI97" s="165">
        <f>SUM(I7:ER7)-SUM(ES97:FF97)</f>
        <v>128</v>
      </c>
      <c r="FJ97" s="165">
        <f t="shared" si="55"/>
        <v>128</v>
      </c>
      <c r="FK97" s="7"/>
    </row>
    <row r="98" spans="1:167" ht="15.75" customHeight="1">
      <c r="A98" s="2"/>
      <c r="B98" s="3">
        <f t="shared" si="40"/>
        <v>0</v>
      </c>
      <c r="C98" s="182">
        <f t="shared" si="41"/>
        <v>39</v>
      </c>
      <c r="D98" s="186"/>
      <c r="E98" s="178"/>
      <c r="F98" s="178"/>
      <c r="G98" s="628">
        <v>45915</v>
      </c>
      <c r="H98" s="629"/>
      <c r="I98" s="99"/>
      <c r="J98" s="100"/>
      <c r="K98" s="100"/>
      <c r="L98" s="100"/>
      <c r="M98" s="100"/>
      <c r="N98" s="100"/>
      <c r="O98" s="100"/>
      <c r="P98" s="100"/>
      <c r="Q98" s="100"/>
      <c r="R98" s="101"/>
      <c r="S98" s="119"/>
      <c r="T98" s="118"/>
      <c r="U98" s="118"/>
      <c r="V98" s="118"/>
      <c r="W98" s="118"/>
      <c r="X98" s="118"/>
      <c r="Y98" s="118"/>
      <c r="Z98" s="118"/>
      <c r="AA98" s="118"/>
      <c r="AB98" s="120"/>
      <c r="AC98" s="90"/>
      <c r="AD98" s="91"/>
      <c r="AE98" s="91"/>
      <c r="AF98" s="91"/>
      <c r="AG98" s="592"/>
      <c r="AH98" s="593"/>
      <c r="AI98" s="91"/>
      <c r="AJ98" s="91"/>
      <c r="AK98" s="91"/>
      <c r="AL98" s="123"/>
      <c r="AM98" s="110"/>
      <c r="AN98" s="109"/>
      <c r="AO98" s="109"/>
      <c r="AP98" s="109"/>
      <c r="AQ98" s="109"/>
      <c r="AR98" s="109"/>
      <c r="AS98" s="109"/>
      <c r="AT98" s="109"/>
      <c r="AU98" s="109"/>
      <c r="AV98" s="132"/>
      <c r="AW98" s="128"/>
      <c r="AX98" s="129"/>
      <c r="AY98" s="129"/>
      <c r="AZ98" s="129"/>
      <c r="BA98" s="129"/>
      <c r="BB98" s="129"/>
      <c r="BC98" s="129"/>
      <c r="BD98" s="129"/>
      <c r="BE98" s="129"/>
      <c r="BF98" s="138"/>
      <c r="BG98" s="99"/>
      <c r="BH98" s="100"/>
      <c r="BI98" s="100"/>
      <c r="BJ98" s="100"/>
      <c r="BK98" s="100"/>
      <c r="BL98" s="100"/>
      <c r="BM98" s="100"/>
      <c r="BN98" s="100"/>
      <c r="BO98" s="100"/>
      <c r="BP98" s="101"/>
      <c r="BQ98" s="119"/>
      <c r="BR98" s="118"/>
      <c r="BS98" s="118"/>
      <c r="BT98" s="118"/>
      <c r="BU98" s="118"/>
      <c r="BV98" s="118"/>
      <c r="BW98" s="118"/>
      <c r="BX98" s="118"/>
      <c r="BY98" s="118"/>
      <c r="BZ98" s="120"/>
      <c r="CA98" s="537"/>
      <c r="CB98" s="538"/>
      <c r="CC98" s="538"/>
      <c r="CD98" s="538"/>
      <c r="CE98" s="538"/>
      <c r="CF98" s="538"/>
      <c r="CG98" s="538"/>
      <c r="CH98" s="538"/>
      <c r="CI98" s="538"/>
      <c r="CJ98" s="539"/>
      <c r="CK98" s="110"/>
      <c r="CL98" s="109"/>
      <c r="CM98" s="109"/>
      <c r="CN98" s="109"/>
      <c r="CO98" s="109"/>
      <c r="CP98" s="109"/>
      <c r="CQ98" s="109"/>
      <c r="CR98" s="109"/>
      <c r="CS98" s="109"/>
      <c r="CT98" s="111"/>
      <c r="CU98" s="128"/>
      <c r="CV98" s="129"/>
      <c r="CW98" s="129"/>
      <c r="CX98" s="129"/>
      <c r="CY98" s="129"/>
      <c r="CZ98" s="129"/>
      <c r="DA98" s="129"/>
      <c r="DB98" s="129"/>
      <c r="DC98" s="129"/>
      <c r="DD98" s="138"/>
      <c r="DE98" s="156"/>
      <c r="DF98" s="157"/>
      <c r="DG98" s="157"/>
      <c r="DH98" s="157"/>
      <c r="DI98" s="157"/>
      <c r="DJ98" s="157"/>
      <c r="DK98" s="157"/>
      <c r="DL98" s="157"/>
      <c r="DM98" s="157"/>
      <c r="DN98" s="158"/>
      <c r="DO98" s="119"/>
      <c r="DP98" s="118"/>
      <c r="DQ98" s="118"/>
      <c r="DR98" s="118"/>
      <c r="DS98" s="118"/>
      <c r="DT98" s="118"/>
      <c r="DU98" s="118"/>
      <c r="DV98" s="118"/>
      <c r="DW98" s="118"/>
      <c r="DX98" s="120"/>
      <c r="DY98" s="90"/>
      <c r="DZ98" s="91"/>
      <c r="EA98" s="91"/>
      <c r="EB98" s="91"/>
      <c r="EC98" s="91"/>
      <c r="ED98" s="91"/>
      <c r="EE98" s="91"/>
      <c r="EF98" s="91"/>
      <c r="EG98" s="91"/>
      <c r="EH98" s="92"/>
      <c r="EI98" s="110"/>
      <c r="EJ98" s="109"/>
      <c r="EK98" s="109"/>
      <c r="EL98" s="109"/>
      <c r="EM98" s="109"/>
      <c r="EN98" s="109"/>
      <c r="EO98" s="109"/>
      <c r="EP98" s="109"/>
      <c r="EQ98" s="109"/>
      <c r="ER98" s="132"/>
      <c r="ES98" s="176">
        <f t="shared" si="42"/>
        <v>0</v>
      </c>
      <c r="ET98" s="176">
        <f t="shared" si="43"/>
        <v>0</v>
      </c>
      <c r="EU98" s="176">
        <f t="shared" si="44"/>
        <v>0</v>
      </c>
      <c r="EV98" s="176">
        <f t="shared" si="45"/>
        <v>0</v>
      </c>
      <c r="EW98" s="175">
        <f t="shared" si="58"/>
        <v>0</v>
      </c>
      <c r="EX98" s="175">
        <f t="shared" si="46"/>
        <v>0</v>
      </c>
      <c r="EY98" s="175">
        <f t="shared" si="47"/>
        <v>0</v>
      </c>
      <c r="EZ98" s="176">
        <f t="shared" si="48"/>
        <v>0</v>
      </c>
      <c r="FA98" s="175">
        <f t="shared" si="49"/>
        <v>0</v>
      </c>
      <c r="FB98" s="175">
        <f t="shared" si="50"/>
        <v>0</v>
      </c>
      <c r="FC98" s="175">
        <f t="shared" si="51"/>
        <v>0</v>
      </c>
      <c r="FD98" s="175">
        <f t="shared" si="52"/>
        <v>0</v>
      </c>
      <c r="FE98" s="175">
        <f t="shared" si="53"/>
        <v>0</v>
      </c>
      <c r="FF98" s="175">
        <f t="shared" si="57"/>
        <v>0</v>
      </c>
      <c r="FG98" s="37">
        <f t="shared" si="56"/>
        <v>96</v>
      </c>
      <c r="FH98" s="165">
        <f t="shared" si="54"/>
        <v>0</v>
      </c>
      <c r="FI98" s="165">
        <f>SUM(I7:ER7)-SUM(ES98:FF98)</f>
        <v>128</v>
      </c>
      <c r="FJ98" s="165">
        <f t="shared" si="55"/>
        <v>128</v>
      </c>
      <c r="FK98" s="7"/>
    </row>
    <row r="99" spans="1:167" ht="15.75" customHeight="1">
      <c r="A99" s="2"/>
      <c r="B99" s="3">
        <f t="shared" si="40"/>
        <v>0</v>
      </c>
      <c r="C99" s="182">
        <f t="shared" si="41"/>
        <v>40</v>
      </c>
      <c r="D99" s="186"/>
      <c r="E99" s="178"/>
      <c r="F99" s="178"/>
      <c r="G99" s="628">
        <v>45915</v>
      </c>
      <c r="H99" s="629"/>
      <c r="I99" s="99"/>
      <c r="J99" s="100"/>
      <c r="K99" s="100"/>
      <c r="L99" s="100"/>
      <c r="M99" s="100"/>
      <c r="N99" s="100"/>
      <c r="O99" s="100"/>
      <c r="P99" s="100"/>
      <c r="Q99" s="100"/>
      <c r="R99" s="101"/>
      <c r="S99" s="119"/>
      <c r="T99" s="118"/>
      <c r="U99" s="118"/>
      <c r="V99" s="118"/>
      <c r="W99" s="118"/>
      <c r="X99" s="118"/>
      <c r="Y99" s="118"/>
      <c r="Z99" s="118"/>
      <c r="AA99" s="118"/>
      <c r="AB99" s="120"/>
      <c r="AC99" s="90"/>
      <c r="AD99" s="91"/>
      <c r="AE99" s="91"/>
      <c r="AF99" s="91"/>
      <c r="AG99" s="592"/>
      <c r="AH99" s="593"/>
      <c r="AI99" s="91"/>
      <c r="AJ99" s="91"/>
      <c r="AK99" s="91"/>
      <c r="AL99" s="123"/>
      <c r="AM99" s="110"/>
      <c r="AN99" s="109"/>
      <c r="AO99" s="109"/>
      <c r="AP99" s="109"/>
      <c r="AQ99" s="109"/>
      <c r="AR99" s="109"/>
      <c r="AS99" s="109"/>
      <c r="AT99" s="109"/>
      <c r="AU99" s="109"/>
      <c r="AV99" s="132"/>
      <c r="AW99" s="128"/>
      <c r="AX99" s="129"/>
      <c r="AY99" s="129"/>
      <c r="AZ99" s="129"/>
      <c r="BA99" s="129"/>
      <c r="BB99" s="129"/>
      <c r="BC99" s="129"/>
      <c r="BD99" s="129"/>
      <c r="BE99" s="129"/>
      <c r="BF99" s="138"/>
      <c r="BG99" s="99"/>
      <c r="BH99" s="100"/>
      <c r="BI99" s="100"/>
      <c r="BJ99" s="100"/>
      <c r="BK99" s="100"/>
      <c r="BL99" s="100"/>
      <c r="BM99" s="100"/>
      <c r="BN99" s="100"/>
      <c r="BO99" s="100"/>
      <c r="BP99" s="101"/>
      <c r="BQ99" s="119"/>
      <c r="BR99" s="118"/>
      <c r="BS99" s="118"/>
      <c r="BT99" s="118"/>
      <c r="BU99" s="118"/>
      <c r="BV99" s="118"/>
      <c r="BW99" s="118"/>
      <c r="BX99" s="118"/>
      <c r="BY99" s="118"/>
      <c r="BZ99" s="120"/>
      <c r="CA99" s="537"/>
      <c r="CB99" s="538"/>
      <c r="CC99" s="538"/>
      <c r="CD99" s="538"/>
      <c r="CE99" s="538"/>
      <c r="CF99" s="538"/>
      <c r="CG99" s="538"/>
      <c r="CH99" s="538"/>
      <c r="CI99" s="538"/>
      <c r="CJ99" s="539"/>
      <c r="CK99" s="110"/>
      <c r="CL99" s="109"/>
      <c r="CM99" s="109"/>
      <c r="CN99" s="109"/>
      <c r="CO99" s="109"/>
      <c r="CP99" s="109"/>
      <c r="CQ99" s="109"/>
      <c r="CR99" s="109"/>
      <c r="CS99" s="109"/>
      <c r="CT99" s="111"/>
      <c r="CU99" s="128"/>
      <c r="CV99" s="129"/>
      <c r="CW99" s="129"/>
      <c r="CX99" s="129"/>
      <c r="CY99" s="129"/>
      <c r="CZ99" s="129"/>
      <c r="DA99" s="129"/>
      <c r="DB99" s="129"/>
      <c r="DC99" s="129"/>
      <c r="DD99" s="138"/>
      <c r="DE99" s="156"/>
      <c r="DF99" s="157"/>
      <c r="DG99" s="157"/>
      <c r="DH99" s="157"/>
      <c r="DI99" s="157"/>
      <c r="DJ99" s="157"/>
      <c r="DK99" s="157"/>
      <c r="DL99" s="157"/>
      <c r="DM99" s="157"/>
      <c r="DN99" s="158"/>
      <c r="DO99" s="119"/>
      <c r="DP99" s="118"/>
      <c r="DQ99" s="118"/>
      <c r="DR99" s="118"/>
      <c r="DS99" s="118"/>
      <c r="DT99" s="118"/>
      <c r="DU99" s="118"/>
      <c r="DV99" s="118"/>
      <c r="DW99" s="118"/>
      <c r="DX99" s="120"/>
      <c r="DY99" s="90"/>
      <c r="DZ99" s="91"/>
      <c r="EA99" s="91"/>
      <c r="EB99" s="91"/>
      <c r="EC99" s="91"/>
      <c r="ED99" s="91"/>
      <c r="EE99" s="91"/>
      <c r="EF99" s="91"/>
      <c r="EG99" s="91"/>
      <c r="EH99" s="92"/>
      <c r="EI99" s="110"/>
      <c r="EJ99" s="109"/>
      <c r="EK99" s="109"/>
      <c r="EL99" s="109"/>
      <c r="EM99" s="109"/>
      <c r="EN99" s="109"/>
      <c r="EO99" s="109"/>
      <c r="EP99" s="109"/>
      <c r="EQ99" s="109"/>
      <c r="ER99" s="132"/>
      <c r="ES99" s="176">
        <f t="shared" si="42"/>
        <v>0</v>
      </c>
      <c r="ET99" s="176">
        <f t="shared" si="43"/>
        <v>0</v>
      </c>
      <c r="EU99" s="176">
        <f t="shared" si="44"/>
        <v>0</v>
      </c>
      <c r="EV99" s="176">
        <f t="shared" si="45"/>
        <v>0</v>
      </c>
      <c r="EW99" s="175">
        <f t="shared" si="58"/>
        <v>0</v>
      </c>
      <c r="EX99" s="175">
        <f t="shared" si="46"/>
        <v>0</v>
      </c>
      <c r="EY99" s="175">
        <f t="shared" si="47"/>
        <v>0</v>
      </c>
      <c r="EZ99" s="176">
        <f t="shared" si="48"/>
        <v>0</v>
      </c>
      <c r="FA99" s="175">
        <f t="shared" si="49"/>
        <v>0</v>
      </c>
      <c r="FB99" s="175">
        <f t="shared" si="50"/>
        <v>0</v>
      </c>
      <c r="FC99" s="175">
        <f t="shared" si="51"/>
        <v>0</v>
      </c>
      <c r="FD99" s="175">
        <f t="shared" si="52"/>
        <v>0</v>
      </c>
      <c r="FE99" s="175">
        <f t="shared" si="53"/>
        <v>0</v>
      </c>
      <c r="FF99" s="175">
        <f t="shared" si="57"/>
        <v>0</v>
      </c>
      <c r="FG99" s="37">
        <f t="shared" si="56"/>
        <v>97</v>
      </c>
      <c r="FH99" s="165">
        <f t="shared" si="54"/>
        <v>0</v>
      </c>
      <c r="FI99" s="165">
        <f>SUM(I7:ER7)-SUM(ES99:FF99)</f>
        <v>128</v>
      </c>
      <c r="FJ99" s="165">
        <f t="shared" si="55"/>
        <v>128</v>
      </c>
      <c r="FK99" s="7"/>
    </row>
    <row r="100" spans="1:167" ht="15.75" customHeight="1">
      <c r="A100" s="2"/>
      <c r="B100" s="3">
        <f t="shared" si="40"/>
        <v>0</v>
      </c>
      <c r="C100" s="182">
        <f t="shared" si="41"/>
        <v>41</v>
      </c>
      <c r="D100" s="186"/>
      <c r="E100" s="178"/>
      <c r="F100" s="178"/>
      <c r="G100" s="628">
        <v>45915</v>
      </c>
      <c r="H100" s="629"/>
      <c r="I100" s="99"/>
      <c r="J100" s="100"/>
      <c r="K100" s="100"/>
      <c r="L100" s="100"/>
      <c r="M100" s="100"/>
      <c r="N100" s="100"/>
      <c r="O100" s="100"/>
      <c r="P100" s="100"/>
      <c r="Q100" s="100"/>
      <c r="R100" s="101"/>
      <c r="S100" s="119"/>
      <c r="T100" s="118"/>
      <c r="U100" s="118"/>
      <c r="V100" s="118"/>
      <c r="W100" s="118"/>
      <c r="X100" s="118"/>
      <c r="Y100" s="118"/>
      <c r="Z100" s="118"/>
      <c r="AA100" s="118"/>
      <c r="AB100" s="120"/>
      <c r="AC100" s="90"/>
      <c r="AD100" s="91"/>
      <c r="AE100" s="91"/>
      <c r="AF100" s="91"/>
      <c r="AG100" s="592"/>
      <c r="AH100" s="593"/>
      <c r="AI100" s="91"/>
      <c r="AJ100" s="91"/>
      <c r="AK100" s="91"/>
      <c r="AL100" s="123"/>
      <c r="AM100" s="110"/>
      <c r="AN100" s="109"/>
      <c r="AO100" s="109"/>
      <c r="AP100" s="109"/>
      <c r="AQ100" s="109"/>
      <c r="AR100" s="109"/>
      <c r="AS100" s="109"/>
      <c r="AT100" s="109"/>
      <c r="AU100" s="109"/>
      <c r="AV100" s="132"/>
      <c r="AW100" s="128"/>
      <c r="AX100" s="129"/>
      <c r="AY100" s="129"/>
      <c r="AZ100" s="129"/>
      <c r="BA100" s="129"/>
      <c r="BB100" s="129"/>
      <c r="BC100" s="129"/>
      <c r="BD100" s="129"/>
      <c r="BE100" s="129"/>
      <c r="BF100" s="138"/>
      <c r="BG100" s="99"/>
      <c r="BH100" s="100"/>
      <c r="BI100" s="100"/>
      <c r="BJ100" s="100"/>
      <c r="BK100" s="100"/>
      <c r="BL100" s="100"/>
      <c r="BM100" s="100"/>
      <c r="BN100" s="100"/>
      <c r="BO100" s="100"/>
      <c r="BP100" s="101"/>
      <c r="BQ100" s="119"/>
      <c r="BR100" s="118"/>
      <c r="BS100" s="118"/>
      <c r="BT100" s="118"/>
      <c r="BU100" s="118"/>
      <c r="BV100" s="118"/>
      <c r="BW100" s="118"/>
      <c r="BX100" s="118"/>
      <c r="BY100" s="118"/>
      <c r="BZ100" s="120"/>
      <c r="CA100" s="537"/>
      <c r="CB100" s="538"/>
      <c r="CC100" s="538"/>
      <c r="CD100" s="538"/>
      <c r="CE100" s="538"/>
      <c r="CF100" s="538"/>
      <c r="CG100" s="538"/>
      <c r="CH100" s="538"/>
      <c r="CI100" s="538"/>
      <c r="CJ100" s="539"/>
      <c r="CK100" s="110"/>
      <c r="CL100" s="109"/>
      <c r="CM100" s="109"/>
      <c r="CN100" s="109"/>
      <c r="CO100" s="109"/>
      <c r="CP100" s="109"/>
      <c r="CQ100" s="109"/>
      <c r="CR100" s="109"/>
      <c r="CS100" s="109"/>
      <c r="CT100" s="111"/>
      <c r="CU100" s="128"/>
      <c r="CV100" s="129"/>
      <c r="CW100" s="129"/>
      <c r="CX100" s="129"/>
      <c r="CY100" s="129"/>
      <c r="CZ100" s="129"/>
      <c r="DA100" s="129"/>
      <c r="DB100" s="129"/>
      <c r="DC100" s="129"/>
      <c r="DD100" s="138"/>
      <c r="DE100" s="156"/>
      <c r="DF100" s="157"/>
      <c r="DG100" s="157"/>
      <c r="DH100" s="157"/>
      <c r="DI100" s="157"/>
      <c r="DJ100" s="157"/>
      <c r="DK100" s="157"/>
      <c r="DL100" s="157"/>
      <c r="DM100" s="157"/>
      <c r="DN100" s="158"/>
      <c r="DO100" s="119"/>
      <c r="DP100" s="118"/>
      <c r="DQ100" s="118"/>
      <c r="DR100" s="118"/>
      <c r="DS100" s="118"/>
      <c r="DT100" s="118"/>
      <c r="DU100" s="118"/>
      <c r="DV100" s="118"/>
      <c r="DW100" s="118"/>
      <c r="DX100" s="120"/>
      <c r="DY100" s="90"/>
      <c r="DZ100" s="91"/>
      <c r="EA100" s="91"/>
      <c r="EB100" s="91"/>
      <c r="EC100" s="91"/>
      <c r="ED100" s="91"/>
      <c r="EE100" s="91"/>
      <c r="EF100" s="91"/>
      <c r="EG100" s="91"/>
      <c r="EH100" s="92"/>
      <c r="EI100" s="110"/>
      <c r="EJ100" s="109"/>
      <c r="EK100" s="109"/>
      <c r="EL100" s="109"/>
      <c r="EM100" s="109"/>
      <c r="EN100" s="109"/>
      <c r="EO100" s="109"/>
      <c r="EP100" s="109"/>
      <c r="EQ100" s="109"/>
      <c r="ER100" s="132"/>
      <c r="ES100" s="176">
        <f t="shared" si="42"/>
        <v>0</v>
      </c>
      <c r="ET100" s="176">
        <f t="shared" si="43"/>
        <v>0</v>
      </c>
      <c r="EU100" s="176">
        <f t="shared" si="44"/>
        <v>0</v>
      </c>
      <c r="EV100" s="176">
        <f t="shared" si="45"/>
        <v>0</v>
      </c>
      <c r="EW100" s="175">
        <f t="shared" si="58"/>
        <v>0</v>
      </c>
      <c r="EX100" s="175">
        <f t="shared" si="46"/>
        <v>0</v>
      </c>
      <c r="EY100" s="175">
        <f t="shared" si="47"/>
        <v>0</v>
      </c>
      <c r="EZ100" s="176">
        <f t="shared" si="48"/>
        <v>0</v>
      </c>
      <c r="FA100" s="175">
        <f t="shared" si="49"/>
        <v>0</v>
      </c>
      <c r="FB100" s="175">
        <f t="shared" si="50"/>
        <v>0</v>
      </c>
      <c r="FC100" s="175">
        <f t="shared" si="51"/>
        <v>0</v>
      </c>
      <c r="FD100" s="175">
        <f t="shared" si="52"/>
        <v>0</v>
      </c>
      <c r="FE100" s="175">
        <f t="shared" si="53"/>
        <v>0</v>
      </c>
      <c r="FF100" s="175">
        <f t="shared" si="57"/>
        <v>0</v>
      </c>
      <c r="FG100" s="37">
        <f t="shared" si="56"/>
        <v>98</v>
      </c>
      <c r="FH100" s="165">
        <f t="shared" si="54"/>
        <v>0</v>
      </c>
      <c r="FI100" s="165">
        <f>SUM(I7:ER7)-SUM(ES100:FF100)</f>
        <v>128</v>
      </c>
      <c r="FJ100" s="165">
        <f t="shared" si="55"/>
        <v>128</v>
      </c>
      <c r="FK100" s="7"/>
    </row>
    <row r="101" spans="1:167" ht="15.75" customHeight="1">
      <c r="A101" s="2"/>
      <c r="B101" s="3">
        <f t="shared" si="40"/>
        <v>0</v>
      </c>
      <c r="C101" s="182">
        <f t="shared" si="41"/>
        <v>42</v>
      </c>
      <c r="D101" s="186"/>
      <c r="E101" s="178"/>
      <c r="F101" s="178"/>
      <c r="G101" s="628">
        <v>45915</v>
      </c>
      <c r="H101" s="629"/>
      <c r="I101" s="99"/>
      <c r="J101" s="100"/>
      <c r="K101" s="100"/>
      <c r="L101" s="100"/>
      <c r="M101" s="100"/>
      <c r="N101" s="100"/>
      <c r="O101" s="100"/>
      <c r="P101" s="100"/>
      <c r="Q101" s="100"/>
      <c r="R101" s="101"/>
      <c r="S101" s="119"/>
      <c r="T101" s="118"/>
      <c r="U101" s="118"/>
      <c r="V101" s="118"/>
      <c r="W101" s="118"/>
      <c r="X101" s="118"/>
      <c r="Y101" s="118"/>
      <c r="Z101" s="118"/>
      <c r="AA101" s="118"/>
      <c r="AB101" s="120"/>
      <c r="AC101" s="90"/>
      <c r="AD101" s="91"/>
      <c r="AE101" s="91"/>
      <c r="AF101" s="91"/>
      <c r="AG101" s="592"/>
      <c r="AH101" s="593"/>
      <c r="AI101" s="91"/>
      <c r="AJ101" s="91"/>
      <c r="AK101" s="91"/>
      <c r="AL101" s="123"/>
      <c r="AM101" s="110"/>
      <c r="AN101" s="109"/>
      <c r="AO101" s="109"/>
      <c r="AP101" s="109"/>
      <c r="AQ101" s="109"/>
      <c r="AR101" s="109"/>
      <c r="AS101" s="109"/>
      <c r="AT101" s="109"/>
      <c r="AU101" s="109"/>
      <c r="AV101" s="132"/>
      <c r="AW101" s="128"/>
      <c r="AX101" s="129"/>
      <c r="AY101" s="129"/>
      <c r="AZ101" s="129"/>
      <c r="BA101" s="129"/>
      <c r="BB101" s="129"/>
      <c r="BC101" s="129"/>
      <c r="BD101" s="129"/>
      <c r="BE101" s="129"/>
      <c r="BF101" s="138"/>
      <c r="BG101" s="99"/>
      <c r="BH101" s="100"/>
      <c r="BI101" s="100"/>
      <c r="BJ101" s="100"/>
      <c r="BK101" s="100"/>
      <c r="BL101" s="100"/>
      <c r="BM101" s="100"/>
      <c r="BN101" s="100"/>
      <c r="BO101" s="100"/>
      <c r="BP101" s="101"/>
      <c r="BQ101" s="119"/>
      <c r="BR101" s="118"/>
      <c r="BS101" s="118"/>
      <c r="BT101" s="118"/>
      <c r="BU101" s="118"/>
      <c r="BV101" s="118"/>
      <c r="BW101" s="118"/>
      <c r="BX101" s="118"/>
      <c r="BY101" s="118"/>
      <c r="BZ101" s="120"/>
      <c r="CA101" s="537"/>
      <c r="CB101" s="538"/>
      <c r="CC101" s="538"/>
      <c r="CD101" s="538"/>
      <c r="CE101" s="538"/>
      <c r="CF101" s="538"/>
      <c r="CG101" s="538"/>
      <c r="CH101" s="538"/>
      <c r="CI101" s="538"/>
      <c r="CJ101" s="539"/>
      <c r="CK101" s="110"/>
      <c r="CL101" s="109"/>
      <c r="CM101" s="109"/>
      <c r="CN101" s="109"/>
      <c r="CO101" s="109"/>
      <c r="CP101" s="109"/>
      <c r="CQ101" s="109"/>
      <c r="CR101" s="109"/>
      <c r="CS101" s="109"/>
      <c r="CT101" s="111"/>
      <c r="CU101" s="128"/>
      <c r="CV101" s="129"/>
      <c r="CW101" s="129"/>
      <c r="CX101" s="129"/>
      <c r="CY101" s="129"/>
      <c r="CZ101" s="129"/>
      <c r="DA101" s="129"/>
      <c r="DB101" s="129"/>
      <c r="DC101" s="129"/>
      <c r="DD101" s="138"/>
      <c r="DE101" s="156"/>
      <c r="DF101" s="157"/>
      <c r="DG101" s="157"/>
      <c r="DH101" s="157"/>
      <c r="DI101" s="157"/>
      <c r="DJ101" s="157"/>
      <c r="DK101" s="157"/>
      <c r="DL101" s="157"/>
      <c r="DM101" s="157"/>
      <c r="DN101" s="158"/>
      <c r="DO101" s="119"/>
      <c r="DP101" s="118"/>
      <c r="DQ101" s="118"/>
      <c r="DR101" s="118"/>
      <c r="DS101" s="118"/>
      <c r="DT101" s="118"/>
      <c r="DU101" s="118"/>
      <c r="DV101" s="118"/>
      <c r="DW101" s="118"/>
      <c r="DX101" s="120"/>
      <c r="DY101" s="90"/>
      <c r="DZ101" s="91"/>
      <c r="EA101" s="91"/>
      <c r="EB101" s="91"/>
      <c r="EC101" s="91"/>
      <c r="ED101" s="91"/>
      <c r="EE101" s="91"/>
      <c r="EF101" s="91"/>
      <c r="EG101" s="91"/>
      <c r="EH101" s="92"/>
      <c r="EI101" s="110"/>
      <c r="EJ101" s="109"/>
      <c r="EK101" s="109"/>
      <c r="EL101" s="109"/>
      <c r="EM101" s="109"/>
      <c r="EN101" s="109"/>
      <c r="EO101" s="109"/>
      <c r="EP101" s="109"/>
      <c r="EQ101" s="109"/>
      <c r="ER101" s="132"/>
      <c r="ES101" s="176">
        <f t="shared" si="42"/>
        <v>0</v>
      </c>
      <c r="ET101" s="176">
        <f t="shared" si="43"/>
        <v>0</v>
      </c>
      <c r="EU101" s="176">
        <f t="shared" si="44"/>
        <v>0</v>
      </c>
      <c r="EV101" s="176">
        <f t="shared" si="45"/>
        <v>0</v>
      </c>
      <c r="EW101" s="175">
        <f t="shared" si="58"/>
        <v>0</v>
      </c>
      <c r="EX101" s="175">
        <f t="shared" si="46"/>
        <v>0</v>
      </c>
      <c r="EY101" s="175">
        <f t="shared" si="47"/>
        <v>0</v>
      </c>
      <c r="EZ101" s="176">
        <f t="shared" si="48"/>
        <v>0</v>
      </c>
      <c r="FA101" s="175">
        <f t="shared" si="49"/>
        <v>0</v>
      </c>
      <c r="FB101" s="175">
        <f t="shared" si="50"/>
        <v>0</v>
      </c>
      <c r="FC101" s="175">
        <f t="shared" si="51"/>
        <v>0</v>
      </c>
      <c r="FD101" s="175">
        <f t="shared" si="52"/>
        <v>0</v>
      </c>
      <c r="FE101" s="175">
        <f t="shared" si="53"/>
        <v>0</v>
      </c>
      <c r="FF101" s="175">
        <f t="shared" si="57"/>
        <v>0</v>
      </c>
      <c r="FG101" s="37">
        <f t="shared" si="56"/>
        <v>99</v>
      </c>
      <c r="FH101" s="165">
        <f t="shared" si="54"/>
        <v>0</v>
      </c>
      <c r="FI101" s="165">
        <f>SUM(I7:ER7)-SUM(ES101:FF101)</f>
        <v>128</v>
      </c>
      <c r="FJ101" s="165">
        <f t="shared" si="55"/>
        <v>128</v>
      </c>
      <c r="FK101" s="7"/>
    </row>
    <row r="102" spans="1:167" ht="15.75" customHeight="1">
      <c r="A102" s="2"/>
      <c r="B102" s="3">
        <f t="shared" si="40"/>
        <v>0</v>
      </c>
      <c r="C102" s="182">
        <f t="shared" si="41"/>
        <v>43</v>
      </c>
      <c r="D102" s="186"/>
      <c r="E102" s="178"/>
      <c r="F102" s="178"/>
      <c r="G102" s="628">
        <v>45915</v>
      </c>
      <c r="H102" s="629"/>
      <c r="I102" s="99"/>
      <c r="J102" s="100"/>
      <c r="K102" s="100"/>
      <c r="L102" s="100"/>
      <c r="M102" s="100"/>
      <c r="N102" s="100"/>
      <c r="O102" s="100"/>
      <c r="P102" s="100"/>
      <c r="Q102" s="100"/>
      <c r="R102" s="101"/>
      <c r="S102" s="119"/>
      <c r="T102" s="118"/>
      <c r="U102" s="118"/>
      <c r="V102" s="118"/>
      <c r="W102" s="118"/>
      <c r="X102" s="118"/>
      <c r="Y102" s="118"/>
      <c r="Z102" s="118"/>
      <c r="AA102" s="118"/>
      <c r="AB102" s="120"/>
      <c r="AC102" s="90"/>
      <c r="AD102" s="91"/>
      <c r="AE102" s="91"/>
      <c r="AF102" s="91"/>
      <c r="AG102" s="592"/>
      <c r="AH102" s="593"/>
      <c r="AI102" s="91"/>
      <c r="AJ102" s="91"/>
      <c r="AK102" s="91"/>
      <c r="AL102" s="123"/>
      <c r="AM102" s="110"/>
      <c r="AN102" s="109"/>
      <c r="AO102" s="109"/>
      <c r="AP102" s="109"/>
      <c r="AQ102" s="109"/>
      <c r="AR102" s="109"/>
      <c r="AS102" s="109"/>
      <c r="AT102" s="109"/>
      <c r="AU102" s="109"/>
      <c r="AV102" s="132"/>
      <c r="AW102" s="128"/>
      <c r="AX102" s="129"/>
      <c r="AY102" s="129"/>
      <c r="AZ102" s="129"/>
      <c r="BA102" s="129"/>
      <c r="BB102" s="129"/>
      <c r="BC102" s="129"/>
      <c r="BD102" s="129"/>
      <c r="BE102" s="129"/>
      <c r="BF102" s="138"/>
      <c r="BG102" s="99"/>
      <c r="BH102" s="100"/>
      <c r="BI102" s="100"/>
      <c r="BJ102" s="100"/>
      <c r="BK102" s="100"/>
      <c r="BL102" s="100"/>
      <c r="BM102" s="100"/>
      <c r="BN102" s="100"/>
      <c r="BO102" s="100"/>
      <c r="BP102" s="101"/>
      <c r="BQ102" s="119"/>
      <c r="BR102" s="118"/>
      <c r="BS102" s="118"/>
      <c r="BT102" s="118"/>
      <c r="BU102" s="118"/>
      <c r="BV102" s="118"/>
      <c r="BW102" s="118"/>
      <c r="BX102" s="118"/>
      <c r="BY102" s="118"/>
      <c r="BZ102" s="120"/>
      <c r="CA102" s="537"/>
      <c r="CB102" s="538"/>
      <c r="CC102" s="538"/>
      <c r="CD102" s="538"/>
      <c r="CE102" s="538"/>
      <c r="CF102" s="538"/>
      <c r="CG102" s="538"/>
      <c r="CH102" s="538"/>
      <c r="CI102" s="538"/>
      <c r="CJ102" s="539"/>
      <c r="CK102" s="110"/>
      <c r="CL102" s="109"/>
      <c r="CM102" s="109"/>
      <c r="CN102" s="109"/>
      <c r="CO102" s="109"/>
      <c r="CP102" s="109"/>
      <c r="CQ102" s="109"/>
      <c r="CR102" s="109"/>
      <c r="CS102" s="109"/>
      <c r="CT102" s="111"/>
      <c r="CU102" s="128"/>
      <c r="CV102" s="129"/>
      <c r="CW102" s="129"/>
      <c r="CX102" s="129"/>
      <c r="CY102" s="129"/>
      <c r="CZ102" s="129"/>
      <c r="DA102" s="129"/>
      <c r="DB102" s="129"/>
      <c r="DC102" s="129"/>
      <c r="DD102" s="138"/>
      <c r="DE102" s="156"/>
      <c r="DF102" s="157"/>
      <c r="DG102" s="157"/>
      <c r="DH102" s="157"/>
      <c r="DI102" s="157"/>
      <c r="DJ102" s="157"/>
      <c r="DK102" s="157"/>
      <c r="DL102" s="157"/>
      <c r="DM102" s="157"/>
      <c r="DN102" s="158"/>
      <c r="DO102" s="119"/>
      <c r="DP102" s="118"/>
      <c r="DQ102" s="118"/>
      <c r="DR102" s="118"/>
      <c r="DS102" s="118"/>
      <c r="DT102" s="118"/>
      <c r="DU102" s="118"/>
      <c r="DV102" s="118"/>
      <c r="DW102" s="118"/>
      <c r="DX102" s="120"/>
      <c r="DY102" s="90"/>
      <c r="DZ102" s="91"/>
      <c r="EA102" s="91"/>
      <c r="EB102" s="91"/>
      <c r="EC102" s="91"/>
      <c r="ED102" s="91"/>
      <c r="EE102" s="91"/>
      <c r="EF102" s="91"/>
      <c r="EG102" s="91"/>
      <c r="EH102" s="92"/>
      <c r="EI102" s="110"/>
      <c r="EJ102" s="109"/>
      <c r="EK102" s="109"/>
      <c r="EL102" s="109"/>
      <c r="EM102" s="109"/>
      <c r="EN102" s="109"/>
      <c r="EO102" s="109"/>
      <c r="EP102" s="109"/>
      <c r="EQ102" s="109"/>
      <c r="ER102" s="132"/>
      <c r="ES102" s="176">
        <f t="shared" si="42"/>
        <v>0</v>
      </c>
      <c r="ET102" s="176">
        <f t="shared" si="43"/>
        <v>0</v>
      </c>
      <c r="EU102" s="176">
        <f t="shared" si="44"/>
        <v>0</v>
      </c>
      <c r="EV102" s="176">
        <f t="shared" si="45"/>
        <v>0</v>
      </c>
      <c r="EW102" s="175">
        <f t="shared" si="58"/>
        <v>0</v>
      </c>
      <c r="EX102" s="175">
        <f t="shared" si="46"/>
        <v>0</v>
      </c>
      <c r="EY102" s="175">
        <f t="shared" si="47"/>
        <v>0</v>
      </c>
      <c r="EZ102" s="176">
        <f t="shared" si="48"/>
        <v>0</v>
      </c>
      <c r="FA102" s="175">
        <f t="shared" si="49"/>
        <v>0</v>
      </c>
      <c r="FB102" s="175">
        <f t="shared" si="50"/>
        <v>0</v>
      </c>
      <c r="FC102" s="175">
        <f t="shared" si="51"/>
        <v>0</v>
      </c>
      <c r="FD102" s="175">
        <f t="shared" si="52"/>
        <v>0</v>
      </c>
      <c r="FE102" s="175">
        <f t="shared" si="53"/>
        <v>0</v>
      </c>
      <c r="FF102" s="175">
        <f t="shared" si="57"/>
        <v>0</v>
      </c>
      <c r="FG102" s="37">
        <f t="shared" si="56"/>
        <v>100</v>
      </c>
      <c r="FH102" s="165">
        <f t="shared" si="54"/>
        <v>0</v>
      </c>
      <c r="FI102" s="165">
        <f>SUM(I7:ER7)-SUM(ES102:FF102)</f>
        <v>128</v>
      </c>
      <c r="FJ102" s="165">
        <f t="shared" si="55"/>
        <v>128</v>
      </c>
      <c r="FK102" s="7"/>
    </row>
    <row r="103" spans="1:167" ht="15.75" customHeight="1">
      <c r="A103" s="2"/>
      <c r="B103" s="3">
        <f t="shared" si="40"/>
        <v>0</v>
      </c>
      <c r="C103" s="182">
        <f t="shared" si="41"/>
        <v>44</v>
      </c>
      <c r="D103" s="186"/>
      <c r="E103" s="178"/>
      <c r="F103" s="178"/>
      <c r="G103" s="628">
        <v>45915</v>
      </c>
      <c r="H103" s="629"/>
      <c r="I103" s="99"/>
      <c r="J103" s="100"/>
      <c r="K103" s="100"/>
      <c r="L103" s="100"/>
      <c r="M103" s="100"/>
      <c r="N103" s="100"/>
      <c r="O103" s="100"/>
      <c r="P103" s="100"/>
      <c r="Q103" s="100"/>
      <c r="R103" s="101"/>
      <c r="S103" s="119"/>
      <c r="T103" s="118"/>
      <c r="U103" s="118"/>
      <c r="V103" s="118"/>
      <c r="W103" s="118"/>
      <c r="X103" s="118"/>
      <c r="Y103" s="118"/>
      <c r="Z103" s="118"/>
      <c r="AA103" s="118"/>
      <c r="AB103" s="120"/>
      <c r="AC103" s="90"/>
      <c r="AD103" s="91"/>
      <c r="AE103" s="91"/>
      <c r="AF103" s="91"/>
      <c r="AG103" s="592"/>
      <c r="AH103" s="593"/>
      <c r="AI103" s="91"/>
      <c r="AJ103" s="91"/>
      <c r="AK103" s="91"/>
      <c r="AL103" s="123"/>
      <c r="AM103" s="110"/>
      <c r="AN103" s="109"/>
      <c r="AO103" s="109"/>
      <c r="AP103" s="109"/>
      <c r="AQ103" s="109"/>
      <c r="AR103" s="109"/>
      <c r="AS103" s="109"/>
      <c r="AT103" s="109"/>
      <c r="AU103" s="109"/>
      <c r="AV103" s="132"/>
      <c r="AW103" s="128"/>
      <c r="AX103" s="129"/>
      <c r="AY103" s="129"/>
      <c r="AZ103" s="129"/>
      <c r="BA103" s="129"/>
      <c r="BB103" s="129"/>
      <c r="BC103" s="129"/>
      <c r="BD103" s="129"/>
      <c r="BE103" s="129"/>
      <c r="BF103" s="138"/>
      <c r="BG103" s="99"/>
      <c r="BH103" s="100"/>
      <c r="BI103" s="100"/>
      <c r="BJ103" s="100"/>
      <c r="BK103" s="100"/>
      <c r="BL103" s="100"/>
      <c r="BM103" s="100"/>
      <c r="BN103" s="100"/>
      <c r="BO103" s="100"/>
      <c r="BP103" s="101"/>
      <c r="BQ103" s="119"/>
      <c r="BR103" s="118"/>
      <c r="BS103" s="118"/>
      <c r="BT103" s="118"/>
      <c r="BU103" s="118"/>
      <c r="BV103" s="118"/>
      <c r="BW103" s="118"/>
      <c r="BX103" s="118"/>
      <c r="BY103" s="118"/>
      <c r="BZ103" s="120"/>
      <c r="CA103" s="537"/>
      <c r="CB103" s="538"/>
      <c r="CC103" s="538"/>
      <c r="CD103" s="538"/>
      <c r="CE103" s="538"/>
      <c r="CF103" s="538"/>
      <c r="CG103" s="538"/>
      <c r="CH103" s="538"/>
      <c r="CI103" s="538"/>
      <c r="CJ103" s="539"/>
      <c r="CK103" s="110"/>
      <c r="CL103" s="109"/>
      <c r="CM103" s="109"/>
      <c r="CN103" s="109"/>
      <c r="CO103" s="109"/>
      <c r="CP103" s="109"/>
      <c r="CQ103" s="109"/>
      <c r="CR103" s="109"/>
      <c r="CS103" s="109"/>
      <c r="CT103" s="111"/>
      <c r="CU103" s="128"/>
      <c r="CV103" s="129"/>
      <c r="CW103" s="129"/>
      <c r="CX103" s="129"/>
      <c r="CY103" s="129"/>
      <c r="CZ103" s="129"/>
      <c r="DA103" s="129"/>
      <c r="DB103" s="129"/>
      <c r="DC103" s="129"/>
      <c r="DD103" s="138"/>
      <c r="DE103" s="156"/>
      <c r="DF103" s="157"/>
      <c r="DG103" s="157"/>
      <c r="DH103" s="157"/>
      <c r="DI103" s="157"/>
      <c r="DJ103" s="157"/>
      <c r="DK103" s="157"/>
      <c r="DL103" s="157"/>
      <c r="DM103" s="157"/>
      <c r="DN103" s="158"/>
      <c r="DO103" s="119"/>
      <c r="DP103" s="118"/>
      <c r="DQ103" s="118"/>
      <c r="DR103" s="118"/>
      <c r="DS103" s="118"/>
      <c r="DT103" s="118"/>
      <c r="DU103" s="118"/>
      <c r="DV103" s="118"/>
      <c r="DW103" s="118"/>
      <c r="DX103" s="120"/>
      <c r="DY103" s="90"/>
      <c r="DZ103" s="91"/>
      <c r="EA103" s="91"/>
      <c r="EB103" s="91"/>
      <c r="EC103" s="91"/>
      <c r="ED103" s="91"/>
      <c r="EE103" s="91"/>
      <c r="EF103" s="91"/>
      <c r="EG103" s="91"/>
      <c r="EH103" s="92"/>
      <c r="EI103" s="110"/>
      <c r="EJ103" s="109"/>
      <c r="EK103" s="109"/>
      <c r="EL103" s="109"/>
      <c r="EM103" s="109"/>
      <c r="EN103" s="109"/>
      <c r="EO103" s="109"/>
      <c r="EP103" s="109"/>
      <c r="EQ103" s="109"/>
      <c r="ER103" s="132"/>
      <c r="ES103" s="176">
        <f t="shared" si="42"/>
        <v>0</v>
      </c>
      <c r="ET103" s="176">
        <f t="shared" si="43"/>
        <v>0</v>
      </c>
      <c r="EU103" s="176">
        <f t="shared" si="44"/>
        <v>0</v>
      </c>
      <c r="EV103" s="176">
        <f t="shared" si="45"/>
        <v>0</v>
      </c>
      <c r="EW103" s="175">
        <f t="shared" si="58"/>
        <v>0</v>
      </c>
      <c r="EX103" s="175">
        <f t="shared" si="46"/>
        <v>0</v>
      </c>
      <c r="EY103" s="175">
        <f t="shared" si="47"/>
        <v>0</v>
      </c>
      <c r="EZ103" s="176">
        <f t="shared" si="48"/>
        <v>0</v>
      </c>
      <c r="FA103" s="175">
        <f t="shared" si="49"/>
        <v>0</v>
      </c>
      <c r="FB103" s="175">
        <f t="shared" si="50"/>
        <v>0</v>
      </c>
      <c r="FC103" s="175">
        <f t="shared" si="51"/>
        <v>0</v>
      </c>
      <c r="FD103" s="175">
        <f t="shared" si="52"/>
        <v>0</v>
      </c>
      <c r="FE103" s="175">
        <f t="shared" si="53"/>
        <v>0</v>
      </c>
      <c r="FF103" s="175">
        <f t="shared" si="57"/>
        <v>0</v>
      </c>
      <c r="FG103" s="37">
        <f t="shared" si="56"/>
        <v>101</v>
      </c>
      <c r="FH103" s="165">
        <f t="shared" si="54"/>
        <v>0</v>
      </c>
      <c r="FI103" s="165">
        <f>SUM(I7:ER7)-SUM(ES103:FF103)</f>
        <v>128</v>
      </c>
      <c r="FJ103" s="165">
        <f t="shared" si="55"/>
        <v>128</v>
      </c>
      <c r="FK103" s="7"/>
    </row>
    <row r="104" spans="1:167" ht="15.75" customHeight="1">
      <c r="A104" s="2"/>
      <c r="B104" s="3">
        <f t="shared" si="40"/>
        <v>0</v>
      </c>
      <c r="C104" s="182">
        <f t="shared" si="41"/>
        <v>45</v>
      </c>
      <c r="D104" s="186"/>
      <c r="E104" s="178"/>
      <c r="F104" s="178"/>
      <c r="G104" s="628">
        <v>45915</v>
      </c>
      <c r="H104" s="629"/>
      <c r="I104" s="99"/>
      <c r="J104" s="100"/>
      <c r="K104" s="100"/>
      <c r="L104" s="100"/>
      <c r="M104" s="100"/>
      <c r="N104" s="100"/>
      <c r="O104" s="100"/>
      <c r="P104" s="100"/>
      <c r="Q104" s="100"/>
      <c r="R104" s="101"/>
      <c r="S104" s="119"/>
      <c r="T104" s="118"/>
      <c r="U104" s="118"/>
      <c r="V104" s="118"/>
      <c r="W104" s="118"/>
      <c r="X104" s="118"/>
      <c r="Y104" s="118"/>
      <c r="Z104" s="118"/>
      <c r="AA104" s="118"/>
      <c r="AB104" s="120"/>
      <c r="AC104" s="90"/>
      <c r="AD104" s="91"/>
      <c r="AE104" s="91"/>
      <c r="AF104" s="91"/>
      <c r="AG104" s="592"/>
      <c r="AH104" s="593"/>
      <c r="AI104" s="91"/>
      <c r="AJ104" s="91"/>
      <c r="AK104" s="91"/>
      <c r="AL104" s="123"/>
      <c r="AM104" s="110"/>
      <c r="AN104" s="109"/>
      <c r="AO104" s="109"/>
      <c r="AP104" s="109"/>
      <c r="AQ104" s="109"/>
      <c r="AR104" s="109"/>
      <c r="AS104" s="109"/>
      <c r="AT104" s="109"/>
      <c r="AU104" s="109"/>
      <c r="AV104" s="132"/>
      <c r="AW104" s="128"/>
      <c r="AX104" s="129"/>
      <c r="AY104" s="129"/>
      <c r="AZ104" s="129"/>
      <c r="BA104" s="129"/>
      <c r="BB104" s="129"/>
      <c r="BC104" s="129"/>
      <c r="BD104" s="129"/>
      <c r="BE104" s="129"/>
      <c r="BF104" s="138"/>
      <c r="BG104" s="99"/>
      <c r="BH104" s="100"/>
      <c r="BI104" s="100"/>
      <c r="BJ104" s="100"/>
      <c r="BK104" s="100"/>
      <c r="BL104" s="100"/>
      <c r="BM104" s="100"/>
      <c r="BN104" s="100"/>
      <c r="BO104" s="100"/>
      <c r="BP104" s="101"/>
      <c r="BQ104" s="119"/>
      <c r="BR104" s="118"/>
      <c r="BS104" s="118"/>
      <c r="BT104" s="118"/>
      <c r="BU104" s="118"/>
      <c r="BV104" s="118"/>
      <c r="BW104" s="118"/>
      <c r="BX104" s="118"/>
      <c r="BY104" s="118"/>
      <c r="BZ104" s="120"/>
      <c r="CA104" s="537"/>
      <c r="CB104" s="538"/>
      <c r="CC104" s="538"/>
      <c r="CD104" s="538"/>
      <c r="CE104" s="538"/>
      <c r="CF104" s="538"/>
      <c r="CG104" s="538"/>
      <c r="CH104" s="538"/>
      <c r="CI104" s="538"/>
      <c r="CJ104" s="539"/>
      <c r="CK104" s="110"/>
      <c r="CL104" s="109"/>
      <c r="CM104" s="109"/>
      <c r="CN104" s="109"/>
      <c r="CO104" s="109"/>
      <c r="CP104" s="109"/>
      <c r="CQ104" s="109"/>
      <c r="CR104" s="109"/>
      <c r="CS104" s="109"/>
      <c r="CT104" s="111"/>
      <c r="CU104" s="128"/>
      <c r="CV104" s="129"/>
      <c r="CW104" s="129"/>
      <c r="CX104" s="129"/>
      <c r="CY104" s="129"/>
      <c r="CZ104" s="129"/>
      <c r="DA104" s="129"/>
      <c r="DB104" s="129"/>
      <c r="DC104" s="129"/>
      <c r="DD104" s="138"/>
      <c r="DE104" s="156"/>
      <c r="DF104" s="157"/>
      <c r="DG104" s="157"/>
      <c r="DH104" s="157"/>
      <c r="DI104" s="157"/>
      <c r="DJ104" s="157"/>
      <c r="DK104" s="157"/>
      <c r="DL104" s="157"/>
      <c r="DM104" s="157"/>
      <c r="DN104" s="158"/>
      <c r="DO104" s="119"/>
      <c r="DP104" s="118"/>
      <c r="DQ104" s="118"/>
      <c r="DR104" s="118"/>
      <c r="DS104" s="118"/>
      <c r="DT104" s="118"/>
      <c r="DU104" s="118"/>
      <c r="DV104" s="118"/>
      <c r="DW104" s="118"/>
      <c r="DX104" s="120"/>
      <c r="DY104" s="90"/>
      <c r="DZ104" s="91"/>
      <c r="EA104" s="91"/>
      <c r="EB104" s="91"/>
      <c r="EC104" s="91"/>
      <c r="ED104" s="91"/>
      <c r="EE104" s="91"/>
      <c r="EF104" s="91"/>
      <c r="EG104" s="91"/>
      <c r="EH104" s="92"/>
      <c r="EI104" s="110"/>
      <c r="EJ104" s="109"/>
      <c r="EK104" s="109"/>
      <c r="EL104" s="109"/>
      <c r="EM104" s="109"/>
      <c r="EN104" s="109"/>
      <c r="EO104" s="109"/>
      <c r="EP104" s="109"/>
      <c r="EQ104" s="109"/>
      <c r="ER104" s="132"/>
      <c r="ES104" s="176">
        <f t="shared" si="42"/>
        <v>0</v>
      </c>
      <c r="ET104" s="176">
        <f t="shared" si="43"/>
        <v>0</v>
      </c>
      <c r="EU104" s="176">
        <f t="shared" si="44"/>
        <v>0</v>
      </c>
      <c r="EV104" s="176">
        <f t="shared" si="45"/>
        <v>0</v>
      </c>
      <c r="EW104" s="175">
        <f t="shared" si="58"/>
        <v>0</v>
      </c>
      <c r="EX104" s="175">
        <f t="shared" si="46"/>
        <v>0</v>
      </c>
      <c r="EY104" s="175">
        <f t="shared" si="47"/>
        <v>0</v>
      </c>
      <c r="EZ104" s="176">
        <f t="shared" si="48"/>
        <v>0</v>
      </c>
      <c r="FA104" s="175">
        <f t="shared" si="49"/>
        <v>0</v>
      </c>
      <c r="FB104" s="175">
        <f t="shared" si="50"/>
        <v>0</v>
      </c>
      <c r="FC104" s="175">
        <f t="shared" si="51"/>
        <v>0</v>
      </c>
      <c r="FD104" s="175">
        <f t="shared" si="52"/>
        <v>0</v>
      </c>
      <c r="FE104" s="175">
        <f t="shared" si="53"/>
        <v>0</v>
      </c>
      <c r="FF104" s="175">
        <f t="shared" si="57"/>
        <v>0</v>
      </c>
      <c r="FG104" s="37">
        <f t="shared" si="56"/>
        <v>102</v>
      </c>
      <c r="FH104" s="165">
        <f t="shared" si="54"/>
        <v>0</v>
      </c>
      <c r="FI104" s="165">
        <f>SUM(I7:ER7)-SUM(ES104:FF104)</f>
        <v>128</v>
      </c>
      <c r="FJ104" s="165">
        <f t="shared" si="55"/>
        <v>128</v>
      </c>
      <c r="FK104" s="7"/>
    </row>
    <row r="105" spans="1:167" ht="15.75" customHeight="1">
      <c r="A105" s="2"/>
      <c r="B105" s="3">
        <f t="shared" si="40"/>
        <v>0</v>
      </c>
      <c r="C105" s="182">
        <f t="shared" si="41"/>
        <v>46</v>
      </c>
      <c r="D105" s="186"/>
      <c r="E105" s="178"/>
      <c r="F105" s="178"/>
      <c r="G105" s="628">
        <v>45915</v>
      </c>
      <c r="H105" s="629"/>
      <c r="I105" s="99"/>
      <c r="J105" s="100"/>
      <c r="K105" s="100"/>
      <c r="L105" s="100"/>
      <c r="M105" s="100"/>
      <c r="N105" s="100"/>
      <c r="O105" s="100"/>
      <c r="P105" s="100"/>
      <c r="Q105" s="100"/>
      <c r="R105" s="101"/>
      <c r="S105" s="119"/>
      <c r="T105" s="118"/>
      <c r="U105" s="118"/>
      <c r="V105" s="118"/>
      <c r="W105" s="118"/>
      <c r="X105" s="118"/>
      <c r="Y105" s="118"/>
      <c r="Z105" s="118"/>
      <c r="AA105" s="118"/>
      <c r="AB105" s="120"/>
      <c r="AC105" s="90"/>
      <c r="AD105" s="91"/>
      <c r="AE105" s="91"/>
      <c r="AF105" s="91"/>
      <c r="AG105" s="592"/>
      <c r="AH105" s="593"/>
      <c r="AI105" s="91"/>
      <c r="AJ105" s="91"/>
      <c r="AK105" s="91"/>
      <c r="AL105" s="123"/>
      <c r="AM105" s="110"/>
      <c r="AN105" s="109"/>
      <c r="AO105" s="109"/>
      <c r="AP105" s="109"/>
      <c r="AQ105" s="109"/>
      <c r="AR105" s="109"/>
      <c r="AS105" s="109"/>
      <c r="AT105" s="109"/>
      <c r="AU105" s="109"/>
      <c r="AV105" s="132"/>
      <c r="AW105" s="128"/>
      <c r="AX105" s="129"/>
      <c r="AY105" s="129"/>
      <c r="AZ105" s="129"/>
      <c r="BA105" s="129"/>
      <c r="BB105" s="129"/>
      <c r="BC105" s="129"/>
      <c r="BD105" s="129"/>
      <c r="BE105" s="129"/>
      <c r="BF105" s="138"/>
      <c r="BG105" s="99"/>
      <c r="BH105" s="100"/>
      <c r="BI105" s="100"/>
      <c r="BJ105" s="100"/>
      <c r="BK105" s="100"/>
      <c r="BL105" s="100"/>
      <c r="BM105" s="100"/>
      <c r="BN105" s="100"/>
      <c r="BO105" s="100"/>
      <c r="BP105" s="101"/>
      <c r="BQ105" s="119"/>
      <c r="BR105" s="118"/>
      <c r="BS105" s="118"/>
      <c r="BT105" s="118"/>
      <c r="BU105" s="118"/>
      <c r="BV105" s="118"/>
      <c r="BW105" s="118"/>
      <c r="BX105" s="118"/>
      <c r="BY105" s="118"/>
      <c r="BZ105" s="120"/>
      <c r="CA105" s="537"/>
      <c r="CB105" s="538"/>
      <c r="CC105" s="538"/>
      <c r="CD105" s="538"/>
      <c r="CE105" s="538"/>
      <c r="CF105" s="538"/>
      <c r="CG105" s="538"/>
      <c r="CH105" s="538"/>
      <c r="CI105" s="538"/>
      <c r="CJ105" s="539"/>
      <c r="CK105" s="110"/>
      <c r="CL105" s="109"/>
      <c r="CM105" s="109"/>
      <c r="CN105" s="109"/>
      <c r="CO105" s="109"/>
      <c r="CP105" s="109"/>
      <c r="CQ105" s="109"/>
      <c r="CR105" s="109"/>
      <c r="CS105" s="109"/>
      <c r="CT105" s="111"/>
      <c r="CU105" s="128"/>
      <c r="CV105" s="129"/>
      <c r="CW105" s="129"/>
      <c r="CX105" s="129"/>
      <c r="CY105" s="129"/>
      <c r="CZ105" s="129"/>
      <c r="DA105" s="129"/>
      <c r="DB105" s="129"/>
      <c r="DC105" s="129"/>
      <c r="DD105" s="138"/>
      <c r="DE105" s="156"/>
      <c r="DF105" s="157"/>
      <c r="DG105" s="157"/>
      <c r="DH105" s="157"/>
      <c r="DI105" s="157"/>
      <c r="DJ105" s="157"/>
      <c r="DK105" s="157"/>
      <c r="DL105" s="157"/>
      <c r="DM105" s="157"/>
      <c r="DN105" s="158"/>
      <c r="DO105" s="119"/>
      <c r="DP105" s="118"/>
      <c r="DQ105" s="118"/>
      <c r="DR105" s="118"/>
      <c r="DS105" s="118"/>
      <c r="DT105" s="118"/>
      <c r="DU105" s="118"/>
      <c r="DV105" s="118"/>
      <c r="DW105" s="118"/>
      <c r="DX105" s="120"/>
      <c r="DY105" s="90"/>
      <c r="DZ105" s="91"/>
      <c r="EA105" s="91"/>
      <c r="EB105" s="91"/>
      <c r="EC105" s="91"/>
      <c r="ED105" s="91"/>
      <c r="EE105" s="91"/>
      <c r="EF105" s="91"/>
      <c r="EG105" s="91"/>
      <c r="EH105" s="92"/>
      <c r="EI105" s="110"/>
      <c r="EJ105" s="109"/>
      <c r="EK105" s="109"/>
      <c r="EL105" s="109"/>
      <c r="EM105" s="109"/>
      <c r="EN105" s="109"/>
      <c r="EO105" s="109"/>
      <c r="EP105" s="109"/>
      <c r="EQ105" s="109"/>
      <c r="ER105" s="132"/>
      <c r="ES105" s="176">
        <f t="shared" si="42"/>
        <v>0</v>
      </c>
      <c r="ET105" s="176">
        <f t="shared" si="43"/>
        <v>0</v>
      </c>
      <c r="EU105" s="176">
        <f t="shared" si="44"/>
        <v>0</v>
      </c>
      <c r="EV105" s="176">
        <f t="shared" si="45"/>
        <v>0</v>
      </c>
      <c r="EW105" s="175">
        <f t="shared" si="58"/>
        <v>0</v>
      </c>
      <c r="EX105" s="175">
        <f t="shared" si="46"/>
        <v>0</v>
      </c>
      <c r="EY105" s="175">
        <f t="shared" si="47"/>
        <v>0</v>
      </c>
      <c r="EZ105" s="176">
        <f t="shared" si="48"/>
        <v>0</v>
      </c>
      <c r="FA105" s="175">
        <f t="shared" si="49"/>
        <v>0</v>
      </c>
      <c r="FB105" s="175">
        <f t="shared" si="50"/>
        <v>0</v>
      </c>
      <c r="FC105" s="175">
        <f t="shared" si="51"/>
        <v>0</v>
      </c>
      <c r="FD105" s="175">
        <f t="shared" si="52"/>
        <v>0</v>
      </c>
      <c r="FE105" s="175">
        <f t="shared" si="53"/>
        <v>0</v>
      </c>
      <c r="FF105" s="175">
        <f t="shared" si="57"/>
        <v>0</v>
      </c>
      <c r="FG105" s="37">
        <f t="shared" si="56"/>
        <v>103</v>
      </c>
      <c r="FH105" s="165">
        <f t="shared" si="54"/>
        <v>0</v>
      </c>
      <c r="FI105" s="165">
        <f>SUM(I7:ER7)-SUM(ES105:FF105)</f>
        <v>128</v>
      </c>
      <c r="FJ105" s="165">
        <f t="shared" si="55"/>
        <v>128</v>
      </c>
      <c r="FK105" s="7"/>
    </row>
    <row r="106" spans="1:167" ht="15.75" customHeight="1">
      <c r="A106" s="2"/>
      <c r="B106" s="3">
        <f t="shared" si="40"/>
        <v>0</v>
      </c>
      <c r="C106" s="182">
        <f t="shared" si="41"/>
        <v>47</v>
      </c>
      <c r="D106" s="186"/>
      <c r="E106" s="178"/>
      <c r="F106" s="178"/>
      <c r="G106" s="628">
        <v>45915</v>
      </c>
      <c r="H106" s="629"/>
      <c r="I106" s="99"/>
      <c r="J106" s="100"/>
      <c r="K106" s="100"/>
      <c r="L106" s="100"/>
      <c r="M106" s="100"/>
      <c r="N106" s="100"/>
      <c r="O106" s="100"/>
      <c r="P106" s="100"/>
      <c r="Q106" s="100"/>
      <c r="R106" s="101"/>
      <c r="S106" s="119"/>
      <c r="T106" s="118"/>
      <c r="U106" s="118"/>
      <c r="V106" s="118"/>
      <c r="W106" s="118"/>
      <c r="X106" s="118"/>
      <c r="Y106" s="118"/>
      <c r="Z106" s="118"/>
      <c r="AA106" s="118"/>
      <c r="AB106" s="120"/>
      <c r="AC106" s="90"/>
      <c r="AD106" s="91"/>
      <c r="AE106" s="91"/>
      <c r="AF106" s="91"/>
      <c r="AG106" s="592"/>
      <c r="AH106" s="593"/>
      <c r="AI106" s="91"/>
      <c r="AJ106" s="91"/>
      <c r="AK106" s="91"/>
      <c r="AL106" s="123"/>
      <c r="AM106" s="110"/>
      <c r="AN106" s="109"/>
      <c r="AO106" s="109"/>
      <c r="AP106" s="109"/>
      <c r="AQ106" s="109"/>
      <c r="AR106" s="109"/>
      <c r="AS106" s="133"/>
      <c r="AT106" s="109"/>
      <c r="AU106" s="109"/>
      <c r="AV106" s="132"/>
      <c r="AW106" s="128"/>
      <c r="AX106" s="129"/>
      <c r="AY106" s="129"/>
      <c r="AZ106" s="129"/>
      <c r="BA106" s="129"/>
      <c r="BB106" s="129"/>
      <c r="BC106" s="129"/>
      <c r="BD106" s="129"/>
      <c r="BE106" s="129"/>
      <c r="BF106" s="138"/>
      <c r="BG106" s="99"/>
      <c r="BH106" s="100"/>
      <c r="BI106" s="100"/>
      <c r="BJ106" s="100"/>
      <c r="BK106" s="100"/>
      <c r="BL106" s="100"/>
      <c r="BM106" s="100"/>
      <c r="BN106" s="100"/>
      <c r="BO106" s="100"/>
      <c r="BP106" s="101"/>
      <c r="BQ106" s="119"/>
      <c r="BR106" s="118"/>
      <c r="BS106" s="118"/>
      <c r="BT106" s="118"/>
      <c r="BU106" s="118"/>
      <c r="BV106" s="118"/>
      <c r="BW106" s="118"/>
      <c r="BX106" s="118"/>
      <c r="BY106" s="118"/>
      <c r="BZ106" s="120"/>
      <c r="CA106" s="537"/>
      <c r="CB106" s="538"/>
      <c r="CC106" s="538"/>
      <c r="CD106" s="538"/>
      <c r="CE106" s="538"/>
      <c r="CF106" s="538"/>
      <c r="CG106" s="538"/>
      <c r="CH106" s="538"/>
      <c r="CI106" s="538"/>
      <c r="CJ106" s="539"/>
      <c r="CK106" s="110"/>
      <c r="CL106" s="109"/>
      <c r="CM106" s="109"/>
      <c r="CN106" s="109"/>
      <c r="CO106" s="109"/>
      <c r="CP106" s="109"/>
      <c r="CQ106" s="109"/>
      <c r="CR106" s="109"/>
      <c r="CS106" s="109"/>
      <c r="CT106" s="111"/>
      <c r="CU106" s="128"/>
      <c r="CV106" s="129"/>
      <c r="CW106" s="129"/>
      <c r="CX106" s="129"/>
      <c r="CY106" s="129"/>
      <c r="CZ106" s="129"/>
      <c r="DA106" s="129"/>
      <c r="DB106" s="129"/>
      <c r="DC106" s="129"/>
      <c r="DD106" s="138"/>
      <c r="DE106" s="156"/>
      <c r="DF106" s="157"/>
      <c r="DG106" s="157"/>
      <c r="DH106" s="157"/>
      <c r="DI106" s="157"/>
      <c r="DJ106" s="157"/>
      <c r="DK106" s="157"/>
      <c r="DL106" s="157"/>
      <c r="DM106" s="157"/>
      <c r="DN106" s="158"/>
      <c r="DO106" s="119"/>
      <c r="DP106" s="118"/>
      <c r="DQ106" s="118"/>
      <c r="DR106" s="118"/>
      <c r="DS106" s="118"/>
      <c r="DT106" s="118"/>
      <c r="DU106" s="118"/>
      <c r="DV106" s="118"/>
      <c r="DW106" s="118"/>
      <c r="DX106" s="120"/>
      <c r="DY106" s="90"/>
      <c r="DZ106" s="91"/>
      <c r="EA106" s="91"/>
      <c r="EB106" s="91"/>
      <c r="EC106" s="91"/>
      <c r="ED106" s="91"/>
      <c r="EE106" s="91"/>
      <c r="EF106" s="91"/>
      <c r="EG106" s="91"/>
      <c r="EH106" s="92"/>
      <c r="EI106" s="110"/>
      <c r="EJ106" s="109"/>
      <c r="EK106" s="109"/>
      <c r="EL106" s="109"/>
      <c r="EM106" s="109"/>
      <c r="EN106" s="109"/>
      <c r="EO106" s="109"/>
      <c r="EP106" s="109"/>
      <c r="EQ106" s="109"/>
      <c r="ER106" s="132"/>
      <c r="ES106" s="176">
        <f t="shared" si="42"/>
        <v>0</v>
      </c>
      <c r="ET106" s="176">
        <f t="shared" si="43"/>
        <v>0</v>
      </c>
      <c r="EU106" s="176">
        <f t="shared" si="44"/>
        <v>0</v>
      </c>
      <c r="EV106" s="176">
        <f t="shared" si="45"/>
        <v>0</v>
      </c>
      <c r="EW106" s="175">
        <f t="shared" si="58"/>
        <v>0</v>
      </c>
      <c r="EX106" s="175">
        <f t="shared" si="46"/>
        <v>0</v>
      </c>
      <c r="EY106" s="175">
        <f t="shared" si="47"/>
        <v>0</v>
      </c>
      <c r="EZ106" s="176">
        <f t="shared" si="48"/>
        <v>0</v>
      </c>
      <c r="FA106" s="175">
        <f t="shared" si="49"/>
        <v>0</v>
      </c>
      <c r="FB106" s="175">
        <f t="shared" si="50"/>
        <v>0</v>
      </c>
      <c r="FC106" s="175">
        <f t="shared" si="51"/>
        <v>0</v>
      </c>
      <c r="FD106" s="175">
        <f t="shared" si="52"/>
        <v>0</v>
      </c>
      <c r="FE106" s="175">
        <f t="shared" si="53"/>
        <v>0</v>
      </c>
      <c r="FF106" s="175">
        <f t="shared" si="57"/>
        <v>0</v>
      </c>
      <c r="FG106" s="37">
        <f t="shared" si="56"/>
        <v>104</v>
      </c>
      <c r="FH106" s="165">
        <f t="shared" si="54"/>
        <v>0</v>
      </c>
      <c r="FI106" s="165">
        <f>SUM(I7:ER7)-SUM(ES106:FF106)</f>
        <v>128</v>
      </c>
      <c r="FJ106" s="165">
        <f t="shared" si="55"/>
        <v>128</v>
      </c>
      <c r="FK106" s="7"/>
    </row>
    <row r="107" spans="1:167" ht="15.75" customHeight="1">
      <c r="A107" s="2"/>
      <c r="B107" s="3">
        <f t="shared" si="40"/>
        <v>0</v>
      </c>
      <c r="C107" s="182">
        <f t="shared" si="41"/>
        <v>48</v>
      </c>
      <c r="D107" s="186"/>
      <c r="E107" s="178"/>
      <c r="F107" s="178"/>
      <c r="G107" s="628">
        <v>45915</v>
      </c>
      <c r="H107" s="629"/>
      <c r="I107" s="99"/>
      <c r="J107" s="100"/>
      <c r="K107" s="100"/>
      <c r="L107" s="100"/>
      <c r="M107" s="100"/>
      <c r="N107" s="100"/>
      <c r="O107" s="100"/>
      <c r="P107" s="100"/>
      <c r="Q107" s="100"/>
      <c r="R107" s="101"/>
      <c r="S107" s="119"/>
      <c r="T107" s="118"/>
      <c r="U107" s="118"/>
      <c r="V107" s="118"/>
      <c r="W107" s="118"/>
      <c r="X107" s="118"/>
      <c r="Y107" s="118"/>
      <c r="Z107" s="118"/>
      <c r="AA107" s="118"/>
      <c r="AB107" s="120"/>
      <c r="AC107" s="90"/>
      <c r="AD107" s="91"/>
      <c r="AE107" s="91"/>
      <c r="AF107" s="91"/>
      <c r="AG107" s="592"/>
      <c r="AH107" s="593"/>
      <c r="AI107" s="91"/>
      <c r="AJ107" s="91"/>
      <c r="AK107" s="91"/>
      <c r="AL107" s="123"/>
      <c r="AM107" s="110"/>
      <c r="AN107" s="109"/>
      <c r="AO107" s="109"/>
      <c r="AP107" s="109"/>
      <c r="AQ107" s="109"/>
      <c r="AR107" s="132"/>
      <c r="AS107" s="187"/>
      <c r="AT107" s="134"/>
      <c r="AU107" s="109"/>
      <c r="AV107" s="132"/>
      <c r="AW107" s="128"/>
      <c r="AX107" s="129"/>
      <c r="AY107" s="129"/>
      <c r="AZ107" s="129"/>
      <c r="BA107" s="129"/>
      <c r="BB107" s="129"/>
      <c r="BC107" s="129"/>
      <c r="BD107" s="129"/>
      <c r="BE107" s="129"/>
      <c r="BF107" s="138"/>
      <c r="BG107" s="99"/>
      <c r="BH107" s="100"/>
      <c r="BI107" s="100"/>
      <c r="BJ107" s="100"/>
      <c r="BK107" s="100"/>
      <c r="BL107" s="100"/>
      <c r="BM107" s="100"/>
      <c r="BN107" s="100"/>
      <c r="BO107" s="100"/>
      <c r="BP107" s="101"/>
      <c r="BQ107" s="119"/>
      <c r="BR107" s="118"/>
      <c r="BS107" s="118"/>
      <c r="BT107" s="118"/>
      <c r="BU107" s="118"/>
      <c r="BV107" s="118"/>
      <c r="BW107" s="118"/>
      <c r="BX107" s="118"/>
      <c r="BY107" s="118"/>
      <c r="BZ107" s="120"/>
      <c r="CA107" s="537"/>
      <c r="CB107" s="538"/>
      <c r="CC107" s="538"/>
      <c r="CD107" s="538"/>
      <c r="CE107" s="538"/>
      <c r="CF107" s="538"/>
      <c r="CG107" s="538"/>
      <c r="CH107" s="538"/>
      <c r="CI107" s="538"/>
      <c r="CJ107" s="539"/>
      <c r="CK107" s="110"/>
      <c r="CL107" s="109"/>
      <c r="CM107" s="109"/>
      <c r="CN107" s="109"/>
      <c r="CO107" s="109"/>
      <c r="CP107" s="109"/>
      <c r="CQ107" s="109"/>
      <c r="CR107" s="109"/>
      <c r="CS107" s="109"/>
      <c r="CT107" s="111"/>
      <c r="CU107" s="128"/>
      <c r="CV107" s="129"/>
      <c r="CW107" s="129"/>
      <c r="CX107" s="129"/>
      <c r="CY107" s="129"/>
      <c r="CZ107" s="129"/>
      <c r="DA107" s="129"/>
      <c r="DB107" s="129"/>
      <c r="DC107" s="129"/>
      <c r="DD107" s="138"/>
      <c r="DE107" s="156"/>
      <c r="DF107" s="157"/>
      <c r="DG107" s="157"/>
      <c r="DH107" s="157"/>
      <c r="DI107" s="157"/>
      <c r="DJ107" s="157"/>
      <c r="DK107" s="157"/>
      <c r="DL107" s="157"/>
      <c r="DM107" s="157"/>
      <c r="DN107" s="158"/>
      <c r="DO107" s="119"/>
      <c r="DP107" s="118"/>
      <c r="DQ107" s="118"/>
      <c r="DR107" s="118"/>
      <c r="DS107" s="118"/>
      <c r="DT107" s="118"/>
      <c r="DU107" s="118"/>
      <c r="DV107" s="118"/>
      <c r="DW107" s="118"/>
      <c r="DX107" s="120"/>
      <c r="DY107" s="90"/>
      <c r="DZ107" s="91"/>
      <c r="EA107" s="91"/>
      <c r="EB107" s="91"/>
      <c r="EC107" s="91"/>
      <c r="ED107" s="91"/>
      <c r="EE107" s="91"/>
      <c r="EF107" s="91"/>
      <c r="EG107" s="91"/>
      <c r="EH107" s="92"/>
      <c r="EI107" s="110"/>
      <c r="EJ107" s="109"/>
      <c r="EK107" s="109"/>
      <c r="EL107" s="109"/>
      <c r="EM107" s="109"/>
      <c r="EN107" s="109"/>
      <c r="EO107" s="109"/>
      <c r="EP107" s="109"/>
      <c r="EQ107" s="109"/>
      <c r="ER107" s="132"/>
      <c r="ES107" s="176">
        <f t="shared" si="42"/>
        <v>0</v>
      </c>
      <c r="ET107" s="176">
        <f t="shared" si="43"/>
        <v>0</v>
      </c>
      <c r="EU107" s="176">
        <f t="shared" si="44"/>
        <v>0</v>
      </c>
      <c r="EV107" s="176">
        <f t="shared" si="45"/>
        <v>0</v>
      </c>
      <c r="EW107" s="175">
        <f t="shared" si="58"/>
        <v>0</v>
      </c>
      <c r="EX107" s="175">
        <f t="shared" si="46"/>
        <v>0</v>
      </c>
      <c r="EY107" s="175">
        <f t="shared" si="47"/>
        <v>0</v>
      </c>
      <c r="EZ107" s="176">
        <f t="shared" si="48"/>
        <v>0</v>
      </c>
      <c r="FA107" s="175">
        <f t="shared" si="49"/>
        <v>0</v>
      </c>
      <c r="FB107" s="175">
        <f t="shared" si="50"/>
        <v>0</v>
      </c>
      <c r="FC107" s="175">
        <f t="shared" si="51"/>
        <v>0</v>
      </c>
      <c r="FD107" s="175">
        <f t="shared" si="52"/>
        <v>0</v>
      </c>
      <c r="FE107" s="175">
        <f t="shared" si="53"/>
        <v>0</v>
      </c>
      <c r="FF107" s="175">
        <f t="shared" si="57"/>
        <v>0</v>
      </c>
      <c r="FG107" s="37">
        <f t="shared" si="56"/>
        <v>105</v>
      </c>
      <c r="FH107" s="165">
        <f t="shared" si="54"/>
        <v>0</v>
      </c>
      <c r="FI107" s="165">
        <f>SUM(I7:ER7)-SUM(ES107:FF107)</f>
        <v>128</v>
      </c>
      <c r="FJ107" s="165">
        <f t="shared" si="55"/>
        <v>128</v>
      </c>
      <c r="FK107" s="7"/>
    </row>
    <row r="108" spans="1:167" ht="15.75" customHeight="1">
      <c r="A108" s="2"/>
      <c r="B108" s="3">
        <f t="shared" si="40"/>
        <v>0</v>
      </c>
      <c r="C108" s="182">
        <f t="shared" si="41"/>
        <v>49</v>
      </c>
      <c r="D108" s="186"/>
      <c r="E108" s="178"/>
      <c r="F108" s="178"/>
      <c r="G108" s="628">
        <v>45915</v>
      </c>
      <c r="H108" s="629"/>
      <c r="I108" s="99"/>
      <c r="J108" s="100"/>
      <c r="K108" s="100"/>
      <c r="L108" s="100"/>
      <c r="M108" s="100"/>
      <c r="N108" s="100"/>
      <c r="O108" s="100"/>
      <c r="P108" s="100"/>
      <c r="Q108" s="100"/>
      <c r="R108" s="101"/>
      <c r="S108" s="119"/>
      <c r="T108" s="118"/>
      <c r="U108" s="118"/>
      <c r="V108" s="118"/>
      <c r="W108" s="118"/>
      <c r="X108" s="118"/>
      <c r="Y108" s="118"/>
      <c r="Z108" s="118"/>
      <c r="AA108" s="118"/>
      <c r="AB108" s="120"/>
      <c r="AC108" s="90"/>
      <c r="AD108" s="91"/>
      <c r="AE108" s="91"/>
      <c r="AF108" s="91"/>
      <c r="AG108" s="592"/>
      <c r="AH108" s="593"/>
      <c r="AI108" s="91"/>
      <c r="AJ108" s="91"/>
      <c r="AK108" s="91"/>
      <c r="AL108" s="123"/>
      <c r="AM108" s="110"/>
      <c r="AN108" s="109"/>
      <c r="AO108" s="109"/>
      <c r="AP108" s="109"/>
      <c r="AQ108" s="109"/>
      <c r="AR108" s="109"/>
      <c r="AS108" s="135"/>
      <c r="AT108" s="109"/>
      <c r="AU108" s="109"/>
      <c r="AV108" s="132"/>
      <c r="AW108" s="128"/>
      <c r="AX108" s="129"/>
      <c r="AY108" s="129"/>
      <c r="AZ108" s="129"/>
      <c r="BA108" s="129"/>
      <c r="BB108" s="129"/>
      <c r="BC108" s="129"/>
      <c r="BD108" s="129"/>
      <c r="BE108" s="129"/>
      <c r="BF108" s="138"/>
      <c r="BG108" s="99"/>
      <c r="BH108" s="100"/>
      <c r="BI108" s="100"/>
      <c r="BJ108" s="100"/>
      <c r="BK108" s="100"/>
      <c r="BL108" s="100"/>
      <c r="BM108" s="100"/>
      <c r="BN108" s="100"/>
      <c r="BO108" s="100"/>
      <c r="BP108" s="101"/>
      <c r="BQ108" s="119"/>
      <c r="BR108" s="118"/>
      <c r="BS108" s="118"/>
      <c r="BT108" s="118"/>
      <c r="BU108" s="118"/>
      <c r="BV108" s="118"/>
      <c r="BW108" s="118"/>
      <c r="BX108" s="118"/>
      <c r="BY108" s="118"/>
      <c r="BZ108" s="120"/>
      <c r="CA108" s="537"/>
      <c r="CB108" s="538"/>
      <c r="CC108" s="538"/>
      <c r="CD108" s="538"/>
      <c r="CE108" s="538"/>
      <c r="CF108" s="538"/>
      <c r="CG108" s="538"/>
      <c r="CH108" s="538"/>
      <c r="CI108" s="538"/>
      <c r="CJ108" s="539"/>
      <c r="CK108" s="110"/>
      <c r="CL108" s="109"/>
      <c r="CM108" s="109"/>
      <c r="CN108" s="109"/>
      <c r="CO108" s="109"/>
      <c r="CP108" s="109"/>
      <c r="CQ108" s="109"/>
      <c r="CR108" s="109"/>
      <c r="CS108" s="109"/>
      <c r="CT108" s="111"/>
      <c r="CU108" s="128"/>
      <c r="CV108" s="129"/>
      <c r="CW108" s="129"/>
      <c r="CX108" s="129"/>
      <c r="CY108" s="129"/>
      <c r="CZ108" s="129"/>
      <c r="DA108" s="129"/>
      <c r="DB108" s="129"/>
      <c r="DC108" s="129"/>
      <c r="DD108" s="138"/>
      <c r="DE108" s="156"/>
      <c r="DF108" s="157"/>
      <c r="DG108" s="157"/>
      <c r="DH108" s="157"/>
      <c r="DI108" s="157"/>
      <c r="DJ108" s="157"/>
      <c r="DK108" s="157"/>
      <c r="DL108" s="157"/>
      <c r="DM108" s="157"/>
      <c r="DN108" s="158"/>
      <c r="DO108" s="119"/>
      <c r="DP108" s="118"/>
      <c r="DQ108" s="118"/>
      <c r="DR108" s="118"/>
      <c r="DS108" s="118"/>
      <c r="DT108" s="118"/>
      <c r="DU108" s="118"/>
      <c r="DV108" s="118"/>
      <c r="DW108" s="118"/>
      <c r="DX108" s="120"/>
      <c r="DY108" s="90"/>
      <c r="DZ108" s="91"/>
      <c r="EA108" s="91"/>
      <c r="EB108" s="91"/>
      <c r="EC108" s="91"/>
      <c r="ED108" s="91"/>
      <c r="EE108" s="91"/>
      <c r="EF108" s="91"/>
      <c r="EG108" s="91"/>
      <c r="EH108" s="92"/>
      <c r="EI108" s="110"/>
      <c r="EJ108" s="109"/>
      <c r="EK108" s="109"/>
      <c r="EL108" s="109"/>
      <c r="EM108" s="109"/>
      <c r="EN108" s="109"/>
      <c r="EO108" s="109"/>
      <c r="EP108" s="109"/>
      <c r="EQ108" s="109"/>
      <c r="ER108" s="132"/>
      <c r="ES108" s="176">
        <f t="shared" si="42"/>
        <v>0</v>
      </c>
      <c r="ET108" s="176">
        <f t="shared" si="43"/>
        <v>0</v>
      </c>
      <c r="EU108" s="176">
        <f t="shared" si="44"/>
        <v>0</v>
      </c>
      <c r="EV108" s="176">
        <f t="shared" si="45"/>
        <v>0</v>
      </c>
      <c r="EW108" s="175">
        <f t="shared" si="58"/>
        <v>0</v>
      </c>
      <c r="EX108" s="175">
        <f t="shared" si="46"/>
        <v>0</v>
      </c>
      <c r="EY108" s="175">
        <f t="shared" si="47"/>
        <v>0</v>
      </c>
      <c r="EZ108" s="176">
        <f t="shared" si="48"/>
        <v>0</v>
      </c>
      <c r="FA108" s="175">
        <f t="shared" si="49"/>
        <v>0</v>
      </c>
      <c r="FB108" s="175">
        <f t="shared" si="50"/>
        <v>0</v>
      </c>
      <c r="FC108" s="175">
        <f t="shared" si="51"/>
        <v>0</v>
      </c>
      <c r="FD108" s="175">
        <f t="shared" si="52"/>
        <v>0</v>
      </c>
      <c r="FE108" s="175">
        <f t="shared" si="53"/>
        <v>0</v>
      </c>
      <c r="FF108" s="175">
        <f t="shared" si="57"/>
        <v>0</v>
      </c>
      <c r="FG108" s="37">
        <f t="shared" si="56"/>
        <v>106</v>
      </c>
      <c r="FH108" s="165">
        <f t="shared" si="54"/>
        <v>0</v>
      </c>
      <c r="FI108" s="165">
        <f>SUM(I7:ER7)-SUM(ES108:FF108)</f>
        <v>128</v>
      </c>
      <c r="FJ108" s="165">
        <f t="shared" si="55"/>
        <v>128</v>
      </c>
      <c r="FK108" s="7"/>
    </row>
    <row r="109" spans="1:167" ht="15.75" customHeight="1">
      <c r="A109" s="2"/>
      <c r="B109" s="3">
        <f t="shared" si="40"/>
        <v>0</v>
      </c>
      <c r="C109" s="182">
        <f t="shared" si="41"/>
        <v>50</v>
      </c>
      <c r="D109" s="186"/>
      <c r="E109" s="178"/>
      <c r="F109" s="178"/>
      <c r="G109" s="628">
        <v>45915</v>
      </c>
      <c r="H109" s="629"/>
      <c r="I109" s="99"/>
      <c r="J109" s="100"/>
      <c r="K109" s="100"/>
      <c r="L109" s="100"/>
      <c r="M109" s="100"/>
      <c r="N109" s="100"/>
      <c r="O109" s="100"/>
      <c r="P109" s="100"/>
      <c r="Q109" s="100"/>
      <c r="R109" s="101"/>
      <c r="S109" s="119"/>
      <c r="T109" s="118"/>
      <c r="U109" s="118"/>
      <c r="V109" s="118"/>
      <c r="W109" s="118"/>
      <c r="X109" s="118"/>
      <c r="Y109" s="118"/>
      <c r="Z109" s="118"/>
      <c r="AA109" s="118"/>
      <c r="AB109" s="120"/>
      <c r="AC109" s="90"/>
      <c r="AD109" s="91"/>
      <c r="AE109" s="91"/>
      <c r="AF109" s="91"/>
      <c r="AG109" s="594"/>
      <c r="AH109" s="595"/>
      <c r="AI109" s="91"/>
      <c r="AJ109" s="91"/>
      <c r="AK109" s="91"/>
      <c r="AL109" s="123"/>
      <c r="AM109" s="110"/>
      <c r="AN109" s="109"/>
      <c r="AO109" s="109"/>
      <c r="AP109" s="109"/>
      <c r="AQ109" s="109"/>
      <c r="AR109" s="109"/>
      <c r="AS109" s="109"/>
      <c r="AT109" s="109"/>
      <c r="AU109" s="109"/>
      <c r="AV109" s="132"/>
      <c r="AW109" s="128"/>
      <c r="AX109" s="129"/>
      <c r="AY109" s="129"/>
      <c r="AZ109" s="129"/>
      <c r="BA109" s="129"/>
      <c r="BB109" s="129"/>
      <c r="BC109" s="129"/>
      <c r="BD109" s="129"/>
      <c r="BE109" s="129"/>
      <c r="BF109" s="138"/>
      <c r="BG109" s="99"/>
      <c r="BH109" s="100"/>
      <c r="BI109" s="100"/>
      <c r="BJ109" s="100"/>
      <c r="BK109" s="100"/>
      <c r="BL109" s="100"/>
      <c r="BM109" s="100"/>
      <c r="BN109" s="100"/>
      <c r="BO109" s="100"/>
      <c r="BP109" s="101"/>
      <c r="BQ109" s="119"/>
      <c r="BR109" s="118"/>
      <c r="BS109" s="118"/>
      <c r="BT109" s="118"/>
      <c r="BU109" s="118"/>
      <c r="BV109" s="118"/>
      <c r="BW109" s="118"/>
      <c r="BX109" s="118"/>
      <c r="BY109" s="118"/>
      <c r="BZ109" s="120"/>
      <c r="CA109" s="588"/>
      <c r="CB109" s="589"/>
      <c r="CC109" s="589"/>
      <c r="CD109" s="589"/>
      <c r="CE109" s="589"/>
      <c r="CF109" s="589"/>
      <c r="CG109" s="589"/>
      <c r="CH109" s="589"/>
      <c r="CI109" s="589"/>
      <c r="CJ109" s="598"/>
      <c r="CK109" s="110"/>
      <c r="CL109" s="109"/>
      <c r="CM109" s="109"/>
      <c r="CN109" s="109"/>
      <c r="CO109" s="109"/>
      <c r="CP109" s="109"/>
      <c r="CQ109" s="109"/>
      <c r="CR109" s="109"/>
      <c r="CS109" s="109"/>
      <c r="CT109" s="111"/>
      <c r="CU109" s="128"/>
      <c r="CV109" s="129"/>
      <c r="CW109" s="129"/>
      <c r="CX109" s="129"/>
      <c r="CY109" s="129"/>
      <c r="CZ109" s="129"/>
      <c r="DA109" s="129"/>
      <c r="DB109" s="129"/>
      <c r="DC109" s="129"/>
      <c r="DD109" s="138"/>
      <c r="DE109" s="156"/>
      <c r="DF109" s="157"/>
      <c r="DG109" s="157"/>
      <c r="DH109" s="157"/>
      <c r="DI109" s="157"/>
      <c r="DJ109" s="157"/>
      <c r="DK109" s="157"/>
      <c r="DL109" s="157"/>
      <c r="DM109" s="157"/>
      <c r="DN109" s="158"/>
      <c r="DO109" s="119"/>
      <c r="DP109" s="118"/>
      <c r="DQ109" s="118"/>
      <c r="DR109" s="118"/>
      <c r="DS109" s="118"/>
      <c r="DT109" s="118"/>
      <c r="DU109" s="118"/>
      <c r="DV109" s="118"/>
      <c r="DW109" s="118"/>
      <c r="DX109" s="120"/>
      <c r="DY109" s="90"/>
      <c r="DZ109" s="91"/>
      <c r="EA109" s="91"/>
      <c r="EB109" s="91"/>
      <c r="EC109" s="91"/>
      <c r="ED109" s="91"/>
      <c r="EE109" s="91"/>
      <c r="EF109" s="91"/>
      <c r="EG109" s="91"/>
      <c r="EH109" s="92"/>
      <c r="EI109" s="110"/>
      <c r="EJ109" s="109"/>
      <c r="EK109" s="109"/>
      <c r="EL109" s="109"/>
      <c r="EM109" s="109"/>
      <c r="EN109" s="109"/>
      <c r="EO109" s="109"/>
      <c r="EP109" s="109"/>
      <c r="EQ109" s="109"/>
      <c r="ER109" s="132"/>
      <c r="ES109" s="176">
        <f t="shared" si="42"/>
        <v>0</v>
      </c>
      <c r="ET109" s="176">
        <f t="shared" si="43"/>
        <v>0</v>
      </c>
      <c r="EU109" s="176">
        <f t="shared" si="44"/>
        <v>0</v>
      </c>
      <c r="EV109" s="176">
        <f t="shared" si="45"/>
        <v>0</v>
      </c>
      <c r="EW109" s="175">
        <f t="shared" si="58"/>
        <v>0</v>
      </c>
      <c r="EX109" s="175">
        <f t="shared" si="46"/>
        <v>0</v>
      </c>
      <c r="EY109" s="175">
        <f t="shared" si="47"/>
        <v>0</v>
      </c>
      <c r="EZ109" s="176">
        <f t="shared" si="48"/>
        <v>0</v>
      </c>
      <c r="FA109" s="175">
        <f t="shared" si="49"/>
        <v>0</v>
      </c>
      <c r="FB109" s="175">
        <f t="shared" si="50"/>
        <v>0</v>
      </c>
      <c r="FC109" s="175">
        <f t="shared" si="51"/>
        <v>0</v>
      </c>
      <c r="FD109" s="175">
        <f t="shared" si="52"/>
        <v>0</v>
      </c>
      <c r="FE109" s="175">
        <f t="shared" si="53"/>
        <v>0</v>
      </c>
      <c r="FF109" s="175">
        <f t="shared" si="57"/>
        <v>0</v>
      </c>
      <c r="FG109" s="37">
        <f t="shared" si="56"/>
        <v>107</v>
      </c>
      <c r="FH109" s="165">
        <f t="shared" si="54"/>
        <v>0</v>
      </c>
      <c r="FI109" s="165">
        <f>SUM(I7:ER7)-SUM(ES109:FF109)</f>
        <v>128</v>
      </c>
      <c r="FJ109" s="165">
        <f t="shared" si="55"/>
        <v>128</v>
      </c>
      <c r="FK109" s="7"/>
    </row>
    <row r="110" spans="1:167" ht="3" customHeight="1">
      <c r="A110" s="2"/>
      <c r="B110" s="1"/>
      <c r="C110" s="1"/>
      <c r="D110" s="1"/>
      <c r="E110" s="1"/>
      <c r="F110" s="1"/>
      <c r="G110" s="1"/>
      <c r="H110" s="1"/>
      <c r="I110" s="102"/>
      <c r="J110" s="103"/>
      <c r="K110" s="103"/>
      <c r="L110" s="103"/>
      <c r="M110" s="103"/>
      <c r="N110" s="103"/>
      <c r="O110" s="103"/>
      <c r="P110" s="103"/>
      <c r="Q110" s="103"/>
      <c r="R110" s="104"/>
      <c r="S110" s="29"/>
      <c r="T110" s="14"/>
      <c r="U110" s="14"/>
      <c r="V110" s="14"/>
      <c r="W110" s="14"/>
      <c r="X110" s="14"/>
      <c r="Y110" s="14"/>
      <c r="Z110" s="14"/>
      <c r="AA110" s="14"/>
      <c r="AB110" s="30"/>
      <c r="AC110" s="29"/>
      <c r="AD110" s="14"/>
      <c r="AE110" s="14"/>
      <c r="AF110" s="14"/>
      <c r="AG110" s="14"/>
      <c r="AH110" s="14"/>
      <c r="AI110" s="14"/>
      <c r="AJ110" s="14"/>
      <c r="AK110" s="14"/>
      <c r="AL110" s="14"/>
      <c r="AM110" s="29"/>
      <c r="AN110" s="14"/>
      <c r="AO110" s="14"/>
      <c r="AP110" s="14"/>
      <c r="AQ110" s="14"/>
      <c r="AR110" s="14"/>
      <c r="AS110" s="14"/>
      <c r="AT110" s="14"/>
      <c r="AU110" s="14"/>
      <c r="AV110" s="14"/>
      <c r="AW110" s="29"/>
      <c r="AX110" s="14"/>
      <c r="AY110" s="14"/>
      <c r="AZ110" s="14"/>
      <c r="BA110" s="14"/>
      <c r="BB110" s="14"/>
      <c r="BC110" s="14"/>
      <c r="BD110" s="14"/>
      <c r="BE110" s="14"/>
      <c r="BF110" s="30"/>
      <c r="BG110" s="29"/>
      <c r="BH110" s="14"/>
      <c r="BI110" s="14"/>
      <c r="BJ110" s="14"/>
      <c r="BK110" s="14"/>
      <c r="BL110" s="14"/>
      <c r="BM110" s="14"/>
      <c r="BN110" s="14"/>
      <c r="BO110" s="14"/>
      <c r="BP110" s="30"/>
      <c r="BQ110" s="29"/>
      <c r="BR110" s="14"/>
      <c r="BS110" s="14"/>
      <c r="BT110" s="14"/>
      <c r="BU110" s="14"/>
      <c r="BV110" s="14"/>
      <c r="BW110" s="14"/>
      <c r="BX110" s="14"/>
      <c r="BY110" s="14"/>
      <c r="BZ110" s="30"/>
      <c r="CA110" s="29"/>
      <c r="CB110" s="14"/>
      <c r="CC110" s="14"/>
      <c r="CD110" s="14"/>
      <c r="CE110" s="14"/>
      <c r="CF110" s="14"/>
      <c r="CG110" s="14"/>
      <c r="CH110" s="14"/>
      <c r="CI110" s="14"/>
      <c r="CJ110" s="14"/>
      <c r="CK110" s="29"/>
      <c r="CL110" s="14"/>
      <c r="CM110" s="14"/>
      <c r="CN110" s="14"/>
      <c r="CO110" s="14"/>
      <c r="CP110" s="14"/>
      <c r="CQ110" s="14"/>
      <c r="CR110" s="14"/>
      <c r="CS110" s="14"/>
      <c r="CT110" s="30"/>
      <c r="CU110" s="29"/>
      <c r="CV110" s="14"/>
      <c r="CW110" s="14"/>
      <c r="CX110" s="14"/>
      <c r="CY110" s="14"/>
      <c r="CZ110" s="14"/>
      <c r="DA110" s="14"/>
      <c r="DB110" s="14"/>
      <c r="DC110" s="14"/>
      <c r="DD110" s="30"/>
      <c r="DE110" s="29"/>
      <c r="DF110" s="14"/>
      <c r="DG110" s="14"/>
      <c r="DH110" s="14"/>
      <c r="DI110" s="14"/>
      <c r="DJ110" s="14"/>
      <c r="DK110" s="14"/>
      <c r="DL110" s="14"/>
      <c r="DM110" s="14"/>
      <c r="DN110" s="30"/>
      <c r="DO110" s="29"/>
      <c r="DP110" s="14"/>
      <c r="DQ110" s="14"/>
      <c r="DR110" s="14"/>
      <c r="DS110" s="14"/>
      <c r="DT110" s="14"/>
      <c r="DU110" s="14"/>
      <c r="DV110" s="14"/>
      <c r="DW110" s="14"/>
      <c r="DX110" s="30"/>
      <c r="DY110" s="29"/>
      <c r="DZ110" s="14"/>
      <c r="EA110" s="14"/>
      <c r="EB110" s="14"/>
      <c r="EC110" s="14"/>
      <c r="ED110" s="14"/>
      <c r="EE110" s="14"/>
      <c r="EF110" s="14"/>
      <c r="EG110" s="14"/>
      <c r="EH110" s="30"/>
      <c r="EI110" s="29"/>
      <c r="EJ110" s="14"/>
      <c r="EK110" s="14"/>
      <c r="EL110" s="14"/>
      <c r="EM110" s="14"/>
      <c r="EN110" s="14"/>
      <c r="EO110" s="14"/>
      <c r="EP110" s="14"/>
      <c r="EQ110" s="14"/>
      <c r="ER110" s="30"/>
      <c r="ES110" s="1"/>
      <c r="ET110" s="1"/>
      <c r="EU110" s="1"/>
      <c r="EV110" s="1"/>
      <c r="EW110" s="36">
        <f t="shared" si="58"/>
        <v>0</v>
      </c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>
        <f t="shared" si="54"/>
        <v>0</v>
      </c>
      <c r="FI110" s="1">
        <f>140-SUM(ES110:FF110)</f>
        <v>140</v>
      </c>
      <c r="FJ110" s="1">
        <f t="shared" si="55"/>
        <v>140</v>
      </c>
      <c r="FK110" s="7"/>
    </row>
    <row r="111" spans="1:167" ht="16.5" customHeight="1">
      <c r="A111" s="2"/>
      <c r="B111" s="552" t="s">
        <v>26</v>
      </c>
      <c r="C111" s="449"/>
      <c r="D111" s="449"/>
      <c r="E111" s="449"/>
      <c r="F111" s="449"/>
      <c r="G111" s="450"/>
      <c r="H111" s="83"/>
      <c r="I111" s="632" t="s">
        <v>27</v>
      </c>
      <c r="J111" s="497"/>
      <c r="K111" s="497"/>
      <c r="L111" s="498"/>
      <c r="M111" s="55" t="s">
        <v>28</v>
      </c>
      <c r="N111" s="499" t="s">
        <v>29</v>
      </c>
      <c r="O111" s="497"/>
      <c r="P111" s="497"/>
      <c r="Q111" s="498"/>
      <c r="R111" s="56" t="s">
        <v>28</v>
      </c>
      <c r="S111" s="633" t="s">
        <v>27</v>
      </c>
      <c r="T111" s="497"/>
      <c r="U111" s="497"/>
      <c r="V111" s="498"/>
      <c r="W111" s="57" t="s">
        <v>28</v>
      </c>
      <c r="X111" s="499" t="s">
        <v>29</v>
      </c>
      <c r="Y111" s="497"/>
      <c r="Z111" s="497"/>
      <c r="AA111" s="498"/>
      <c r="AB111" s="58" t="s">
        <v>28</v>
      </c>
      <c r="AC111" s="633" t="s">
        <v>27</v>
      </c>
      <c r="AD111" s="497"/>
      <c r="AE111" s="497"/>
      <c r="AF111" s="498"/>
      <c r="AG111" s="57" t="s">
        <v>28</v>
      </c>
      <c r="AH111" s="499" t="s">
        <v>29</v>
      </c>
      <c r="AI111" s="497"/>
      <c r="AJ111" s="497"/>
      <c r="AK111" s="498"/>
      <c r="AL111" s="59" t="s">
        <v>28</v>
      </c>
      <c r="AM111" s="633" t="s">
        <v>27</v>
      </c>
      <c r="AN111" s="497"/>
      <c r="AO111" s="497"/>
      <c r="AP111" s="498"/>
      <c r="AQ111" s="57" t="s">
        <v>28</v>
      </c>
      <c r="AR111" s="499" t="s">
        <v>29</v>
      </c>
      <c r="AS111" s="497"/>
      <c r="AT111" s="497"/>
      <c r="AU111" s="498"/>
      <c r="AV111" s="59" t="s">
        <v>28</v>
      </c>
      <c r="AW111" s="633" t="s">
        <v>27</v>
      </c>
      <c r="AX111" s="497"/>
      <c r="AY111" s="497"/>
      <c r="AZ111" s="498"/>
      <c r="BA111" s="57" t="s">
        <v>28</v>
      </c>
      <c r="BB111" s="499" t="s">
        <v>29</v>
      </c>
      <c r="BC111" s="497"/>
      <c r="BD111" s="497"/>
      <c r="BE111" s="498"/>
      <c r="BF111" s="58" t="s">
        <v>28</v>
      </c>
      <c r="BG111" s="633" t="s">
        <v>27</v>
      </c>
      <c r="BH111" s="497"/>
      <c r="BI111" s="497"/>
      <c r="BJ111" s="498"/>
      <c r="BK111" s="57" t="s">
        <v>28</v>
      </c>
      <c r="BL111" s="499" t="s">
        <v>29</v>
      </c>
      <c r="BM111" s="497"/>
      <c r="BN111" s="497"/>
      <c r="BO111" s="498"/>
      <c r="BP111" s="58" t="s">
        <v>28</v>
      </c>
      <c r="BQ111" s="633" t="s">
        <v>27</v>
      </c>
      <c r="BR111" s="497"/>
      <c r="BS111" s="497"/>
      <c r="BT111" s="498"/>
      <c r="BU111" s="57" t="s">
        <v>28</v>
      </c>
      <c r="BV111" s="499" t="s">
        <v>29</v>
      </c>
      <c r="BW111" s="497"/>
      <c r="BX111" s="497"/>
      <c r="BY111" s="498"/>
      <c r="BZ111" s="58" t="s">
        <v>28</v>
      </c>
      <c r="CA111" s="633" t="s">
        <v>27</v>
      </c>
      <c r="CB111" s="497"/>
      <c r="CC111" s="497"/>
      <c r="CD111" s="498"/>
      <c r="CE111" s="57" t="s">
        <v>28</v>
      </c>
      <c r="CF111" s="499" t="s">
        <v>29</v>
      </c>
      <c r="CG111" s="497"/>
      <c r="CH111" s="497"/>
      <c r="CI111" s="498"/>
      <c r="CJ111" s="59" t="s">
        <v>28</v>
      </c>
      <c r="CK111" s="633" t="s">
        <v>27</v>
      </c>
      <c r="CL111" s="497"/>
      <c r="CM111" s="497"/>
      <c r="CN111" s="498"/>
      <c r="CO111" s="57" t="s">
        <v>28</v>
      </c>
      <c r="CP111" s="499" t="s">
        <v>29</v>
      </c>
      <c r="CQ111" s="497"/>
      <c r="CR111" s="497"/>
      <c r="CS111" s="498"/>
      <c r="CT111" s="58" t="s">
        <v>28</v>
      </c>
      <c r="CU111" s="633" t="s">
        <v>27</v>
      </c>
      <c r="CV111" s="497"/>
      <c r="CW111" s="497"/>
      <c r="CX111" s="498"/>
      <c r="CY111" s="55" t="s">
        <v>28</v>
      </c>
      <c r="CZ111" s="499" t="s">
        <v>29</v>
      </c>
      <c r="DA111" s="497"/>
      <c r="DB111" s="497"/>
      <c r="DC111" s="498"/>
      <c r="DD111" s="60" t="s">
        <v>28</v>
      </c>
      <c r="DE111" s="633" t="s">
        <v>27</v>
      </c>
      <c r="DF111" s="497"/>
      <c r="DG111" s="497"/>
      <c r="DH111" s="498"/>
      <c r="DI111" s="61" t="s">
        <v>28</v>
      </c>
      <c r="DJ111" s="499" t="s">
        <v>29</v>
      </c>
      <c r="DK111" s="497"/>
      <c r="DL111" s="497"/>
      <c r="DM111" s="498"/>
      <c r="DN111" s="60" t="s">
        <v>28</v>
      </c>
      <c r="DO111" s="633" t="s">
        <v>27</v>
      </c>
      <c r="DP111" s="497"/>
      <c r="DQ111" s="497"/>
      <c r="DR111" s="498"/>
      <c r="DS111" s="61" t="s">
        <v>28</v>
      </c>
      <c r="DT111" s="499" t="s">
        <v>29</v>
      </c>
      <c r="DU111" s="497"/>
      <c r="DV111" s="497"/>
      <c r="DW111" s="498"/>
      <c r="DX111" s="60" t="s">
        <v>28</v>
      </c>
      <c r="DY111" s="633" t="s">
        <v>27</v>
      </c>
      <c r="DZ111" s="497"/>
      <c r="EA111" s="497"/>
      <c r="EB111" s="498"/>
      <c r="EC111" s="61" t="s">
        <v>28</v>
      </c>
      <c r="ED111" s="499" t="s">
        <v>29</v>
      </c>
      <c r="EE111" s="497"/>
      <c r="EF111" s="497"/>
      <c r="EG111" s="498"/>
      <c r="EH111" s="60" t="s">
        <v>28</v>
      </c>
      <c r="EI111" s="633" t="s">
        <v>27</v>
      </c>
      <c r="EJ111" s="497"/>
      <c r="EK111" s="497"/>
      <c r="EL111" s="498"/>
      <c r="EM111" s="61" t="s">
        <v>28</v>
      </c>
      <c r="EN111" s="499" t="s">
        <v>29</v>
      </c>
      <c r="EO111" s="497"/>
      <c r="EP111" s="497"/>
      <c r="EQ111" s="498"/>
      <c r="ER111" s="60" t="s">
        <v>28</v>
      </c>
      <c r="ES111" s="665">
        <f>J117+O117</f>
        <v>194</v>
      </c>
      <c r="ET111" s="662">
        <f>T117+Y117</f>
        <v>294</v>
      </c>
      <c r="EU111" s="662">
        <f>AD117+AI117</f>
        <v>248</v>
      </c>
      <c r="EV111" s="662">
        <f>AO117+AS117</f>
        <v>306</v>
      </c>
      <c r="EW111" s="662">
        <f>AX117+BC117</f>
        <v>350</v>
      </c>
      <c r="EX111" s="662">
        <f>BH117+BM117</f>
        <v>336</v>
      </c>
      <c r="EY111" s="662">
        <f>BR117+BW117</f>
        <v>352</v>
      </c>
      <c r="EZ111" s="662">
        <f>CG117+CL117</f>
        <v>160</v>
      </c>
      <c r="FA111" s="662">
        <f>CL117+CQ117</f>
        <v>320</v>
      </c>
      <c r="FB111" s="662">
        <f>CV117+DA117</f>
        <v>340</v>
      </c>
      <c r="FC111" s="662">
        <f>DF117+DK117</f>
        <v>366</v>
      </c>
      <c r="FD111" s="662">
        <f>DP117+DU117</f>
        <v>368</v>
      </c>
      <c r="FE111" s="662">
        <f>DZ117+EE117</f>
        <v>364</v>
      </c>
      <c r="FF111" s="662">
        <f>EJ117+EO117</f>
        <v>370</v>
      </c>
      <c r="FG111" s="670" t="s">
        <v>30</v>
      </c>
      <c r="FH111" s="38" t="s">
        <v>31</v>
      </c>
      <c r="FI111" s="39"/>
      <c r="FJ111" s="39"/>
      <c r="FK111" s="40"/>
    </row>
    <row r="112" spans="1:167" ht="15.75" customHeight="1">
      <c r="A112" s="2"/>
      <c r="B112" s="551"/>
      <c r="C112" s="548"/>
      <c r="D112" s="548"/>
      <c r="E112" s="548"/>
      <c r="F112" s="548"/>
      <c r="G112" s="453"/>
      <c r="H112" s="84" t="s">
        <v>32</v>
      </c>
      <c r="I112" s="634">
        <f>SUM(I8:I109)</f>
        <v>13</v>
      </c>
      <c r="J112" s="497"/>
      <c r="K112" s="497"/>
      <c r="L112" s="498"/>
      <c r="M112" s="71">
        <v>1</v>
      </c>
      <c r="N112" s="500">
        <f>SUM(J8:J110)</f>
        <v>13</v>
      </c>
      <c r="O112" s="497"/>
      <c r="P112" s="497"/>
      <c r="Q112" s="498"/>
      <c r="R112" s="72">
        <v>1</v>
      </c>
      <c r="S112" s="634">
        <f>SUM(S8:S109)</f>
        <v>30</v>
      </c>
      <c r="T112" s="497"/>
      <c r="U112" s="497"/>
      <c r="V112" s="498"/>
      <c r="W112" s="71">
        <v>2</v>
      </c>
      <c r="X112" s="500">
        <f>SUM(T8:T110)</f>
        <v>29</v>
      </c>
      <c r="Y112" s="497"/>
      <c r="Z112" s="497"/>
      <c r="AA112" s="498"/>
      <c r="AB112" s="72">
        <v>2</v>
      </c>
      <c r="AC112" s="634">
        <f>SUM(AC8:AC109)</f>
        <v>32</v>
      </c>
      <c r="AD112" s="497"/>
      <c r="AE112" s="497"/>
      <c r="AF112" s="498"/>
      <c r="AG112" s="71">
        <v>3</v>
      </c>
      <c r="AH112" s="500">
        <f>SUM(AD8:AD110)</f>
        <v>32</v>
      </c>
      <c r="AI112" s="497"/>
      <c r="AJ112" s="497"/>
      <c r="AK112" s="498"/>
      <c r="AL112" s="64">
        <v>3</v>
      </c>
      <c r="AM112" s="634">
        <f>SUM(AM8:AM109)</f>
        <v>30</v>
      </c>
      <c r="AN112" s="497"/>
      <c r="AO112" s="497"/>
      <c r="AP112" s="498"/>
      <c r="AQ112" s="71">
        <v>4</v>
      </c>
      <c r="AR112" s="500">
        <f>SUM(AN8:AN109)</f>
        <v>30</v>
      </c>
      <c r="AS112" s="497"/>
      <c r="AT112" s="497"/>
      <c r="AU112" s="498"/>
      <c r="AV112" s="64">
        <v>4</v>
      </c>
      <c r="AW112" s="634">
        <f>SUM(AW8:AW109)</f>
        <v>35</v>
      </c>
      <c r="AX112" s="497"/>
      <c r="AY112" s="497"/>
      <c r="AZ112" s="498"/>
      <c r="BA112" s="71">
        <v>5</v>
      </c>
      <c r="BB112" s="500">
        <f>SUM(AX8:AX110)</f>
        <v>35</v>
      </c>
      <c r="BC112" s="497"/>
      <c r="BD112" s="497"/>
      <c r="BE112" s="498"/>
      <c r="BF112" s="72">
        <v>5</v>
      </c>
      <c r="BG112" s="634">
        <f>SUM(BG8:BG109)</f>
        <v>32</v>
      </c>
      <c r="BH112" s="497"/>
      <c r="BI112" s="497"/>
      <c r="BJ112" s="498"/>
      <c r="BK112" s="71">
        <v>6</v>
      </c>
      <c r="BL112" s="500">
        <f>SUM(BH8:BH110)</f>
        <v>32</v>
      </c>
      <c r="BM112" s="497"/>
      <c r="BN112" s="497"/>
      <c r="BO112" s="498"/>
      <c r="BP112" s="72">
        <v>6</v>
      </c>
      <c r="BQ112" s="634">
        <f>SUM(BQ8:BQ109)</f>
        <v>35</v>
      </c>
      <c r="BR112" s="497"/>
      <c r="BS112" s="497"/>
      <c r="BT112" s="498"/>
      <c r="BU112" s="71">
        <v>7</v>
      </c>
      <c r="BV112" s="500">
        <f>SUM(BR8:BR110)</f>
        <v>35</v>
      </c>
      <c r="BW112" s="497"/>
      <c r="BX112" s="497"/>
      <c r="BY112" s="498"/>
      <c r="BZ112" s="72">
        <v>7</v>
      </c>
      <c r="CA112" s="634">
        <f>SUM(CA8:CA109)</f>
        <v>0</v>
      </c>
      <c r="CB112" s="497"/>
      <c r="CC112" s="497"/>
      <c r="CD112" s="498"/>
      <c r="CE112" s="71">
        <v>8</v>
      </c>
      <c r="CF112" s="500">
        <f>SUM(CB8:CB110)</f>
        <v>0</v>
      </c>
      <c r="CG112" s="497"/>
      <c r="CH112" s="497"/>
      <c r="CI112" s="498"/>
      <c r="CJ112" s="64">
        <v>8</v>
      </c>
      <c r="CK112" s="634">
        <f>SUM(CK8:CK109)</f>
        <v>32</v>
      </c>
      <c r="CL112" s="497"/>
      <c r="CM112" s="497"/>
      <c r="CN112" s="498"/>
      <c r="CO112" s="71">
        <v>9</v>
      </c>
      <c r="CP112" s="500">
        <f>SUM(CL8:CL110)</f>
        <v>32</v>
      </c>
      <c r="CQ112" s="497"/>
      <c r="CR112" s="497"/>
      <c r="CS112" s="498"/>
      <c r="CT112" s="72">
        <v>9</v>
      </c>
      <c r="CU112" s="634">
        <f>SUM(CU8:CU109)</f>
        <v>32</v>
      </c>
      <c r="CV112" s="497"/>
      <c r="CW112" s="497"/>
      <c r="CX112" s="498"/>
      <c r="CY112" s="73">
        <v>10</v>
      </c>
      <c r="CZ112" s="500">
        <f>SUM(CV8:CV110)</f>
        <v>32</v>
      </c>
      <c r="DA112" s="497"/>
      <c r="DB112" s="497"/>
      <c r="DC112" s="498"/>
      <c r="DD112" s="74">
        <v>10</v>
      </c>
      <c r="DE112" s="634">
        <f>SUM(DE8:DE109)</f>
        <v>36</v>
      </c>
      <c r="DF112" s="497"/>
      <c r="DG112" s="497"/>
      <c r="DH112" s="498"/>
      <c r="DI112" s="75">
        <v>11</v>
      </c>
      <c r="DJ112" s="500">
        <f>SUM(DF8:DF110)</f>
        <v>36</v>
      </c>
      <c r="DK112" s="497"/>
      <c r="DL112" s="497"/>
      <c r="DM112" s="498"/>
      <c r="DN112" s="74">
        <v>11</v>
      </c>
      <c r="DO112" s="634">
        <f>SUM(DO8:DO109)</f>
        <v>37</v>
      </c>
      <c r="DP112" s="497"/>
      <c r="DQ112" s="497"/>
      <c r="DR112" s="498"/>
      <c r="DS112" s="75">
        <v>12</v>
      </c>
      <c r="DT112" s="500">
        <f>SUM(DP8:DP110)</f>
        <v>37</v>
      </c>
      <c r="DU112" s="497"/>
      <c r="DV112" s="497"/>
      <c r="DW112" s="498"/>
      <c r="DX112" s="74">
        <v>12</v>
      </c>
      <c r="DY112" s="634">
        <f>SUM(DY8:DY109)</f>
        <v>36</v>
      </c>
      <c r="DZ112" s="497"/>
      <c r="EA112" s="497"/>
      <c r="EB112" s="498"/>
      <c r="EC112" s="75">
        <v>13</v>
      </c>
      <c r="ED112" s="500">
        <f>SUM(DZ8:DZ110)</f>
        <v>36</v>
      </c>
      <c r="EE112" s="497"/>
      <c r="EF112" s="497"/>
      <c r="EG112" s="498"/>
      <c r="EH112" s="74">
        <v>13</v>
      </c>
      <c r="EI112" s="634">
        <f>SUM(EI8:EI109)</f>
        <v>37</v>
      </c>
      <c r="EJ112" s="497"/>
      <c r="EK112" s="497"/>
      <c r="EL112" s="498"/>
      <c r="EM112" s="75">
        <v>14</v>
      </c>
      <c r="EN112" s="500">
        <f>SUM(EJ8:EJ110)</f>
        <v>37</v>
      </c>
      <c r="EO112" s="497"/>
      <c r="EP112" s="497"/>
      <c r="EQ112" s="498"/>
      <c r="ER112" s="74">
        <v>14</v>
      </c>
      <c r="ES112" s="666"/>
      <c r="ET112" s="663"/>
      <c r="EU112" s="663"/>
      <c r="EV112" s="663"/>
      <c r="EW112" s="663"/>
      <c r="EX112" s="663"/>
      <c r="EY112" s="663"/>
      <c r="EZ112" s="663"/>
      <c r="FA112" s="663"/>
      <c r="FB112" s="663"/>
      <c r="FC112" s="663"/>
      <c r="FD112" s="663"/>
      <c r="FE112" s="663"/>
      <c r="FF112" s="663"/>
      <c r="FG112" s="671"/>
      <c r="FH112" s="635">
        <f>SUM(FH8:FH109)</f>
        <v>4200</v>
      </c>
      <c r="FI112" s="636"/>
      <c r="FJ112" s="636"/>
      <c r="FK112" s="41"/>
    </row>
    <row r="113" spans="1:167" ht="15.75" customHeight="1">
      <c r="A113" s="2"/>
      <c r="B113" s="546"/>
      <c r="C113" s="456"/>
      <c r="D113" s="456"/>
      <c r="E113" s="456"/>
      <c r="F113" s="456"/>
      <c r="G113" s="457"/>
      <c r="H113" s="84" t="s">
        <v>33</v>
      </c>
      <c r="I113" s="634">
        <f>SUM(K8:K109)</f>
        <v>20</v>
      </c>
      <c r="J113" s="497"/>
      <c r="K113" s="497"/>
      <c r="L113" s="498"/>
      <c r="M113" s="71">
        <v>1</v>
      </c>
      <c r="N113" s="500">
        <f>SUM(L8:L109)</f>
        <v>20</v>
      </c>
      <c r="O113" s="497"/>
      <c r="P113" s="497"/>
      <c r="Q113" s="498"/>
      <c r="R113" s="72">
        <v>1</v>
      </c>
      <c r="S113" s="634">
        <f>SUM(U8:U109)</f>
        <v>30</v>
      </c>
      <c r="T113" s="497"/>
      <c r="U113" s="497"/>
      <c r="V113" s="498"/>
      <c r="W113" s="71">
        <v>2</v>
      </c>
      <c r="X113" s="500">
        <f>SUM(V8:V109)</f>
        <v>31</v>
      </c>
      <c r="Y113" s="497"/>
      <c r="Z113" s="497"/>
      <c r="AA113" s="498"/>
      <c r="AB113" s="72">
        <v>2</v>
      </c>
      <c r="AC113" s="634">
        <f>SUM(AE8:AE109)</f>
        <v>29</v>
      </c>
      <c r="AD113" s="497"/>
      <c r="AE113" s="497"/>
      <c r="AF113" s="498"/>
      <c r="AG113" s="71">
        <v>3</v>
      </c>
      <c r="AH113" s="500">
        <f>SUM(AF8:AF109)</f>
        <v>29</v>
      </c>
      <c r="AI113" s="497"/>
      <c r="AJ113" s="497"/>
      <c r="AK113" s="498"/>
      <c r="AL113" s="64">
        <v>3</v>
      </c>
      <c r="AM113" s="634">
        <f>SUM(AO8:AO109)</f>
        <v>31</v>
      </c>
      <c r="AN113" s="497"/>
      <c r="AO113" s="497"/>
      <c r="AP113" s="498"/>
      <c r="AQ113" s="71">
        <v>4</v>
      </c>
      <c r="AR113" s="500">
        <f>SUM(AP8:AP109)</f>
        <v>31</v>
      </c>
      <c r="AS113" s="497"/>
      <c r="AT113" s="497"/>
      <c r="AU113" s="498"/>
      <c r="AV113" s="64">
        <v>4</v>
      </c>
      <c r="AW113" s="634">
        <f>SUM(AY8:AY109)</f>
        <v>35</v>
      </c>
      <c r="AX113" s="497"/>
      <c r="AY113" s="497"/>
      <c r="AZ113" s="498"/>
      <c r="BA113" s="71">
        <v>5</v>
      </c>
      <c r="BB113" s="500">
        <f>SUM(AZ8:AZ109)</f>
        <v>35</v>
      </c>
      <c r="BC113" s="497"/>
      <c r="BD113" s="497"/>
      <c r="BE113" s="498"/>
      <c r="BF113" s="72">
        <v>5</v>
      </c>
      <c r="BG113" s="634">
        <f>SUM(BI8:BI109)</f>
        <v>31</v>
      </c>
      <c r="BH113" s="497"/>
      <c r="BI113" s="497"/>
      <c r="BJ113" s="498"/>
      <c r="BK113" s="71">
        <v>6</v>
      </c>
      <c r="BL113" s="500">
        <f>SUM(BJ8:BJ109)</f>
        <v>31</v>
      </c>
      <c r="BM113" s="497"/>
      <c r="BN113" s="497"/>
      <c r="BO113" s="498"/>
      <c r="BP113" s="72">
        <v>6</v>
      </c>
      <c r="BQ113" s="634">
        <f>SUM(BS8:BS109)</f>
        <v>35</v>
      </c>
      <c r="BR113" s="497"/>
      <c r="BS113" s="497"/>
      <c r="BT113" s="498"/>
      <c r="BU113" s="71">
        <v>7</v>
      </c>
      <c r="BV113" s="500">
        <f>SUM(BT8:BT109)</f>
        <v>35</v>
      </c>
      <c r="BW113" s="497"/>
      <c r="BX113" s="497"/>
      <c r="BY113" s="498"/>
      <c r="BZ113" s="72">
        <v>7</v>
      </c>
      <c r="CA113" s="634">
        <f>SUM(CC8:CC109)</f>
        <v>0</v>
      </c>
      <c r="CB113" s="497"/>
      <c r="CC113" s="497"/>
      <c r="CD113" s="498"/>
      <c r="CE113" s="71">
        <v>8</v>
      </c>
      <c r="CF113" s="500">
        <f>SUM(CD8:CD109)</f>
        <v>0</v>
      </c>
      <c r="CG113" s="497"/>
      <c r="CH113" s="497"/>
      <c r="CI113" s="498"/>
      <c r="CJ113" s="64">
        <v>8</v>
      </c>
      <c r="CK113" s="634">
        <f>SUM(CM8:CM109)</f>
        <v>32</v>
      </c>
      <c r="CL113" s="497"/>
      <c r="CM113" s="497"/>
      <c r="CN113" s="498"/>
      <c r="CO113" s="71">
        <v>9</v>
      </c>
      <c r="CP113" s="500">
        <f>SUM(CN8:CN109)</f>
        <v>32</v>
      </c>
      <c r="CQ113" s="497"/>
      <c r="CR113" s="497"/>
      <c r="CS113" s="498"/>
      <c r="CT113" s="72">
        <v>9</v>
      </c>
      <c r="CU113" s="634">
        <f>SUM(CW8:CW109)</f>
        <v>33</v>
      </c>
      <c r="CV113" s="497"/>
      <c r="CW113" s="497"/>
      <c r="CX113" s="498"/>
      <c r="CY113" s="73">
        <v>10</v>
      </c>
      <c r="CZ113" s="500">
        <f>SUM(CX8:CX109)</f>
        <v>33</v>
      </c>
      <c r="DA113" s="497"/>
      <c r="DB113" s="497"/>
      <c r="DC113" s="498"/>
      <c r="DD113" s="74">
        <v>10</v>
      </c>
      <c r="DE113" s="634">
        <f>SUM(DG8:DG109)</f>
        <v>37</v>
      </c>
      <c r="DF113" s="497"/>
      <c r="DG113" s="497"/>
      <c r="DH113" s="498"/>
      <c r="DI113" s="75">
        <v>11</v>
      </c>
      <c r="DJ113" s="500">
        <f>SUM(DH8:DH109)</f>
        <v>37</v>
      </c>
      <c r="DK113" s="497"/>
      <c r="DL113" s="497"/>
      <c r="DM113" s="498"/>
      <c r="DN113" s="74">
        <v>11</v>
      </c>
      <c r="DO113" s="634">
        <f>SUM(DQ8:DQ109)</f>
        <v>37</v>
      </c>
      <c r="DP113" s="497"/>
      <c r="DQ113" s="497"/>
      <c r="DR113" s="498"/>
      <c r="DS113" s="75">
        <v>12</v>
      </c>
      <c r="DT113" s="500">
        <f>SUM(DR8:DR109)</f>
        <v>37</v>
      </c>
      <c r="DU113" s="497"/>
      <c r="DV113" s="497"/>
      <c r="DW113" s="498"/>
      <c r="DX113" s="74">
        <v>12</v>
      </c>
      <c r="DY113" s="634">
        <f>SUM(EA8:EA109)</f>
        <v>37</v>
      </c>
      <c r="DZ113" s="497"/>
      <c r="EA113" s="497"/>
      <c r="EB113" s="498"/>
      <c r="EC113" s="75">
        <v>13</v>
      </c>
      <c r="ED113" s="500">
        <f>SUM(EB8:EB109)</f>
        <v>37</v>
      </c>
      <c r="EE113" s="497"/>
      <c r="EF113" s="497"/>
      <c r="EG113" s="498"/>
      <c r="EH113" s="74">
        <v>13</v>
      </c>
      <c r="EI113" s="634">
        <f>SUM(EK8:EK109)</f>
        <v>37</v>
      </c>
      <c r="EJ113" s="497"/>
      <c r="EK113" s="497"/>
      <c r="EL113" s="498"/>
      <c r="EM113" s="75">
        <v>14</v>
      </c>
      <c r="EN113" s="500">
        <f>SUM(EL8:EL109)</f>
        <v>37</v>
      </c>
      <c r="EO113" s="497"/>
      <c r="EP113" s="497"/>
      <c r="EQ113" s="498"/>
      <c r="ER113" s="74">
        <v>14</v>
      </c>
      <c r="ES113" s="666"/>
      <c r="ET113" s="663"/>
      <c r="EU113" s="663"/>
      <c r="EV113" s="663"/>
      <c r="EW113" s="663"/>
      <c r="EX113" s="663"/>
      <c r="EY113" s="663"/>
      <c r="EZ113" s="663"/>
      <c r="FA113" s="663"/>
      <c r="FB113" s="663"/>
      <c r="FC113" s="663"/>
      <c r="FD113" s="663"/>
      <c r="FE113" s="663"/>
      <c r="FF113" s="663"/>
      <c r="FG113" s="671"/>
      <c r="FH113" s="637" t="s">
        <v>34</v>
      </c>
      <c r="FI113" s="638"/>
      <c r="FJ113" s="638"/>
      <c r="FK113" s="639"/>
    </row>
    <row r="114" spans="1:167" ht="15.75" customHeight="1">
      <c r="A114" s="2"/>
      <c r="B114" s="545" t="s">
        <v>35</v>
      </c>
      <c r="C114" s="450"/>
      <c r="D114" s="545" t="s">
        <v>36</v>
      </c>
      <c r="E114" s="449"/>
      <c r="F114" s="449"/>
      <c r="G114" s="450"/>
      <c r="H114" s="84" t="s">
        <v>28</v>
      </c>
      <c r="I114" s="634">
        <f>SUM(M8:M109)</f>
        <v>21</v>
      </c>
      <c r="J114" s="497"/>
      <c r="K114" s="497"/>
      <c r="L114" s="498"/>
      <c r="M114" s="71">
        <v>1</v>
      </c>
      <c r="N114" s="500">
        <f>SUM(N8:N109)</f>
        <v>21</v>
      </c>
      <c r="O114" s="497"/>
      <c r="P114" s="497"/>
      <c r="Q114" s="498"/>
      <c r="R114" s="72">
        <v>1</v>
      </c>
      <c r="S114" s="634">
        <f>SUM(W8:W109)</f>
        <v>27</v>
      </c>
      <c r="T114" s="497"/>
      <c r="U114" s="497"/>
      <c r="V114" s="498"/>
      <c r="W114" s="71">
        <v>2</v>
      </c>
      <c r="X114" s="500">
        <f>SUM(X8:X109)</f>
        <v>27</v>
      </c>
      <c r="Y114" s="497"/>
      <c r="Z114" s="497"/>
      <c r="AA114" s="498"/>
      <c r="AB114" s="72">
        <v>2</v>
      </c>
      <c r="AC114" s="634">
        <f>SUM(AG8:AG109)</f>
        <v>0</v>
      </c>
      <c r="AD114" s="497"/>
      <c r="AE114" s="497"/>
      <c r="AF114" s="498"/>
      <c r="AG114" s="71">
        <v>3</v>
      </c>
      <c r="AH114" s="500">
        <f>SUM(AH8:AH109)</f>
        <v>0</v>
      </c>
      <c r="AI114" s="497"/>
      <c r="AJ114" s="497"/>
      <c r="AK114" s="498"/>
      <c r="AL114" s="64">
        <v>3</v>
      </c>
      <c r="AM114" s="634">
        <f>SUM(AQ8:AQ109)</f>
        <v>31</v>
      </c>
      <c r="AN114" s="497"/>
      <c r="AO114" s="497"/>
      <c r="AP114" s="498"/>
      <c r="AQ114" s="71">
        <v>4</v>
      </c>
      <c r="AR114" s="500">
        <f>SUM(AR8:AR109)</f>
        <v>31</v>
      </c>
      <c r="AS114" s="497"/>
      <c r="AT114" s="497"/>
      <c r="AU114" s="498"/>
      <c r="AV114" s="64">
        <v>4</v>
      </c>
      <c r="AW114" s="634">
        <f>SUM(BA8:BA109)</f>
        <v>36</v>
      </c>
      <c r="AX114" s="497"/>
      <c r="AY114" s="497"/>
      <c r="AZ114" s="498"/>
      <c r="BA114" s="71">
        <v>5</v>
      </c>
      <c r="BB114" s="500">
        <f>SUM(BB8:BB109)</f>
        <v>36</v>
      </c>
      <c r="BC114" s="497"/>
      <c r="BD114" s="497"/>
      <c r="BE114" s="498"/>
      <c r="BF114" s="72">
        <v>5</v>
      </c>
      <c r="BG114" s="634">
        <f>SUM(BK8:BK109)</f>
        <v>33</v>
      </c>
      <c r="BH114" s="497"/>
      <c r="BI114" s="497"/>
      <c r="BJ114" s="498"/>
      <c r="BK114" s="71">
        <v>6</v>
      </c>
      <c r="BL114" s="500">
        <f>SUM(BL8:BL109)</f>
        <v>33</v>
      </c>
      <c r="BM114" s="497"/>
      <c r="BN114" s="497"/>
      <c r="BO114" s="498"/>
      <c r="BP114" s="72">
        <v>6</v>
      </c>
      <c r="BQ114" s="634">
        <f>SUM(BU8:BU109)</f>
        <v>37</v>
      </c>
      <c r="BR114" s="497"/>
      <c r="BS114" s="497"/>
      <c r="BT114" s="498"/>
      <c r="BU114" s="71">
        <v>7</v>
      </c>
      <c r="BV114" s="500">
        <f>SUM(BV8:BV109)</f>
        <v>37</v>
      </c>
      <c r="BW114" s="497"/>
      <c r="BX114" s="497"/>
      <c r="BY114" s="498"/>
      <c r="BZ114" s="72">
        <v>7</v>
      </c>
      <c r="CA114" s="634">
        <f>SUM(CE8:CE109)</f>
        <v>0</v>
      </c>
      <c r="CB114" s="497"/>
      <c r="CC114" s="497"/>
      <c r="CD114" s="498"/>
      <c r="CE114" s="71">
        <v>8</v>
      </c>
      <c r="CF114" s="500">
        <f>SUM(CF8:CF109)</f>
        <v>0</v>
      </c>
      <c r="CG114" s="497"/>
      <c r="CH114" s="497"/>
      <c r="CI114" s="498"/>
      <c r="CJ114" s="64">
        <v>8</v>
      </c>
      <c r="CK114" s="634">
        <f>SUM(CO8:CO109)</f>
        <v>32</v>
      </c>
      <c r="CL114" s="497"/>
      <c r="CM114" s="497"/>
      <c r="CN114" s="498"/>
      <c r="CO114" s="71">
        <v>9</v>
      </c>
      <c r="CP114" s="500">
        <f>SUM(CP8:CP109)</f>
        <v>32</v>
      </c>
      <c r="CQ114" s="497"/>
      <c r="CR114" s="497"/>
      <c r="CS114" s="498"/>
      <c r="CT114" s="72">
        <v>9</v>
      </c>
      <c r="CU114" s="634">
        <f>SUM(CY8:CY109)</f>
        <v>33</v>
      </c>
      <c r="CV114" s="497"/>
      <c r="CW114" s="497"/>
      <c r="CX114" s="498"/>
      <c r="CY114" s="73">
        <v>10</v>
      </c>
      <c r="CZ114" s="500">
        <f>SUM(CZ8:CZ109)</f>
        <v>33</v>
      </c>
      <c r="DA114" s="497"/>
      <c r="DB114" s="497"/>
      <c r="DC114" s="498"/>
      <c r="DD114" s="74">
        <v>10</v>
      </c>
      <c r="DE114" s="634">
        <f>SUM(DI8:DI109)</f>
        <v>37</v>
      </c>
      <c r="DF114" s="497"/>
      <c r="DG114" s="497"/>
      <c r="DH114" s="498"/>
      <c r="DI114" s="75">
        <v>11</v>
      </c>
      <c r="DJ114" s="500">
        <f>SUM(DJ8:DJ109)</f>
        <v>37</v>
      </c>
      <c r="DK114" s="497"/>
      <c r="DL114" s="497"/>
      <c r="DM114" s="498"/>
      <c r="DN114" s="74">
        <v>11</v>
      </c>
      <c r="DO114" s="634">
        <f>SUM(DS8:DS109)</f>
        <v>36</v>
      </c>
      <c r="DP114" s="497"/>
      <c r="DQ114" s="497"/>
      <c r="DR114" s="498"/>
      <c r="DS114" s="75">
        <v>12</v>
      </c>
      <c r="DT114" s="500">
        <f>SUM(DT8:DT109)</f>
        <v>36</v>
      </c>
      <c r="DU114" s="497"/>
      <c r="DV114" s="497"/>
      <c r="DW114" s="498"/>
      <c r="DX114" s="74">
        <v>12</v>
      </c>
      <c r="DY114" s="634">
        <f>SUM(EC8:EC109)</f>
        <v>36</v>
      </c>
      <c r="DZ114" s="497"/>
      <c r="EA114" s="497"/>
      <c r="EB114" s="498"/>
      <c r="EC114" s="75">
        <v>13</v>
      </c>
      <c r="ED114" s="500">
        <f>SUM(ED8:ED109)</f>
        <v>36</v>
      </c>
      <c r="EE114" s="497"/>
      <c r="EF114" s="497"/>
      <c r="EG114" s="498"/>
      <c r="EH114" s="74">
        <v>13</v>
      </c>
      <c r="EI114" s="634">
        <f>SUM(EM8:EM109)</f>
        <v>37</v>
      </c>
      <c r="EJ114" s="497"/>
      <c r="EK114" s="497"/>
      <c r="EL114" s="498"/>
      <c r="EM114" s="75">
        <v>14</v>
      </c>
      <c r="EN114" s="500">
        <f>SUM(EN8:EN109)</f>
        <v>37</v>
      </c>
      <c r="EO114" s="497"/>
      <c r="EP114" s="497"/>
      <c r="EQ114" s="498"/>
      <c r="ER114" s="74">
        <v>14</v>
      </c>
      <c r="ES114" s="667"/>
      <c r="ET114" s="664"/>
      <c r="EU114" s="664"/>
      <c r="EV114" s="664"/>
      <c r="EW114" s="664"/>
      <c r="EX114" s="664"/>
      <c r="EY114" s="664"/>
      <c r="EZ114" s="664"/>
      <c r="FA114" s="664"/>
      <c r="FB114" s="664"/>
      <c r="FC114" s="664"/>
      <c r="FD114" s="664"/>
      <c r="FE114" s="664"/>
      <c r="FF114" s="664"/>
      <c r="FG114" s="672"/>
      <c r="FH114" s="640">
        <f>SUM(ES115:FF117)</f>
        <v>128</v>
      </c>
      <c r="FI114" s="636"/>
      <c r="FJ114" s="636"/>
      <c r="FK114" s="41"/>
    </row>
    <row r="115" spans="1:167" ht="15" customHeight="1">
      <c r="A115" s="2"/>
      <c r="B115" s="546"/>
      <c r="C115" s="457"/>
      <c r="D115" s="546"/>
      <c r="E115" s="456"/>
      <c r="F115" s="456"/>
      <c r="G115" s="457"/>
      <c r="H115" s="84" t="s">
        <v>37</v>
      </c>
      <c r="I115" s="634">
        <f>SUM(O8:O109)</f>
        <v>22</v>
      </c>
      <c r="J115" s="497"/>
      <c r="K115" s="497"/>
      <c r="L115" s="498"/>
      <c r="M115" s="71">
        <v>1</v>
      </c>
      <c r="N115" s="500">
        <f>SUM(P8:P109)</f>
        <v>22</v>
      </c>
      <c r="O115" s="497"/>
      <c r="P115" s="497"/>
      <c r="Q115" s="498"/>
      <c r="R115" s="72">
        <v>1</v>
      </c>
      <c r="S115" s="634">
        <f>SUM(Y8:Y109)</f>
        <v>30</v>
      </c>
      <c r="T115" s="497"/>
      <c r="U115" s="497"/>
      <c r="V115" s="498"/>
      <c r="W115" s="71">
        <v>2</v>
      </c>
      <c r="X115" s="500">
        <f>SUM(Z8:Z109)</f>
        <v>30</v>
      </c>
      <c r="Y115" s="497"/>
      <c r="Z115" s="497"/>
      <c r="AA115" s="498"/>
      <c r="AB115" s="72">
        <v>2</v>
      </c>
      <c r="AC115" s="634">
        <f>SUM(AI8:AI109)</f>
        <v>31</v>
      </c>
      <c r="AD115" s="497"/>
      <c r="AE115" s="497"/>
      <c r="AF115" s="498"/>
      <c r="AG115" s="71">
        <v>3</v>
      </c>
      <c r="AH115" s="500">
        <f>SUM(AJ8:AJ109)</f>
        <v>31</v>
      </c>
      <c r="AI115" s="497"/>
      <c r="AJ115" s="497"/>
      <c r="AK115" s="498"/>
      <c r="AL115" s="64">
        <v>3</v>
      </c>
      <c r="AM115" s="634">
        <f>SUM(AS8:AS109)</f>
        <v>31</v>
      </c>
      <c r="AN115" s="497"/>
      <c r="AO115" s="497"/>
      <c r="AP115" s="498"/>
      <c r="AQ115" s="71">
        <v>4</v>
      </c>
      <c r="AR115" s="500">
        <f>SUM(AT8:AT109)</f>
        <v>31</v>
      </c>
      <c r="AS115" s="497"/>
      <c r="AT115" s="497"/>
      <c r="AU115" s="498"/>
      <c r="AV115" s="64">
        <v>4</v>
      </c>
      <c r="AW115" s="634">
        <f>SUM(BC8:BC109)</f>
        <v>35</v>
      </c>
      <c r="AX115" s="497"/>
      <c r="AY115" s="497"/>
      <c r="AZ115" s="498"/>
      <c r="BA115" s="71">
        <v>5</v>
      </c>
      <c r="BB115" s="500">
        <f>SUM(BD8:BD109)</f>
        <v>35</v>
      </c>
      <c r="BC115" s="497"/>
      <c r="BD115" s="497"/>
      <c r="BE115" s="498"/>
      <c r="BF115" s="72">
        <v>5</v>
      </c>
      <c r="BG115" s="634">
        <f>SUM(BM8:BM109)</f>
        <v>35</v>
      </c>
      <c r="BH115" s="497"/>
      <c r="BI115" s="497"/>
      <c r="BJ115" s="498"/>
      <c r="BK115" s="71">
        <v>6</v>
      </c>
      <c r="BL115" s="500">
        <f>SUM(BN8:BN109)</f>
        <v>35</v>
      </c>
      <c r="BM115" s="497"/>
      <c r="BN115" s="497"/>
      <c r="BO115" s="498"/>
      <c r="BP115" s="72">
        <v>6</v>
      </c>
      <c r="BQ115" s="634">
        <f>SUM(BW8:BW109)</f>
        <v>34</v>
      </c>
      <c r="BR115" s="497"/>
      <c r="BS115" s="497"/>
      <c r="BT115" s="498"/>
      <c r="BU115" s="71">
        <v>7</v>
      </c>
      <c r="BV115" s="500">
        <f>SUM(BX8:BX109)</f>
        <v>34</v>
      </c>
      <c r="BW115" s="497"/>
      <c r="BX115" s="497"/>
      <c r="BY115" s="498"/>
      <c r="BZ115" s="72">
        <v>7</v>
      </c>
      <c r="CA115" s="634">
        <f>SUM(CG8:CG109)</f>
        <v>0</v>
      </c>
      <c r="CB115" s="497"/>
      <c r="CC115" s="497"/>
      <c r="CD115" s="498"/>
      <c r="CE115" s="71">
        <v>8</v>
      </c>
      <c r="CF115" s="500">
        <f>SUM(CH8:CH109)</f>
        <v>0</v>
      </c>
      <c r="CG115" s="497"/>
      <c r="CH115" s="497"/>
      <c r="CI115" s="498"/>
      <c r="CJ115" s="64">
        <v>8</v>
      </c>
      <c r="CK115" s="634">
        <f>SUM(CQ8:CQ109)</f>
        <v>30</v>
      </c>
      <c r="CL115" s="497"/>
      <c r="CM115" s="497"/>
      <c r="CN115" s="498"/>
      <c r="CO115" s="71">
        <v>9</v>
      </c>
      <c r="CP115" s="500">
        <f>SUM(CR8:CR109)</f>
        <v>30</v>
      </c>
      <c r="CQ115" s="497"/>
      <c r="CR115" s="497"/>
      <c r="CS115" s="498"/>
      <c r="CT115" s="72">
        <v>9</v>
      </c>
      <c r="CU115" s="634">
        <f>SUM(DA8:DA109)</f>
        <v>36</v>
      </c>
      <c r="CV115" s="497"/>
      <c r="CW115" s="497"/>
      <c r="CX115" s="498"/>
      <c r="CY115" s="73">
        <v>10</v>
      </c>
      <c r="CZ115" s="500">
        <f>SUM(DB8:DB109)</f>
        <v>36</v>
      </c>
      <c r="DA115" s="497"/>
      <c r="DB115" s="497"/>
      <c r="DC115" s="498"/>
      <c r="DD115" s="74">
        <v>10</v>
      </c>
      <c r="DE115" s="634">
        <f>SUM(DK8:DK109)</f>
        <v>37</v>
      </c>
      <c r="DF115" s="497"/>
      <c r="DG115" s="497"/>
      <c r="DH115" s="498"/>
      <c r="DI115" s="75">
        <v>11</v>
      </c>
      <c r="DJ115" s="500">
        <f>SUM(DL8:DL109)</f>
        <v>37</v>
      </c>
      <c r="DK115" s="497"/>
      <c r="DL115" s="497"/>
      <c r="DM115" s="498"/>
      <c r="DN115" s="74">
        <v>11</v>
      </c>
      <c r="DO115" s="634">
        <f>SUM(DU8:DU109)</f>
        <v>37</v>
      </c>
      <c r="DP115" s="497"/>
      <c r="DQ115" s="497"/>
      <c r="DR115" s="498"/>
      <c r="DS115" s="75">
        <v>12</v>
      </c>
      <c r="DT115" s="500">
        <f>SUM(DV8:DV109)</f>
        <v>37</v>
      </c>
      <c r="DU115" s="497"/>
      <c r="DV115" s="497"/>
      <c r="DW115" s="498"/>
      <c r="DX115" s="74">
        <v>12</v>
      </c>
      <c r="DY115" s="634">
        <f>SUM(EE8:EE109)</f>
        <v>36</v>
      </c>
      <c r="DZ115" s="497"/>
      <c r="EA115" s="497"/>
      <c r="EB115" s="498"/>
      <c r="EC115" s="75">
        <v>13</v>
      </c>
      <c r="ED115" s="500">
        <f>SUM(EF8:EF109)</f>
        <v>36</v>
      </c>
      <c r="EE115" s="497"/>
      <c r="EF115" s="497"/>
      <c r="EG115" s="498"/>
      <c r="EH115" s="74">
        <v>13</v>
      </c>
      <c r="EI115" s="634">
        <f>SUM(EO8:EO109)</f>
        <v>37</v>
      </c>
      <c r="EJ115" s="497"/>
      <c r="EK115" s="497"/>
      <c r="EL115" s="498"/>
      <c r="EM115" s="75">
        <v>14</v>
      </c>
      <c r="EN115" s="500">
        <f>SUM(EP8:EP109)</f>
        <v>37</v>
      </c>
      <c r="EO115" s="497"/>
      <c r="EP115" s="497"/>
      <c r="EQ115" s="498"/>
      <c r="ER115" s="74">
        <v>14</v>
      </c>
      <c r="ES115" s="665">
        <f>SUM(I7:R7)</f>
        <v>10</v>
      </c>
      <c r="ET115" s="662">
        <f>SUM(S7:AB7)</f>
        <v>10</v>
      </c>
      <c r="EU115" s="662">
        <f>SUM(AC7:AL7)</f>
        <v>8</v>
      </c>
      <c r="EV115" s="662">
        <f>SUM(AM7:AV7)</f>
        <v>10</v>
      </c>
      <c r="EW115" s="662">
        <f>SUM(AW7:BF7)</f>
        <v>10</v>
      </c>
      <c r="EX115" s="662">
        <f>SUM(BG7:BP7)</f>
        <v>10</v>
      </c>
      <c r="EY115" s="662">
        <f>SUM(BQ7:BZ7)</f>
        <v>10</v>
      </c>
      <c r="EZ115" s="662">
        <f>SUM(CA7:CJ7)</f>
        <v>0</v>
      </c>
      <c r="FA115" s="662">
        <f>SUM(CK7:CT7)</f>
        <v>10</v>
      </c>
      <c r="FB115" s="662">
        <f>SUM(CU7:DD7)</f>
        <v>10</v>
      </c>
      <c r="FC115" s="662">
        <f>SUM(DE7:DN7)</f>
        <v>10</v>
      </c>
      <c r="FD115" s="662">
        <f>SUM(DO7:DX7)</f>
        <v>10</v>
      </c>
      <c r="FE115" s="662">
        <f>SUM(DY7:EH7)</f>
        <v>10</v>
      </c>
      <c r="FF115" s="662">
        <f>SUM(EI7:ER7)</f>
        <v>10</v>
      </c>
      <c r="FG115" s="673" t="s">
        <v>38</v>
      </c>
      <c r="FH115" s="637" t="s">
        <v>39</v>
      </c>
      <c r="FI115" s="638"/>
      <c r="FJ115" s="638"/>
      <c r="FK115" s="40"/>
    </row>
    <row r="116" spans="1:167" ht="15.75" customHeight="1" thickBot="1">
      <c r="A116" s="2"/>
      <c r="B116" s="549"/>
      <c r="C116" s="450"/>
      <c r="D116" s="550"/>
      <c r="E116" s="449"/>
      <c r="F116" s="449"/>
      <c r="G116" s="450"/>
      <c r="H116" s="84" t="s">
        <v>40</v>
      </c>
      <c r="I116" s="641">
        <f>SUM(Q8:Q109)</f>
        <v>21</v>
      </c>
      <c r="J116" s="508"/>
      <c r="K116" s="508"/>
      <c r="L116" s="509"/>
      <c r="M116" s="71">
        <v>1</v>
      </c>
      <c r="N116" s="507">
        <f>SUM(R8:R109)</f>
        <v>21</v>
      </c>
      <c r="O116" s="508"/>
      <c r="P116" s="508"/>
      <c r="Q116" s="509"/>
      <c r="R116" s="72">
        <v>1</v>
      </c>
      <c r="S116" s="634">
        <f>SUM(AA8:AA109)</f>
        <v>30</v>
      </c>
      <c r="T116" s="497"/>
      <c r="U116" s="497"/>
      <c r="V116" s="498"/>
      <c r="W116" s="71">
        <v>2</v>
      </c>
      <c r="X116" s="500">
        <f>SUM(AB8:AB109)</f>
        <v>30</v>
      </c>
      <c r="Y116" s="497"/>
      <c r="Z116" s="497"/>
      <c r="AA116" s="498"/>
      <c r="AB116" s="72">
        <v>2</v>
      </c>
      <c r="AC116" s="642">
        <f>SUM(AK8:AK109)</f>
        <v>32</v>
      </c>
      <c r="AD116" s="643"/>
      <c r="AE116" s="643"/>
      <c r="AF116" s="644"/>
      <c r="AG116" s="67">
        <v>3</v>
      </c>
      <c r="AH116" s="645">
        <f>SUM(AL8:AL109)</f>
        <v>32</v>
      </c>
      <c r="AI116" s="643"/>
      <c r="AJ116" s="643"/>
      <c r="AK116" s="644"/>
      <c r="AL116" s="76">
        <v>3</v>
      </c>
      <c r="AM116" s="634">
        <f>SUM(AU8:AU109)</f>
        <v>30</v>
      </c>
      <c r="AN116" s="497"/>
      <c r="AO116" s="497"/>
      <c r="AP116" s="498"/>
      <c r="AQ116" s="71">
        <v>4</v>
      </c>
      <c r="AR116" s="500">
        <f>SUM(AV8:AV109)</f>
        <v>30</v>
      </c>
      <c r="AS116" s="497"/>
      <c r="AT116" s="497"/>
      <c r="AU116" s="498"/>
      <c r="AV116" s="64">
        <v>4</v>
      </c>
      <c r="AW116" s="634">
        <f>SUM(BE8:BE109)</f>
        <v>34</v>
      </c>
      <c r="AX116" s="497"/>
      <c r="AY116" s="497"/>
      <c r="AZ116" s="498"/>
      <c r="BA116" s="71">
        <v>5</v>
      </c>
      <c r="BB116" s="500">
        <f>SUM(BF8:BF109)</f>
        <v>34</v>
      </c>
      <c r="BC116" s="497"/>
      <c r="BD116" s="497"/>
      <c r="BE116" s="498"/>
      <c r="BF116" s="72">
        <v>5</v>
      </c>
      <c r="BG116" s="634">
        <f>SUM(BO8:BO109)</f>
        <v>37</v>
      </c>
      <c r="BH116" s="497"/>
      <c r="BI116" s="497"/>
      <c r="BJ116" s="498"/>
      <c r="BK116" s="71">
        <v>6</v>
      </c>
      <c r="BL116" s="500">
        <f>SUM(BP8:BP109)</f>
        <v>37</v>
      </c>
      <c r="BM116" s="497"/>
      <c r="BN116" s="497"/>
      <c r="BO116" s="498"/>
      <c r="BP116" s="72">
        <v>6</v>
      </c>
      <c r="BQ116" s="634">
        <f>SUM(BY8:BY109)</f>
        <v>35</v>
      </c>
      <c r="BR116" s="497"/>
      <c r="BS116" s="497"/>
      <c r="BT116" s="498"/>
      <c r="BU116" s="71">
        <v>7</v>
      </c>
      <c r="BV116" s="500">
        <f>SUM(BZ8:BZ109)</f>
        <v>35</v>
      </c>
      <c r="BW116" s="497"/>
      <c r="BX116" s="497"/>
      <c r="BY116" s="498"/>
      <c r="BZ116" s="72">
        <v>7</v>
      </c>
      <c r="CA116" s="634">
        <f>SUM(CI8:CI109)</f>
        <v>0</v>
      </c>
      <c r="CB116" s="497"/>
      <c r="CC116" s="497"/>
      <c r="CD116" s="498"/>
      <c r="CE116" s="71">
        <v>8</v>
      </c>
      <c r="CF116" s="500">
        <f>SUM(CJ8:CJ109)</f>
        <v>0</v>
      </c>
      <c r="CG116" s="497"/>
      <c r="CH116" s="497"/>
      <c r="CI116" s="498"/>
      <c r="CJ116" s="64">
        <v>8</v>
      </c>
      <c r="CK116" s="634">
        <f>SUM(CS8:CS109)</f>
        <v>34</v>
      </c>
      <c r="CL116" s="497"/>
      <c r="CM116" s="497"/>
      <c r="CN116" s="498"/>
      <c r="CO116" s="71">
        <v>9</v>
      </c>
      <c r="CP116" s="500">
        <f>SUM(CT8:CT109)</f>
        <v>34</v>
      </c>
      <c r="CQ116" s="497"/>
      <c r="CR116" s="497"/>
      <c r="CS116" s="498"/>
      <c r="CT116" s="72">
        <v>9</v>
      </c>
      <c r="CU116" s="634">
        <f>SUM(DC8:DC109)</f>
        <v>36</v>
      </c>
      <c r="CV116" s="497"/>
      <c r="CW116" s="497"/>
      <c r="CX116" s="498"/>
      <c r="CY116" s="73">
        <v>10</v>
      </c>
      <c r="CZ116" s="500">
        <f>SUM(DD8:DD109)</f>
        <v>36</v>
      </c>
      <c r="DA116" s="497"/>
      <c r="DB116" s="497"/>
      <c r="DC116" s="498"/>
      <c r="DD116" s="74">
        <v>10</v>
      </c>
      <c r="DE116" s="634">
        <f>SUM(DM8:DM109)</f>
        <v>36</v>
      </c>
      <c r="DF116" s="497"/>
      <c r="DG116" s="497"/>
      <c r="DH116" s="498"/>
      <c r="DI116" s="75">
        <v>11</v>
      </c>
      <c r="DJ116" s="500">
        <f>SUM(DN8:DN109)</f>
        <v>36</v>
      </c>
      <c r="DK116" s="497"/>
      <c r="DL116" s="497"/>
      <c r="DM116" s="498"/>
      <c r="DN116" s="74">
        <v>11</v>
      </c>
      <c r="DO116" s="634">
        <f>SUM(DW8:DW109)</f>
        <v>37</v>
      </c>
      <c r="DP116" s="497"/>
      <c r="DQ116" s="497"/>
      <c r="DR116" s="498"/>
      <c r="DS116" s="75">
        <v>12</v>
      </c>
      <c r="DT116" s="500">
        <f>SUM(DX8:DX109)</f>
        <v>37</v>
      </c>
      <c r="DU116" s="497"/>
      <c r="DV116" s="497"/>
      <c r="DW116" s="498"/>
      <c r="DX116" s="74">
        <v>12</v>
      </c>
      <c r="DY116" s="634">
        <f>SUM(EG8:EG109)</f>
        <v>37</v>
      </c>
      <c r="DZ116" s="497"/>
      <c r="EA116" s="497"/>
      <c r="EB116" s="498"/>
      <c r="EC116" s="75">
        <v>13</v>
      </c>
      <c r="ED116" s="500">
        <f>SUM(EH8:EH109)</f>
        <v>37</v>
      </c>
      <c r="EE116" s="497"/>
      <c r="EF116" s="497"/>
      <c r="EG116" s="498"/>
      <c r="EH116" s="74">
        <v>13</v>
      </c>
      <c r="EI116" s="634">
        <f>SUM(EQ8:EQ109)</f>
        <v>37</v>
      </c>
      <c r="EJ116" s="497"/>
      <c r="EK116" s="497"/>
      <c r="EL116" s="498"/>
      <c r="EM116" s="75">
        <v>14</v>
      </c>
      <c r="EN116" s="500">
        <f>SUM(ER8:ER109)</f>
        <v>37</v>
      </c>
      <c r="EO116" s="497"/>
      <c r="EP116" s="497"/>
      <c r="EQ116" s="498"/>
      <c r="ER116" s="74">
        <v>14</v>
      </c>
      <c r="ES116" s="666"/>
      <c r="ET116" s="663"/>
      <c r="EU116" s="663"/>
      <c r="EV116" s="663"/>
      <c r="EW116" s="663"/>
      <c r="EX116" s="663"/>
      <c r="EY116" s="663"/>
      <c r="EZ116" s="663"/>
      <c r="FA116" s="663"/>
      <c r="FB116" s="663"/>
      <c r="FC116" s="663"/>
      <c r="FD116" s="663"/>
      <c r="FE116" s="663"/>
      <c r="FF116" s="663"/>
      <c r="FG116" s="663"/>
      <c r="FH116" s="646">
        <f>SUM(ES111:FF114)/SUM(ES115:FF117)</f>
        <v>34.125</v>
      </c>
      <c r="FI116" s="647"/>
      <c r="FJ116" s="647"/>
      <c r="FK116" s="42"/>
    </row>
    <row r="117" spans="1:167" ht="15.75" customHeight="1" thickBot="1">
      <c r="A117" s="2"/>
      <c r="B117" s="546"/>
      <c r="C117" s="457"/>
      <c r="D117" s="546"/>
      <c r="E117" s="456"/>
      <c r="F117" s="456"/>
      <c r="G117" s="457"/>
      <c r="H117" s="81" t="s">
        <v>41</v>
      </c>
      <c r="I117" s="62" t="s">
        <v>27</v>
      </c>
      <c r="J117" s="512">
        <f>SUM(I112:L116)</f>
        <v>97</v>
      </c>
      <c r="K117" s="497"/>
      <c r="L117" s="498"/>
      <c r="M117" s="63"/>
      <c r="N117" s="64" t="s">
        <v>42</v>
      </c>
      <c r="O117" s="512">
        <f>SUM(N112:Q116)</f>
        <v>97</v>
      </c>
      <c r="P117" s="497"/>
      <c r="Q117" s="498"/>
      <c r="R117" s="65"/>
      <c r="S117" s="66" t="s">
        <v>32</v>
      </c>
      <c r="T117" s="645">
        <f>SUM(S112:V116)</f>
        <v>147</v>
      </c>
      <c r="U117" s="643"/>
      <c r="V117" s="644"/>
      <c r="W117" s="67"/>
      <c r="X117" s="67" t="s">
        <v>42</v>
      </c>
      <c r="Y117" s="645">
        <f>SUM(X112:AA116)</f>
        <v>147</v>
      </c>
      <c r="Z117" s="643"/>
      <c r="AA117" s="644"/>
      <c r="AB117" s="77"/>
      <c r="AC117" s="68" t="s">
        <v>32</v>
      </c>
      <c r="AD117" s="518">
        <f>SUM(AC112:AF116)</f>
        <v>124</v>
      </c>
      <c r="AE117" s="519"/>
      <c r="AF117" s="517"/>
      <c r="AG117" s="69"/>
      <c r="AH117" s="69" t="s">
        <v>42</v>
      </c>
      <c r="AI117" s="518">
        <f>SUM(AH112:AK116)</f>
        <v>124</v>
      </c>
      <c r="AJ117" s="519"/>
      <c r="AK117" s="517"/>
      <c r="AL117" s="78"/>
      <c r="AM117" s="642" t="s">
        <v>32</v>
      </c>
      <c r="AN117" s="644"/>
      <c r="AO117" s="645">
        <f>SUM(AM112:AP116)</f>
        <v>153</v>
      </c>
      <c r="AP117" s="643"/>
      <c r="AQ117" s="644"/>
      <c r="AR117" s="67" t="s">
        <v>42</v>
      </c>
      <c r="AS117" s="645">
        <f>SUM(AR112:AU116)</f>
        <v>153</v>
      </c>
      <c r="AT117" s="643"/>
      <c r="AU117" s="644"/>
      <c r="AV117" s="76"/>
      <c r="AW117" s="70" t="s">
        <v>32</v>
      </c>
      <c r="AX117" s="500">
        <f>SUM(AW112:AZ116)</f>
        <v>175</v>
      </c>
      <c r="AY117" s="497"/>
      <c r="AZ117" s="498"/>
      <c r="BA117" s="71"/>
      <c r="BB117" s="71" t="s">
        <v>42</v>
      </c>
      <c r="BC117" s="500">
        <f>SUM(BB112:BE116)</f>
        <v>175</v>
      </c>
      <c r="BD117" s="497"/>
      <c r="BE117" s="498"/>
      <c r="BF117" s="72"/>
      <c r="BG117" s="70" t="s">
        <v>32</v>
      </c>
      <c r="BH117" s="500">
        <f>SUM(BG112:BJ116)</f>
        <v>168</v>
      </c>
      <c r="BI117" s="497"/>
      <c r="BJ117" s="498"/>
      <c r="BK117" s="71"/>
      <c r="BL117" s="71" t="s">
        <v>42</v>
      </c>
      <c r="BM117" s="500">
        <f>SUM(BL112:BO116)</f>
        <v>168</v>
      </c>
      <c r="BN117" s="497"/>
      <c r="BO117" s="498"/>
      <c r="BP117" s="72"/>
      <c r="BQ117" s="70" t="s">
        <v>32</v>
      </c>
      <c r="BR117" s="500">
        <f>SUM(BQ112:BT116)</f>
        <v>176</v>
      </c>
      <c r="BS117" s="497"/>
      <c r="BT117" s="498"/>
      <c r="BU117" s="71"/>
      <c r="BV117" s="71" t="s">
        <v>42</v>
      </c>
      <c r="BW117" s="500">
        <f>SUM(BV112:BY116)</f>
        <v>176</v>
      </c>
      <c r="BX117" s="497"/>
      <c r="BY117" s="498"/>
      <c r="BZ117" s="72"/>
      <c r="CA117" s="70" t="s">
        <v>32</v>
      </c>
      <c r="CB117" s="500">
        <f>SUM(CA112:CD116)</f>
        <v>0</v>
      </c>
      <c r="CC117" s="497"/>
      <c r="CD117" s="498"/>
      <c r="CE117" s="71"/>
      <c r="CF117" s="71" t="s">
        <v>42</v>
      </c>
      <c r="CG117" s="500">
        <f>SUM(CF112:CI116)</f>
        <v>0</v>
      </c>
      <c r="CH117" s="497"/>
      <c r="CI117" s="498"/>
      <c r="CJ117" s="64"/>
      <c r="CK117" s="70" t="s">
        <v>32</v>
      </c>
      <c r="CL117" s="500">
        <f>SUM(CK112:CN116)</f>
        <v>160</v>
      </c>
      <c r="CM117" s="497"/>
      <c r="CN117" s="498"/>
      <c r="CO117" s="71"/>
      <c r="CP117" s="71" t="s">
        <v>42</v>
      </c>
      <c r="CQ117" s="500">
        <f>SUM(CP112:CS116)</f>
        <v>160</v>
      </c>
      <c r="CR117" s="497"/>
      <c r="CS117" s="498"/>
      <c r="CT117" s="72"/>
      <c r="CU117" s="70" t="s">
        <v>32</v>
      </c>
      <c r="CV117" s="500">
        <f>SUM(CU112:CX116)</f>
        <v>170</v>
      </c>
      <c r="CW117" s="497"/>
      <c r="CX117" s="498"/>
      <c r="CY117" s="71"/>
      <c r="CZ117" s="71" t="s">
        <v>42</v>
      </c>
      <c r="DA117" s="500">
        <f>SUM(CZ112:DC116)</f>
        <v>170</v>
      </c>
      <c r="DB117" s="497"/>
      <c r="DC117" s="498"/>
      <c r="DD117" s="72"/>
      <c r="DE117" s="70" t="s">
        <v>32</v>
      </c>
      <c r="DF117" s="500">
        <f>SUM(DE112:DH116)</f>
        <v>183</v>
      </c>
      <c r="DG117" s="497"/>
      <c r="DH117" s="498"/>
      <c r="DI117" s="71"/>
      <c r="DJ117" s="71" t="s">
        <v>42</v>
      </c>
      <c r="DK117" s="500">
        <f>SUM(DJ112:DM116)</f>
        <v>183</v>
      </c>
      <c r="DL117" s="497"/>
      <c r="DM117" s="498"/>
      <c r="DN117" s="72"/>
      <c r="DO117" s="70" t="s">
        <v>32</v>
      </c>
      <c r="DP117" s="500">
        <f>SUM(DO112:DR116)</f>
        <v>184</v>
      </c>
      <c r="DQ117" s="497"/>
      <c r="DR117" s="498"/>
      <c r="DS117" s="71"/>
      <c r="DT117" s="71" t="s">
        <v>42</v>
      </c>
      <c r="DU117" s="500">
        <f>SUM(DT112:DW116)</f>
        <v>184</v>
      </c>
      <c r="DV117" s="497"/>
      <c r="DW117" s="498"/>
      <c r="DX117" s="72"/>
      <c r="DY117" s="70" t="s">
        <v>32</v>
      </c>
      <c r="DZ117" s="500">
        <f>SUM(DY112:EB116)</f>
        <v>182</v>
      </c>
      <c r="EA117" s="497"/>
      <c r="EB117" s="498"/>
      <c r="EC117" s="71"/>
      <c r="ED117" s="71" t="s">
        <v>42</v>
      </c>
      <c r="EE117" s="500">
        <f>SUM(ED112:EG116)</f>
        <v>182</v>
      </c>
      <c r="EF117" s="497"/>
      <c r="EG117" s="498"/>
      <c r="EH117" s="72"/>
      <c r="EI117" s="70" t="s">
        <v>32</v>
      </c>
      <c r="EJ117" s="500">
        <f>SUM(EI112:EL116)</f>
        <v>185</v>
      </c>
      <c r="EK117" s="497"/>
      <c r="EL117" s="498"/>
      <c r="EM117" s="71"/>
      <c r="EN117" s="71" t="s">
        <v>42</v>
      </c>
      <c r="EO117" s="500">
        <f>SUM(EN112:EQ116)</f>
        <v>185</v>
      </c>
      <c r="EP117" s="497"/>
      <c r="EQ117" s="498"/>
      <c r="ER117" s="72"/>
      <c r="ES117" s="667"/>
      <c r="ET117" s="664"/>
      <c r="EU117" s="664"/>
      <c r="EV117" s="664"/>
      <c r="EW117" s="664"/>
      <c r="EX117" s="664"/>
      <c r="EY117" s="664"/>
      <c r="EZ117" s="664"/>
      <c r="FA117" s="664"/>
      <c r="FB117" s="664"/>
      <c r="FC117" s="664"/>
      <c r="FD117" s="664"/>
      <c r="FE117" s="664"/>
      <c r="FF117" s="664"/>
      <c r="FG117" s="664"/>
      <c r="FH117" s="648" t="s">
        <v>43</v>
      </c>
      <c r="FI117" s="649"/>
      <c r="FJ117" s="649"/>
      <c r="FK117" s="650"/>
    </row>
    <row r="118" spans="1:167" ht="18" customHeight="1">
      <c r="A118" s="2"/>
      <c r="B118" s="549"/>
      <c r="C118" s="450"/>
      <c r="D118" s="550"/>
      <c r="E118" s="449"/>
      <c r="F118" s="449"/>
      <c r="G118" s="450"/>
      <c r="H118" s="82" t="s">
        <v>44</v>
      </c>
      <c r="I118" s="651">
        <f>SUM(B8:B56)</f>
        <v>28</v>
      </c>
      <c r="J118" s="517"/>
      <c r="K118" s="518" t="s">
        <v>45</v>
      </c>
      <c r="L118" s="519"/>
      <c r="M118" s="517"/>
      <c r="N118" s="520">
        <f>SUM(B60:B109)</f>
        <v>12</v>
      </c>
      <c r="O118" s="517"/>
      <c r="P118" s="518" t="s">
        <v>46</v>
      </c>
      <c r="Q118" s="519"/>
      <c r="R118" s="652"/>
      <c r="S118" s="79">
        <f>SUM(B8:B57)</f>
        <v>28</v>
      </c>
      <c r="T118" s="518" t="s">
        <v>45</v>
      </c>
      <c r="U118" s="519"/>
      <c r="V118" s="517"/>
      <c r="W118" s="653">
        <f>SUM(B60:B109)</f>
        <v>12</v>
      </c>
      <c r="X118" s="517"/>
      <c r="Y118" s="518" t="s">
        <v>46</v>
      </c>
      <c r="Z118" s="519"/>
      <c r="AA118" s="517"/>
      <c r="AB118" s="653">
        <f>SUM(B8:B57)</f>
        <v>28</v>
      </c>
      <c r="AC118" s="498"/>
      <c r="AD118" s="500" t="s">
        <v>45</v>
      </c>
      <c r="AE118" s="497"/>
      <c r="AF118" s="498"/>
      <c r="AG118" s="521">
        <f>SUM(B60:B109)</f>
        <v>12</v>
      </c>
      <c r="AH118" s="498"/>
      <c r="AI118" s="500" t="s">
        <v>46</v>
      </c>
      <c r="AJ118" s="497"/>
      <c r="AK118" s="498"/>
      <c r="AL118" s="71"/>
      <c r="AM118" s="653">
        <f>SUM(B8:B57)</f>
        <v>28</v>
      </c>
      <c r="AN118" s="517"/>
      <c r="AO118" s="518" t="s">
        <v>45</v>
      </c>
      <c r="AP118" s="519"/>
      <c r="AQ118" s="517"/>
      <c r="AR118" s="653">
        <f>SUM(B60:B109)</f>
        <v>12</v>
      </c>
      <c r="AS118" s="517"/>
      <c r="AT118" s="518" t="s">
        <v>46</v>
      </c>
      <c r="AU118" s="519"/>
      <c r="AV118" s="519"/>
      <c r="AW118" s="654">
        <f>BG118</f>
        <v>28</v>
      </c>
      <c r="AX118" s="498"/>
      <c r="AY118" s="500" t="s">
        <v>45</v>
      </c>
      <c r="AZ118" s="497"/>
      <c r="BA118" s="498"/>
      <c r="BB118" s="521">
        <f>SUM(B60:B109)</f>
        <v>12</v>
      </c>
      <c r="BC118" s="498"/>
      <c r="BD118" s="500" t="s">
        <v>46</v>
      </c>
      <c r="BE118" s="497"/>
      <c r="BF118" s="655"/>
      <c r="BG118" s="654">
        <f>SUM(B8:B57)</f>
        <v>28</v>
      </c>
      <c r="BH118" s="498"/>
      <c r="BI118" s="500" t="s">
        <v>45</v>
      </c>
      <c r="BJ118" s="497"/>
      <c r="BK118" s="498"/>
      <c r="BL118" s="521">
        <f>SUM(B60:B109)</f>
        <v>12</v>
      </c>
      <c r="BM118" s="498"/>
      <c r="BN118" s="500" t="s">
        <v>46</v>
      </c>
      <c r="BO118" s="497"/>
      <c r="BP118" s="655"/>
      <c r="BQ118" s="654">
        <f>SUM(B8:B57)</f>
        <v>28</v>
      </c>
      <c r="BR118" s="498"/>
      <c r="BS118" s="500" t="s">
        <v>45</v>
      </c>
      <c r="BT118" s="497"/>
      <c r="BU118" s="498"/>
      <c r="BV118" s="80">
        <f>SUM(B60:B109)</f>
        <v>12</v>
      </c>
      <c r="BW118" s="500" t="s">
        <v>46</v>
      </c>
      <c r="BX118" s="497"/>
      <c r="BY118" s="498"/>
      <c r="BZ118" s="72"/>
      <c r="CA118" s="654">
        <f>SUM(B8:B57)</f>
        <v>28</v>
      </c>
      <c r="CB118" s="498"/>
      <c r="CC118" s="500" t="s">
        <v>45</v>
      </c>
      <c r="CD118" s="497"/>
      <c r="CE118" s="498"/>
      <c r="CF118" s="521">
        <f>SUM(B60:B109)</f>
        <v>12</v>
      </c>
      <c r="CG118" s="498"/>
      <c r="CH118" s="500" t="s">
        <v>46</v>
      </c>
      <c r="CI118" s="497"/>
      <c r="CJ118" s="497"/>
      <c r="CK118" s="654">
        <f>SUM(B8:B57)</f>
        <v>28</v>
      </c>
      <c r="CL118" s="498"/>
      <c r="CM118" s="500" t="s">
        <v>45</v>
      </c>
      <c r="CN118" s="498"/>
      <c r="CO118" s="71"/>
      <c r="CP118" s="521">
        <f>SUM(B60:B109)</f>
        <v>12</v>
      </c>
      <c r="CQ118" s="498"/>
      <c r="CR118" s="500" t="s">
        <v>46</v>
      </c>
      <c r="CS118" s="497"/>
      <c r="CT118" s="655"/>
      <c r="CU118" s="654">
        <f>SUM(B8:B57)</f>
        <v>28</v>
      </c>
      <c r="CV118" s="498"/>
      <c r="CW118" s="500" t="s">
        <v>45</v>
      </c>
      <c r="CX118" s="497"/>
      <c r="CY118" s="498"/>
      <c r="CZ118" s="521">
        <f>SUM(B60:B109)</f>
        <v>12</v>
      </c>
      <c r="DA118" s="498"/>
      <c r="DB118" s="500" t="s">
        <v>46</v>
      </c>
      <c r="DC118" s="497"/>
      <c r="DD118" s="655"/>
      <c r="DE118" s="654">
        <f>SUM(B8:B57)</f>
        <v>28</v>
      </c>
      <c r="DF118" s="498"/>
      <c r="DG118" s="500" t="s">
        <v>45</v>
      </c>
      <c r="DH118" s="497"/>
      <c r="DI118" s="498"/>
      <c r="DJ118" s="521">
        <f>SUM(B60:B109)</f>
        <v>12</v>
      </c>
      <c r="DK118" s="498"/>
      <c r="DL118" s="500" t="s">
        <v>46</v>
      </c>
      <c r="DM118" s="497"/>
      <c r="DN118" s="655"/>
      <c r="DO118" s="654">
        <f>SUM(B8:B57)</f>
        <v>28</v>
      </c>
      <c r="DP118" s="498"/>
      <c r="DQ118" s="500" t="s">
        <v>45</v>
      </c>
      <c r="DR118" s="497"/>
      <c r="DS118" s="498"/>
      <c r="DT118" s="521">
        <f>SUM(B60:B109)</f>
        <v>12</v>
      </c>
      <c r="DU118" s="498"/>
      <c r="DV118" s="500" t="s">
        <v>46</v>
      </c>
      <c r="DW118" s="497"/>
      <c r="DX118" s="655"/>
      <c r="DY118" s="654">
        <f>SUM(B8:B57)</f>
        <v>28</v>
      </c>
      <c r="DZ118" s="498"/>
      <c r="EA118" s="500" t="s">
        <v>45</v>
      </c>
      <c r="EB118" s="497"/>
      <c r="EC118" s="498"/>
      <c r="ED118" s="521">
        <f>SUM(B60:B109)</f>
        <v>12</v>
      </c>
      <c r="EE118" s="498"/>
      <c r="EF118" s="500" t="s">
        <v>46</v>
      </c>
      <c r="EG118" s="497"/>
      <c r="EH118" s="655"/>
      <c r="EI118" s="654">
        <f>SUM(B8:B57)</f>
        <v>28</v>
      </c>
      <c r="EJ118" s="498"/>
      <c r="EK118" s="500" t="s">
        <v>45</v>
      </c>
      <c r="EL118" s="497"/>
      <c r="EM118" s="498"/>
      <c r="EN118" s="521">
        <f>SUM(B60:B109)</f>
        <v>12</v>
      </c>
      <c r="EO118" s="498"/>
      <c r="EP118" s="500" t="s">
        <v>46</v>
      </c>
      <c r="EQ118" s="497"/>
      <c r="ER118" s="655"/>
      <c r="ES118" s="48">
        <f>ROW(ET5)</f>
        <v>5</v>
      </c>
      <c r="ET118" s="49">
        <v>2</v>
      </c>
      <c r="EU118" s="49">
        <v>3</v>
      </c>
      <c r="EV118" s="49">
        <v>4</v>
      </c>
      <c r="EW118" s="49">
        <v>5</v>
      </c>
      <c r="EX118" s="49">
        <v>6</v>
      </c>
      <c r="EY118" s="49">
        <v>7</v>
      </c>
      <c r="EZ118" s="49">
        <v>8</v>
      </c>
      <c r="FA118" s="49">
        <v>9</v>
      </c>
      <c r="FB118" s="49">
        <v>10</v>
      </c>
      <c r="FC118" s="49">
        <v>11</v>
      </c>
      <c r="FD118" s="49">
        <v>12</v>
      </c>
      <c r="FE118" s="49">
        <v>13</v>
      </c>
      <c r="FF118" s="49">
        <v>14</v>
      </c>
      <c r="FG118" s="50"/>
      <c r="FH118" s="43" t="s">
        <v>45</v>
      </c>
      <c r="FI118" s="656" t="s">
        <v>46</v>
      </c>
      <c r="FJ118" s="638"/>
      <c r="FK118" s="668"/>
    </row>
    <row r="119" spans="1:167" ht="18.75" customHeight="1" thickBot="1">
      <c r="A119" s="8"/>
      <c r="B119" s="546"/>
      <c r="C119" s="457"/>
      <c r="D119" s="546"/>
      <c r="E119" s="456"/>
      <c r="F119" s="456"/>
      <c r="G119" s="457"/>
      <c r="H119" s="85" t="s">
        <v>47</v>
      </c>
      <c r="I119" s="657">
        <f>((J117*2)/((I118+N118)*10))</f>
        <v>0.48499999999999999</v>
      </c>
      <c r="J119" s="643"/>
      <c r="K119" s="643"/>
      <c r="L119" s="643"/>
      <c r="M119" s="643"/>
      <c r="N119" s="643"/>
      <c r="O119" s="643"/>
      <c r="P119" s="643"/>
      <c r="Q119" s="644"/>
      <c r="R119" s="77"/>
      <c r="S119" s="579">
        <f>((T117*2)/((S118+W118)*10))</f>
        <v>0.73499999999999999</v>
      </c>
      <c r="T119" s="497"/>
      <c r="U119" s="497"/>
      <c r="V119" s="497"/>
      <c r="W119" s="497"/>
      <c r="X119" s="497"/>
      <c r="Y119" s="497"/>
      <c r="Z119" s="497"/>
      <c r="AA119" s="498"/>
      <c r="AB119" s="523">
        <f>((AD117*2)/((S118+W118)*10))</f>
        <v>0.62</v>
      </c>
      <c r="AC119" s="497"/>
      <c r="AD119" s="497"/>
      <c r="AE119" s="497"/>
      <c r="AF119" s="497"/>
      <c r="AG119" s="497"/>
      <c r="AH119" s="497"/>
      <c r="AI119" s="497"/>
      <c r="AJ119" s="497"/>
      <c r="AK119" s="498"/>
      <c r="AL119" s="524">
        <f>((AO117*2)/((S118+W118)*10))</f>
        <v>0.76500000000000001</v>
      </c>
      <c r="AM119" s="497"/>
      <c r="AN119" s="497"/>
      <c r="AO119" s="497"/>
      <c r="AP119" s="497"/>
      <c r="AQ119" s="497"/>
      <c r="AR119" s="497"/>
      <c r="AS119" s="497"/>
      <c r="AT119" s="497"/>
      <c r="AU119" s="497"/>
      <c r="AV119" s="497"/>
      <c r="AW119" s="658">
        <f>((AX117*2)/((S118+W118)*10))</f>
        <v>0.875</v>
      </c>
      <c r="AX119" s="643"/>
      <c r="AY119" s="643"/>
      <c r="AZ119" s="643"/>
      <c r="BA119" s="643"/>
      <c r="BB119" s="643"/>
      <c r="BC119" s="643"/>
      <c r="BD119" s="643"/>
      <c r="BE119" s="643"/>
      <c r="BF119" s="659"/>
      <c r="BG119" s="658">
        <f>((BH117*2)/((I118+N118)*10))</f>
        <v>0.84</v>
      </c>
      <c r="BH119" s="643"/>
      <c r="BI119" s="643"/>
      <c r="BJ119" s="643"/>
      <c r="BK119" s="643"/>
      <c r="BL119" s="643"/>
      <c r="BM119" s="643"/>
      <c r="BN119" s="643"/>
      <c r="BO119" s="643"/>
      <c r="BP119" s="659"/>
      <c r="BQ119" s="658">
        <f>((BR117*2)/((I118+N118)*10))</f>
        <v>0.88</v>
      </c>
      <c r="BR119" s="643"/>
      <c r="BS119" s="643"/>
      <c r="BT119" s="643"/>
      <c r="BU119" s="643"/>
      <c r="BV119" s="643"/>
      <c r="BW119" s="643"/>
      <c r="BX119" s="643"/>
      <c r="BY119" s="643"/>
      <c r="BZ119" s="659"/>
      <c r="CA119" s="658">
        <f>((CB117*2)/((I118+N118)*10))</f>
        <v>0</v>
      </c>
      <c r="CB119" s="643"/>
      <c r="CC119" s="643"/>
      <c r="CD119" s="643"/>
      <c r="CE119" s="643"/>
      <c r="CF119" s="643"/>
      <c r="CG119" s="643"/>
      <c r="CH119" s="643"/>
      <c r="CI119" s="643"/>
      <c r="CJ119" s="643"/>
      <c r="CK119" s="660">
        <f>((CL117*2)/((I118+N118)*10))</f>
        <v>0.8</v>
      </c>
      <c r="CL119" s="508"/>
      <c r="CM119" s="508"/>
      <c r="CN119" s="508"/>
      <c r="CO119" s="508"/>
      <c r="CP119" s="508"/>
      <c r="CQ119" s="508"/>
      <c r="CR119" s="508"/>
      <c r="CS119" s="508"/>
      <c r="CT119" s="661"/>
      <c r="CU119" s="658">
        <f>((CV117*2)/((I118+N118)*10))</f>
        <v>0.85</v>
      </c>
      <c r="CV119" s="643"/>
      <c r="CW119" s="643"/>
      <c r="CX119" s="643"/>
      <c r="CY119" s="643"/>
      <c r="CZ119" s="643"/>
      <c r="DA119" s="643"/>
      <c r="DB119" s="643"/>
      <c r="DC119" s="643"/>
      <c r="DD119" s="659"/>
      <c r="DE119" s="658">
        <f>((DF117*2)/((I118+N118)*10))</f>
        <v>0.91500000000000004</v>
      </c>
      <c r="DF119" s="643"/>
      <c r="DG119" s="643"/>
      <c r="DH119" s="643"/>
      <c r="DI119" s="643"/>
      <c r="DJ119" s="643"/>
      <c r="DK119" s="643"/>
      <c r="DL119" s="643"/>
      <c r="DM119" s="643"/>
      <c r="DN119" s="659"/>
      <c r="DO119" s="658">
        <f>((DP117*2)/((I118+N118)*10))</f>
        <v>0.92</v>
      </c>
      <c r="DP119" s="643"/>
      <c r="DQ119" s="643"/>
      <c r="DR119" s="643"/>
      <c r="DS119" s="643"/>
      <c r="DT119" s="643"/>
      <c r="DU119" s="643"/>
      <c r="DV119" s="643"/>
      <c r="DW119" s="643"/>
      <c r="DX119" s="659"/>
      <c r="DY119" s="658">
        <f>((DZ117*2)/((I118+N118)*10))</f>
        <v>0.91</v>
      </c>
      <c r="DZ119" s="643"/>
      <c r="EA119" s="643"/>
      <c r="EB119" s="643"/>
      <c r="EC119" s="643"/>
      <c r="ED119" s="643"/>
      <c r="EE119" s="643"/>
      <c r="EF119" s="643"/>
      <c r="EG119" s="643"/>
      <c r="EH119" s="659"/>
      <c r="EI119" s="658">
        <f>((EJ117*2)/((I118+N118)*10))</f>
        <v>0.92500000000000004</v>
      </c>
      <c r="EJ119" s="643"/>
      <c r="EK119" s="643"/>
      <c r="EL119" s="643"/>
      <c r="EM119" s="643"/>
      <c r="EN119" s="643"/>
      <c r="EO119" s="643"/>
      <c r="EP119" s="643"/>
      <c r="EQ119" s="643"/>
      <c r="ER119" s="659"/>
      <c r="ES119" s="51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3"/>
      <c r="FH119" s="44">
        <f>SUM(I8:ER57)</f>
        <v>2782</v>
      </c>
      <c r="FI119" s="646">
        <f>SUM(I60:ER109)</f>
        <v>1426</v>
      </c>
      <c r="FJ119" s="647"/>
      <c r="FK119" s="669"/>
    </row>
    <row r="120" spans="1:167" ht="15.75" customHeight="1">
      <c r="D120" s="547"/>
      <c r="E120" s="548"/>
      <c r="F120" s="548"/>
      <c r="G120" s="548"/>
      <c r="I120" s="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45"/>
      <c r="FI120" s="45"/>
      <c r="FJ120" s="45"/>
      <c r="FK120" s="46"/>
    </row>
    <row r="121" spans="1:167" ht="15.75" customHeight="1">
      <c r="D121" s="548"/>
      <c r="E121" s="548"/>
      <c r="F121" s="548"/>
      <c r="G121" s="548"/>
      <c r="FH121" s="47"/>
      <c r="FI121" s="46"/>
      <c r="FJ121" s="46"/>
      <c r="FK121" s="46"/>
    </row>
    <row r="122" spans="1:167" ht="15.75" customHeight="1">
      <c r="D122" s="548"/>
      <c r="E122" s="548"/>
      <c r="F122" s="548"/>
      <c r="G122" s="548"/>
      <c r="FH122" s="46"/>
      <c r="FI122" s="46"/>
      <c r="FJ122" s="46"/>
      <c r="FK122" s="46"/>
    </row>
    <row r="123" spans="1:167" ht="15.75" customHeight="1">
      <c r="FH123" s="47"/>
      <c r="FI123" s="47"/>
      <c r="FJ123" s="47"/>
      <c r="FK123" s="47"/>
    </row>
    <row r="124" spans="1:167" ht="15.75" customHeight="1"/>
    <row r="125" spans="1:167" ht="15.75" customHeight="1"/>
    <row r="126" spans="1:167" ht="15.75" customHeight="1">
      <c r="S126" s="10"/>
    </row>
    <row r="127" spans="1:167" ht="15.75" customHeight="1"/>
    <row r="128" spans="1:16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0">
    <mergeCell ref="FK118:FK119"/>
    <mergeCell ref="B114:C115"/>
    <mergeCell ref="D114:G115"/>
    <mergeCell ref="D120:G122"/>
    <mergeCell ref="B118:C119"/>
    <mergeCell ref="D118:G119"/>
    <mergeCell ref="A1:D4"/>
    <mergeCell ref="B111:G113"/>
    <mergeCell ref="B116:C117"/>
    <mergeCell ref="D116:G117"/>
    <mergeCell ref="FC111:FC114"/>
    <mergeCell ref="FC115:FC117"/>
    <mergeCell ref="FD111:FD114"/>
    <mergeCell ref="FD115:FD117"/>
    <mergeCell ref="FE111:FE114"/>
    <mergeCell ref="FE115:FE117"/>
    <mergeCell ref="FF111:FF114"/>
    <mergeCell ref="FF115:FF117"/>
    <mergeCell ref="FG111:FG114"/>
    <mergeCell ref="FG115:FG117"/>
    <mergeCell ref="EX111:EX114"/>
    <mergeCell ref="EX115:EX117"/>
    <mergeCell ref="EY111:EY114"/>
    <mergeCell ref="EY115:EY117"/>
    <mergeCell ref="EZ111:EZ114"/>
    <mergeCell ref="EZ115:EZ117"/>
    <mergeCell ref="FA111:FA114"/>
    <mergeCell ref="FA115:FA117"/>
    <mergeCell ref="FB111:FB114"/>
    <mergeCell ref="FB115:FB117"/>
    <mergeCell ref="ES111:ES114"/>
    <mergeCell ref="ES115:ES117"/>
    <mergeCell ref="ET111:ET114"/>
    <mergeCell ref="ET115:ET117"/>
    <mergeCell ref="EU111:EU114"/>
    <mergeCell ref="EU115:EU117"/>
    <mergeCell ref="EV111:EV114"/>
    <mergeCell ref="EV115:EV117"/>
    <mergeCell ref="EW111:EW114"/>
    <mergeCell ref="EW115:EW117"/>
    <mergeCell ref="FI118:FJ118"/>
    <mergeCell ref="I119:Q119"/>
    <mergeCell ref="S119:AA119"/>
    <mergeCell ref="AB119:AK119"/>
    <mergeCell ref="AL119:AV119"/>
    <mergeCell ref="AW119:BF119"/>
    <mergeCell ref="BG119:BP119"/>
    <mergeCell ref="BQ119:BZ119"/>
    <mergeCell ref="CA119:CJ119"/>
    <mergeCell ref="CK119:CT119"/>
    <mergeCell ref="CU119:DD119"/>
    <mergeCell ref="DE119:DN119"/>
    <mergeCell ref="DO119:DX119"/>
    <mergeCell ref="DY119:EH119"/>
    <mergeCell ref="EI119:ER119"/>
    <mergeCell ref="FI119:FJ119"/>
    <mergeCell ref="DV118:DX118"/>
    <mergeCell ref="DY118:DZ118"/>
    <mergeCell ref="EA118:EC118"/>
    <mergeCell ref="ED118:EE118"/>
    <mergeCell ref="EF118:EH118"/>
    <mergeCell ref="EI118:EJ118"/>
    <mergeCell ref="EK118:EM118"/>
    <mergeCell ref="EN118:EO118"/>
    <mergeCell ref="EP118:ER118"/>
    <mergeCell ref="CZ118:DA118"/>
    <mergeCell ref="DB118:DD118"/>
    <mergeCell ref="DE118:DF118"/>
    <mergeCell ref="DG118:DI118"/>
    <mergeCell ref="DJ118:DK118"/>
    <mergeCell ref="DL118:DN118"/>
    <mergeCell ref="DO118:DP118"/>
    <mergeCell ref="DQ118:DS118"/>
    <mergeCell ref="DT118:DU118"/>
    <mergeCell ref="CC118:CE118"/>
    <mergeCell ref="CF118:CG118"/>
    <mergeCell ref="CH118:CJ118"/>
    <mergeCell ref="CK118:CL118"/>
    <mergeCell ref="CM118:CN118"/>
    <mergeCell ref="CP118:CQ118"/>
    <mergeCell ref="CR118:CT118"/>
    <mergeCell ref="CU118:CV118"/>
    <mergeCell ref="CW118:CY118"/>
    <mergeCell ref="BD118:BF118"/>
    <mergeCell ref="BG118:BH118"/>
    <mergeCell ref="BI118:BK118"/>
    <mergeCell ref="BL118:BM118"/>
    <mergeCell ref="BN118:BP118"/>
    <mergeCell ref="BQ118:BR118"/>
    <mergeCell ref="BS118:BU118"/>
    <mergeCell ref="BW118:BY118"/>
    <mergeCell ref="CA118:CB118"/>
    <mergeCell ref="AG118:AH118"/>
    <mergeCell ref="AI118:AK118"/>
    <mergeCell ref="AM118:AN118"/>
    <mergeCell ref="AO118:AQ118"/>
    <mergeCell ref="AR118:AS118"/>
    <mergeCell ref="AT118:AV118"/>
    <mergeCell ref="AW118:AX118"/>
    <mergeCell ref="AY118:BA118"/>
    <mergeCell ref="BB118:BC118"/>
    <mergeCell ref="I118:J118"/>
    <mergeCell ref="K118:M118"/>
    <mergeCell ref="N118:O118"/>
    <mergeCell ref="P118:R118"/>
    <mergeCell ref="T118:V118"/>
    <mergeCell ref="W118:X118"/>
    <mergeCell ref="Y118:AA118"/>
    <mergeCell ref="AB118:AC118"/>
    <mergeCell ref="AD118:AF118"/>
    <mergeCell ref="DF117:DH117"/>
    <mergeCell ref="DK117:DM117"/>
    <mergeCell ref="DP117:DR117"/>
    <mergeCell ref="DU117:DW117"/>
    <mergeCell ref="DZ117:EB117"/>
    <mergeCell ref="EE117:EG117"/>
    <mergeCell ref="EJ117:EL117"/>
    <mergeCell ref="EO117:EQ117"/>
    <mergeCell ref="FH117:FK117"/>
    <mergeCell ref="EI116:EL116"/>
    <mergeCell ref="EN116:EQ116"/>
    <mergeCell ref="FH116:FJ116"/>
    <mergeCell ref="J117:L117"/>
    <mergeCell ref="O117:Q117"/>
    <mergeCell ref="T117:V117"/>
    <mergeCell ref="Y117:AA117"/>
    <mergeCell ref="AD117:AF117"/>
    <mergeCell ref="AI117:AK117"/>
    <mergeCell ref="AM117:AN117"/>
    <mergeCell ref="AO117:AQ117"/>
    <mergeCell ref="AS117:AU117"/>
    <mergeCell ref="AX117:AZ117"/>
    <mergeCell ref="BC117:BE117"/>
    <mergeCell ref="BH117:BJ117"/>
    <mergeCell ref="BM117:BO117"/>
    <mergeCell ref="BR117:BT117"/>
    <mergeCell ref="BW117:BY117"/>
    <mergeCell ref="CB117:CD117"/>
    <mergeCell ref="CG117:CI117"/>
    <mergeCell ref="CL117:CN117"/>
    <mergeCell ref="CQ117:CS117"/>
    <mergeCell ref="CV117:CX117"/>
    <mergeCell ref="DA117:DC117"/>
    <mergeCell ref="CP116:CS116"/>
    <mergeCell ref="CU116:CX116"/>
    <mergeCell ref="CZ116:DC116"/>
    <mergeCell ref="DE116:DH116"/>
    <mergeCell ref="DJ116:DM116"/>
    <mergeCell ref="DO116:DR116"/>
    <mergeCell ref="DT116:DW116"/>
    <mergeCell ref="DY116:EB116"/>
    <mergeCell ref="ED116:EG116"/>
    <mergeCell ref="DO115:DR115"/>
    <mergeCell ref="DT115:DW115"/>
    <mergeCell ref="DY115:EB115"/>
    <mergeCell ref="ED115:EG115"/>
    <mergeCell ref="EI115:EL115"/>
    <mergeCell ref="EN115:EQ115"/>
    <mergeCell ref="FH115:FJ115"/>
    <mergeCell ref="I116:L116"/>
    <mergeCell ref="N116:Q116"/>
    <mergeCell ref="S116:V116"/>
    <mergeCell ref="X116:AA116"/>
    <mergeCell ref="AC116:AF116"/>
    <mergeCell ref="AH116:AK116"/>
    <mergeCell ref="AM116:AP116"/>
    <mergeCell ref="AR116:AU116"/>
    <mergeCell ref="AW116:AZ116"/>
    <mergeCell ref="BB116:BE116"/>
    <mergeCell ref="BG116:BJ116"/>
    <mergeCell ref="BL116:BO116"/>
    <mergeCell ref="BQ116:BT116"/>
    <mergeCell ref="BV116:BY116"/>
    <mergeCell ref="CA116:CD116"/>
    <mergeCell ref="CF116:CI116"/>
    <mergeCell ref="CK116:CN116"/>
    <mergeCell ref="EN114:EQ114"/>
    <mergeCell ref="FH114:FJ114"/>
    <mergeCell ref="I115:L115"/>
    <mergeCell ref="N115:Q115"/>
    <mergeCell ref="S115:V115"/>
    <mergeCell ref="X115:AA115"/>
    <mergeCell ref="AC115:AF115"/>
    <mergeCell ref="AH115:AK115"/>
    <mergeCell ref="AM115:AP115"/>
    <mergeCell ref="AR115:AU115"/>
    <mergeCell ref="AW115:AZ115"/>
    <mergeCell ref="BB115:BE115"/>
    <mergeCell ref="BG115:BJ115"/>
    <mergeCell ref="BL115:BO115"/>
    <mergeCell ref="BQ115:BT115"/>
    <mergeCell ref="BV115:BY115"/>
    <mergeCell ref="CA115:CD115"/>
    <mergeCell ref="CF115:CI115"/>
    <mergeCell ref="CK115:CN115"/>
    <mergeCell ref="CP115:CS115"/>
    <mergeCell ref="CU115:CX115"/>
    <mergeCell ref="CZ115:DC115"/>
    <mergeCell ref="DE115:DH115"/>
    <mergeCell ref="DJ115:DM115"/>
    <mergeCell ref="CU114:CX114"/>
    <mergeCell ref="CZ114:DC114"/>
    <mergeCell ref="DE114:DH114"/>
    <mergeCell ref="DJ114:DM114"/>
    <mergeCell ref="DO114:DR114"/>
    <mergeCell ref="DT114:DW114"/>
    <mergeCell ref="DY114:EB114"/>
    <mergeCell ref="ED114:EG114"/>
    <mergeCell ref="EI114:EL114"/>
    <mergeCell ref="DT113:DW113"/>
    <mergeCell ref="DY113:EB113"/>
    <mergeCell ref="ED113:EG113"/>
    <mergeCell ref="EI113:EL113"/>
    <mergeCell ref="EN113:EQ113"/>
    <mergeCell ref="FH113:FK113"/>
    <mergeCell ref="I114:L114"/>
    <mergeCell ref="N114:Q114"/>
    <mergeCell ref="S114:V114"/>
    <mergeCell ref="X114:AA114"/>
    <mergeCell ref="AC114:AF114"/>
    <mergeCell ref="AH114:AK114"/>
    <mergeCell ref="AM114:AP114"/>
    <mergeCell ref="AR114:AU114"/>
    <mergeCell ref="AW114:AZ114"/>
    <mergeCell ref="BB114:BE114"/>
    <mergeCell ref="BG114:BJ114"/>
    <mergeCell ref="BL114:BO114"/>
    <mergeCell ref="BQ114:BT114"/>
    <mergeCell ref="BV114:BY114"/>
    <mergeCell ref="CA114:CD114"/>
    <mergeCell ref="CF114:CI114"/>
    <mergeCell ref="CK114:CN114"/>
    <mergeCell ref="CP114:CS114"/>
    <mergeCell ref="FH112:FJ112"/>
    <mergeCell ref="I113:L113"/>
    <mergeCell ref="N113:Q113"/>
    <mergeCell ref="S113:V113"/>
    <mergeCell ref="X113:AA113"/>
    <mergeCell ref="AC113:AF113"/>
    <mergeCell ref="AH113:AK113"/>
    <mergeCell ref="AM113:AP113"/>
    <mergeCell ref="AR113:AU113"/>
    <mergeCell ref="AW113:AZ113"/>
    <mergeCell ref="BB113:BE113"/>
    <mergeCell ref="BG113:BJ113"/>
    <mergeCell ref="BL113:BO113"/>
    <mergeCell ref="BQ113:BT113"/>
    <mergeCell ref="BV113:BY113"/>
    <mergeCell ref="CA113:CD113"/>
    <mergeCell ref="CF113:CI113"/>
    <mergeCell ref="CK113:CN113"/>
    <mergeCell ref="CP113:CS113"/>
    <mergeCell ref="CU113:CX113"/>
    <mergeCell ref="CZ113:DC113"/>
    <mergeCell ref="DE113:DH113"/>
    <mergeCell ref="DJ113:DM113"/>
    <mergeCell ref="DO113:DR113"/>
    <mergeCell ref="CZ112:DC112"/>
    <mergeCell ref="DE112:DH112"/>
    <mergeCell ref="DJ112:DM112"/>
    <mergeCell ref="DO112:DR112"/>
    <mergeCell ref="DT112:DW112"/>
    <mergeCell ref="DY112:EB112"/>
    <mergeCell ref="ED112:EG112"/>
    <mergeCell ref="EI112:EL112"/>
    <mergeCell ref="EN112:EQ112"/>
    <mergeCell ref="DT111:DW111"/>
    <mergeCell ref="DY111:EB111"/>
    <mergeCell ref="ED111:EG111"/>
    <mergeCell ref="EI111:EL111"/>
    <mergeCell ref="EN111:EQ111"/>
    <mergeCell ref="I112:L112"/>
    <mergeCell ref="N112:Q112"/>
    <mergeCell ref="S112:V112"/>
    <mergeCell ref="X112:AA112"/>
    <mergeCell ref="AC112:AF112"/>
    <mergeCell ref="AH112:AK112"/>
    <mergeCell ref="AM112:AP112"/>
    <mergeCell ref="AR112:AU112"/>
    <mergeCell ref="AW112:AZ112"/>
    <mergeCell ref="BB112:BE112"/>
    <mergeCell ref="BG112:BJ112"/>
    <mergeCell ref="BL112:BO112"/>
    <mergeCell ref="BQ112:BT112"/>
    <mergeCell ref="BV112:BY112"/>
    <mergeCell ref="CA112:CD112"/>
    <mergeCell ref="CF112:CI112"/>
    <mergeCell ref="CK112:CN112"/>
    <mergeCell ref="CP112:CS112"/>
    <mergeCell ref="CU112:CX112"/>
    <mergeCell ref="CA111:CD111"/>
    <mergeCell ref="CF111:CI111"/>
    <mergeCell ref="CK111:CN111"/>
    <mergeCell ref="CP111:CS111"/>
    <mergeCell ref="CU111:CX111"/>
    <mergeCell ref="CZ111:DC111"/>
    <mergeCell ref="DE111:DH111"/>
    <mergeCell ref="DJ111:DM111"/>
    <mergeCell ref="DO111:DR111"/>
    <mergeCell ref="AH111:AK111"/>
    <mergeCell ref="AM111:AP111"/>
    <mergeCell ref="AR111:AU111"/>
    <mergeCell ref="AW111:AZ111"/>
    <mergeCell ref="BB111:BE111"/>
    <mergeCell ref="BG111:BJ111"/>
    <mergeCell ref="BL111:BO111"/>
    <mergeCell ref="BQ111:BT111"/>
    <mergeCell ref="BV111:BY111"/>
    <mergeCell ref="G106:H106"/>
    <mergeCell ref="G107:H107"/>
    <mergeCell ref="G108:H108"/>
    <mergeCell ref="G109:H109"/>
    <mergeCell ref="I111:L111"/>
    <mergeCell ref="N111:Q111"/>
    <mergeCell ref="S111:V111"/>
    <mergeCell ref="X111:AA111"/>
    <mergeCell ref="AC111:AF111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AG8:AH109"/>
    <mergeCell ref="CA8:CJ109"/>
    <mergeCell ref="E1:FK1"/>
    <mergeCell ref="E2:FK2"/>
    <mergeCell ref="E3:FK3"/>
    <mergeCell ref="E4:FK4"/>
    <mergeCell ref="C5:X5"/>
    <mergeCell ref="Y5:FK5"/>
    <mergeCell ref="G6:H6"/>
    <mergeCell ref="I6:R6"/>
    <mergeCell ref="S6:AB6"/>
    <mergeCell ref="AC6:AL6"/>
    <mergeCell ref="AM6:AV6"/>
    <mergeCell ref="AW6:BF6"/>
    <mergeCell ref="BG6:BP6"/>
    <mergeCell ref="BQ6:BZ6"/>
    <mergeCell ref="CA6:CJ6"/>
    <mergeCell ref="CK6:CT6"/>
    <mergeCell ref="CU6:DD6"/>
    <mergeCell ref="DE6:DN6"/>
    <mergeCell ref="DO6:DX6"/>
    <mergeCell ref="DY6:EH6"/>
    <mergeCell ref="EI6:ER6"/>
    <mergeCell ref="ES6:FF6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93"/>
  <sheetViews>
    <sheetView topLeftCell="A14" zoomScale="60" zoomScaleNormal="60" workbookViewId="0">
      <selection activeCell="H24" sqref="H24:U25"/>
    </sheetView>
  </sheetViews>
  <sheetFormatPr defaultRowHeight="15"/>
  <cols>
    <col min="1" max="1" width="39.28515625" customWidth="1"/>
    <col min="10" max="10" width="13" customWidth="1"/>
    <col min="12" max="12" width="21.7109375" customWidth="1"/>
    <col min="15" max="15" width="17" customWidth="1"/>
    <col min="21" max="21" width="9.140625" customWidth="1"/>
    <col min="22" max="26" width="9.140625" style="372" customWidth="1"/>
    <col min="27" max="27" width="9.140625" style="411" customWidth="1"/>
    <col min="28" max="28" width="45.42578125" customWidth="1"/>
    <col min="29" max="29" width="11.85546875" customWidth="1"/>
    <col min="36" max="36" width="32.28515625" style="409" customWidth="1"/>
    <col min="38" max="38" width="9.140625" style="410"/>
    <col min="40" max="40" width="13.5703125" customWidth="1"/>
    <col min="41" max="41" width="12.28515625" customWidth="1"/>
    <col min="42" max="42" width="16.140625" style="402" customWidth="1"/>
    <col min="55" max="55" width="10" customWidth="1"/>
    <col min="59" max="59" width="10.28515625" customWidth="1"/>
    <col min="61" max="61" width="11.42578125" customWidth="1"/>
    <col min="63" max="63" width="11" customWidth="1"/>
    <col min="66" max="66" width="11.28515625" customWidth="1"/>
    <col min="67" max="69" width="9.140625" customWidth="1"/>
    <col min="70" max="70" width="9.140625" style="405" customWidth="1"/>
    <col min="74" max="74" width="9.140625" style="406"/>
    <col min="78" max="78" width="9.140625" style="405"/>
    <col min="82" max="82" width="9.140625" style="405"/>
    <col min="86" max="86" width="9.140625" style="405"/>
    <col min="90" max="90" width="9.140625" style="405"/>
    <col min="91" max="91" width="0.28515625" customWidth="1"/>
    <col min="92" max="92" width="0.85546875" customWidth="1"/>
    <col min="93" max="93" width="5" customWidth="1"/>
    <col min="97" max="97" width="9.140625" style="407"/>
    <col min="101" max="101" width="9.140625" style="407"/>
    <col min="105" max="105" width="9.140625" style="407"/>
    <col min="109" max="109" width="9.140625" style="405"/>
    <col min="113" max="113" width="9.140625" style="405"/>
    <col min="117" max="117" width="9.140625" style="405"/>
    <col min="121" max="121" width="9.140625" style="406"/>
    <col min="125" max="125" width="9.140625" style="406"/>
    <col min="129" max="129" width="9.140625" style="406"/>
    <col min="131" max="131" width="5.140625" customWidth="1"/>
    <col min="133" max="133" width="9.140625" style="406"/>
    <col min="134" max="134" width="9.140625" style="403"/>
    <col min="136" max="136" width="9.140625" style="404"/>
    <col min="137" max="137" width="10.7109375" customWidth="1"/>
    <col min="140" max="140" width="11.140625" style="404" customWidth="1"/>
    <col min="141" max="141" width="95.85546875" customWidth="1"/>
    <col min="142" max="142" width="95.7109375" customWidth="1"/>
    <col min="143" max="143" width="27.42578125" customWidth="1"/>
    <col min="144" max="144" width="27" customWidth="1"/>
    <col min="148" max="148" width="9" customWidth="1"/>
  </cols>
  <sheetData>
    <row r="1" spans="1:145" s="372" customFormat="1" ht="24.75" customHeight="1">
      <c r="A1" s="690"/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420"/>
      <c r="AB1" s="421" t="s">
        <v>317</v>
      </c>
      <c r="AC1" s="422" t="s">
        <v>318</v>
      </c>
      <c r="AD1" s="422" t="s">
        <v>319</v>
      </c>
      <c r="AE1" s="422" t="s">
        <v>320</v>
      </c>
      <c r="AF1" s="422" t="s">
        <v>321</v>
      </c>
      <c r="AG1" s="422" t="s">
        <v>322</v>
      </c>
      <c r="AH1" s="422" t="s">
        <v>395</v>
      </c>
      <c r="AI1" s="422" t="s">
        <v>324</v>
      </c>
      <c r="AJ1" s="423" t="s">
        <v>750</v>
      </c>
      <c r="AK1" s="422" t="s">
        <v>263</v>
      </c>
      <c r="AL1" s="424" t="s">
        <v>264</v>
      </c>
      <c r="AM1" s="422" t="s">
        <v>265</v>
      </c>
      <c r="AN1" s="438" t="s">
        <v>397</v>
      </c>
      <c r="AO1" s="425" t="s">
        <v>266</v>
      </c>
      <c r="AP1" s="438" t="s">
        <v>377</v>
      </c>
      <c r="AQ1" s="426" t="s">
        <v>398</v>
      </c>
      <c r="AR1" s="427" t="s">
        <v>269</v>
      </c>
      <c r="AS1" s="428" t="s">
        <v>270</v>
      </c>
      <c r="AT1" s="429" t="s">
        <v>271</v>
      </c>
      <c r="AU1" s="429" t="s">
        <v>272</v>
      </c>
      <c r="AV1" s="429" t="str">
        <f>N38</f>
        <v>CLEANINESS</v>
      </c>
      <c r="AW1" s="429" t="str">
        <f>N39</f>
        <v>PSYCHOMOTOR</v>
      </c>
      <c r="AX1" s="428" t="str">
        <f>N40</f>
        <v>HANDWRITING</v>
      </c>
      <c r="AY1" s="427" t="str">
        <f>N41</f>
        <v>FLUENCY</v>
      </c>
      <c r="AZ1" s="430" t="str">
        <f>N42</f>
        <v>SPORT</v>
      </c>
      <c r="BA1" s="427" t="str">
        <f>N43</f>
        <v>DRAWING</v>
      </c>
      <c r="BB1" s="427" t="str">
        <f>N44</f>
        <v>PAINTING</v>
      </c>
      <c r="BC1" s="431" t="str">
        <f>N45</f>
        <v>GAMES</v>
      </c>
      <c r="BD1" s="432" t="str">
        <f>N46</f>
        <v>HANLING MATERIALS</v>
      </c>
      <c r="BE1" s="433" t="str">
        <f>N47</f>
        <v>MUSIACAL</v>
      </c>
      <c r="BF1" s="428" t="str">
        <f>N48</f>
        <v>COMMUNIATION</v>
      </c>
      <c r="BG1" s="433" t="str">
        <f>N49</f>
        <v>ATTENTIVENESS</v>
      </c>
      <c r="BH1" s="434" t="str">
        <f>N50</f>
        <v>ATTITUDE TO WORK</v>
      </c>
      <c r="BI1" s="434" t="str">
        <f>N51</f>
        <v>NEATNESS</v>
      </c>
      <c r="BJ1" s="433" t="str">
        <f>N52</f>
        <v>KINDNESS</v>
      </c>
      <c r="BK1" s="433" t="str">
        <f>N53</f>
        <v>EMOTIONAL STABILITY</v>
      </c>
      <c r="BL1" s="434" t="str">
        <f>N54</f>
        <v>HEALTY</v>
      </c>
      <c r="BM1" s="433" t="str">
        <f>N57</f>
        <v>LEADERSHIP</v>
      </c>
      <c r="BN1" s="434" t="s">
        <v>323</v>
      </c>
      <c r="BO1" s="864" t="str">
        <f>B30</f>
        <v>ENGLISH LANGUAGE</v>
      </c>
      <c r="BP1" s="864"/>
      <c r="BQ1" s="864" t="str">
        <f>B31</f>
        <v>MATHEMATICS</v>
      </c>
      <c r="BR1" s="864"/>
      <c r="BS1" s="864"/>
      <c r="BT1" s="864"/>
      <c r="BU1" s="864" t="str">
        <f>B32</f>
        <v>BIOLOGY</v>
      </c>
      <c r="BV1" s="864"/>
      <c r="BW1" s="864"/>
      <c r="BX1" s="864"/>
      <c r="BY1" s="864" t="str">
        <f>B33</f>
        <v>ECONOMICS</v>
      </c>
      <c r="BZ1" s="864"/>
      <c r="CA1" s="864"/>
      <c r="CB1" s="864"/>
      <c r="CC1" s="864" t="str">
        <f>B34</f>
        <v>CIVIC EDUCATION</v>
      </c>
      <c r="CD1" s="864"/>
      <c r="CE1" s="864"/>
      <c r="CF1" s="864"/>
      <c r="CG1" s="864" t="str">
        <f>B35</f>
        <v xml:space="preserve">DATA PROCESSING/ICT </v>
      </c>
      <c r="CH1" s="864"/>
      <c r="CI1" s="864"/>
      <c r="CJ1" s="864"/>
      <c r="CK1" s="864"/>
      <c r="CL1" s="864"/>
      <c r="CM1" s="864"/>
      <c r="CN1" s="864"/>
      <c r="CO1" s="866" t="str">
        <f>B37</f>
        <v>CHRISTIAN RELIGIOUS STUDIES</v>
      </c>
      <c r="CP1" s="866"/>
      <c r="CQ1" s="866"/>
      <c r="CR1" s="864" t="str">
        <f>B38</f>
        <v>ISLAMIC RELIGIOUS STUDIES</v>
      </c>
      <c r="CS1" s="864"/>
      <c r="CT1" s="864"/>
      <c r="CU1" s="864"/>
      <c r="CV1" s="864" t="str">
        <f>B39</f>
        <v>PHYSICS</v>
      </c>
      <c r="CW1" s="864"/>
      <c r="CX1" s="864"/>
      <c r="CY1" s="864"/>
      <c r="CZ1" s="864" t="str">
        <f>B40</f>
        <v>CHEMISTRY</v>
      </c>
      <c r="DA1" s="864"/>
      <c r="DB1" s="864"/>
      <c r="DC1" s="864"/>
      <c r="DD1" s="864" t="str">
        <f>B41</f>
        <v>ACCOUNTING</v>
      </c>
      <c r="DE1" s="864"/>
      <c r="DF1" s="864"/>
      <c r="DG1" s="864"/>
      <c r="DH1" s="864" t="str">
        <f>B42</f>
        <v>COMMERCE</v>
      </c>
      <c r="DI1" s="864"/>
      <c r="DJ1" s="864"/>
      <c r="DK1" s="864"/>
      <c r="DL1" s="865" t="str">
        <f>B43</f>
        <v>GOVERNMENT</v>
      </c>
      <c r="DM1" s="865"/>
      <c r="DN1" s="865"/>
      <c r="DO1" s="865"/>
      <c r="DP1" s="864" t="str">
        <f>B44</f>
        <v>LITERATURE- IN -ENGLISH</v>
      </c>
      <c r="DQ1" s="864"/>
      <c r="DR1" s="864"/>
      <c r="DS1" s="864"/>
      <c r="DT1" s="864" t="str">
        <f>B45</f>
        <v>MARKETING</v>
      </c>
      <c r="DU1" s="864"/>
      <c r="DV1" s="864"/>
      <c r="DW1" s="864"/>
      <c r="DX1" s="864" t="str">
        <f>B46</f>
        <v>FURTHER MATHEMATICS</v>
      </c>
      <c r="DY1" s="864"/>
      <c r="DZ1" s="864"/>
      <c r="EA1" s="864"/>
      <c r="EB1" s="422"/>
      <c r="EC1" s="438"/>
      <c r="ED1" s="438" t="s">
        <v>348</v>
      </c>
      <c r="EE1" s="422" t="s">
        <v>399</v>
      </c>
      <c r="EF1" s="438" t="s">
        <v>340</v>
      </c>
      <c r="EG1" s="422" t="s">
        <v>341</v>
      </c>
      <c r="EH1" s="432" t="str">
        <f>O69</f>
        <v>AVERAGE</v>
      </c>
      <c r="EI1" s="422" t="str">
        <f>O71</f>
        <v>TOTAL</v>
      </c>
      <c r="EJ1" s="432" t="str">
        <f>O73</f>
        <v>PERENTAGE</v>
      </c>
      <c r="EK1" s="438" t="s">
        <v>748</v>
      </c>
      <c r="EL1" s="438" t="str">
        <f>B61</f>
        <v xml:space="preserve">HEAD OF SCHOOLS COMMENT                                                                                                                                  </v>
      </c>
    </row>
    <row r="2" spans="1:145" s="372" customFormat="1" ht="17.25" customHeight="1">
      <c r="A2" s="690"/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420">
        <f>ROW(D1)</f>
        <v>1</v>
      </c>
      <c r="AB2" s="435" t="s">
        <v>57</v>
      </c>
      <c r="AC2" s="422" t="s">
        <v>394</v>
      </c>
      <c r="AD2" s="422" t="s">
        <v>326</v>
      </c>
      <c r="AE2" s="422">
        <v>13</v>
      </c>
      <c r="AF2" s="422">
        <f>'SSS1 ATTENDANCE '!FJ8</f>
        <v>128</v>
      </c>
      <c r="AG2" s="422">
        <f>'SSS1 ATTENDANCE '!FH8</f>
        <v>126</v>
      </c>
      <c r="AH2" s="422">
        <f>'SSS1 ATTENDANCE '!FI8</f>
        <v>2</v>
      </c>
      <c r="AI2" s="436" t="s">
        <v>574</v>
      </c>
      <c r="AJ2" s="437">
        <v>41122</v>
      </c>
      <c r="AK2" s="435" t="s">
        <v>396</v>
      </c>
      <c r="AL2" s="424">
        <v>25</v>
      </c>
      <c r="AM2" s="422">
        <v>22</v>
      </c>
      <c r="AN2" s="438">
        <v>4</v>
      </c>
      <c r="AO2" s="422" t="str">
        <f>IF(AND(AG2&gt;=98, AG2&lt;=128),"5",
IF(AND(AG2&gt;=75, AG2&lt;98),"4",
"3"))</f>
        <v>5</v>
      </c>
      <c r="AP2" s="438">
        <v>5</v>
      </c>
      <c r="AQ2" s="422">
        <v>4</v>
      </c>
      <c r="AR2" s="438">
        <v>4</v>
      </c>
      <c r="AS2" s="438">
        <v>4</v>
      </c>
      <c r="AT2" s="438">
        <v>4</v>
      </c>
      <c r="AU2" s="438">
        <v>3</v>
      </c>
      <c r="AV2" s="438">
        <v>4</v>
      </c>
      <c r="AW2" s="438">
        <v>4</v>
      </c>
      <c r="AX2" s="438">
        <v>3</v>
      </c>
      <c r="AY2" s="438">
        <v>4</v>
      </c>
      <c r="AZ2" s="438">
        <v>3</v>
      </c>
      <c r="BA2" s="438">
        <v>3</v>
      </c>
      <c r="BB2" s="438">
        <v>3</v>
      </c>
      <c r="BC2" s="438">
        <v>4</v>
      </c>
      <c r="BD2" s="438">
        <v>4</v>
      </c>
      <c r="BE2" s="438">
        <v>4</v>
      </c>
      <c r="BF2" s="438">
        <v>3</v>
      </c>
      <c r="BG2" s="438">
        <v>3</v>
      </c>
      <c r="BH2" s="438">
        <v>3</v>
      </c>
      <c r="BI2" s="438">
        <v>5</v>
      </c>
      <c r="BJ2" s="438">
        <v>4</v>
      </c>
      <c r="BK2" s="438">
        <v>3</v>
      </c>
      <c r="BL2" s="438">
        <v>5</v>
      </c>
      <c r="BM2" s="438">
        <v>3</v>
      </c>
      <c r="BN2" s="422" t="s">
        <v>400</v>
      </c>
      <c r="BO2" s="422">
        <v>40</v>
      </c>
      <c r="BP2" s="422">
        <v>60</v>
      </c>
      <c r="BQ2" s="422">
        <v>100</v>
      </c>
      <c r="BR2" s="438" t="s">
        <v>749</v>
      </c>
      <c r="BS2" s="422">
        <v>40</v>
      </c>
      <c r="BT2" s="422">
        <v>60</v>
      </c>
      <c r="BU2" s="422">
        <v>100</v>
      </c>
      <c r="BV2" s="438" t="s">
        <v>749</v>
      </c>
      <c r="BW2" s="422">
        <v>40</v>
      </c>
      <c r="BX2" s="422">
        <v>60</v>
      </c>
      <c r="BY2" s="422">
        <v>100</v>
      </c>
      <c r="BZ2" s="422" t="str">
        <f>BV2</f>
        <v>Grades</v>
      </c>
      <c r="CA2" s="422">
        <v>40</v>
      </c>
      <c r="CB2" s="422">
        <v>60</v>
      </c>
      <c r="CC2" s="422">
        <v>100</v>
      </c>
      <c r="CD2" s="422" t="str">
        <f>BZ2</f>
        <v>Grades</v>
      </c>
      <c r="CE2" s="422">
        <f>CA2</f>
        <v>40</v>
      </c>
      <c r="CF2" s="422">
        <v>60</v>
      </c>
      <c r="CG2" s="422">
        <v>100</v>
      </c>
      <c r="CH2" s="422" t="str">
        <f>CD2</f>
        <v>Grades</v>
      </c>
      <c r="CI2" s="422">
        <v>40</v>
      </c>
      <c r="CJ2" s="422">
        <v>60</v>
      </c>
      <c r="CK2" s="422">
        <v>100</v>
      </c>
      <c r="CL2" s="422" t="str">
        <f>CH2</f>
        <v>Grades</v>
      </c>
      <c r="CM2" s="422">
        <v>40</v>
      </c>
      <c r="CN2" s="422">
        <v>60</v>
      </c>
      <c r="CO2" s="422"/>
      <c r="CP2" s="422">
        <v>40</v>
      </c>
      <c r="CQ2" s="422">
        <v>60</v>
      </c>
      <c r="CR2" s="422">
        <v>100</v>
      </c>
      <c r="CS2" s="438" t="str">
        <f>CL2</f>
        <v>Grades</v>
      </c>
      <c r="CT2" s="422">
        <v>40</v>
      </c>
      <c r="CU2" s="422">
        <v>60</v>
      </c>
      <c r="CV2" s="422">
        <v>100</v>
      </c>
      <c r="CW2" s="438" t="str">
        <f>CS2</f>
        <v>Grades</v>
      </c>
      <c r="CX2" s="422">
        <v>40</v>
      </c>
      <c r="CY2" s="422">
        <v>60</v>
      </c>
      <c r="CZ2" s="422">
        <v>100</v>
      </c>
      <c r="DA2" s="438" t="str">
        <f>CW2</f>
        <v>Grades</v>
      </c>
      <c r="DB2" s="422">
        <v>40</v>
      </c>
      <c r="DC2" s="422">
        <v>60</v>
      </c>
      <c r="DD2" s="422">
        <v>100</v>
      </c>
      <c r="DE2" s="422" t="str">
        <f>DA2</f>
        <v>Grades</v>
      </c>
      <c r="DF2" s="422">
        <v>40</v>
      </c>
      <c r="DG2" s="422">
        <v>60</v>
      </c>
      <c r="DH2" s="422">
        <v>100</v>
      </c>
      <c r="DI2" s="422" t="str">
        <f>DE2</f>
        <v>Grades</v>
      </c>
      <c r="DJ2" s="422">
        <v>40</v>
      </c>
      <c r="DK2" s="422">
        <v>60</v>
      </c>
      <c r="DL2" s="422">
        <v>100</v>
      </c>
      <c r="DM2" s="422" t="str">
        <f>DI2</f>
        <v>Grades</v>
      </c>
      <c r="DN2" s="422">
        <v>40</v>
      </c>
      <c r="DO2" s="422">
        <v>60</v>
      </c>
      <c r="DP2" s="422">
        <v>100</v>
      </c>
      <c r="DQ2" s="438" t="str">
        <f>DM2</f>
        <v>Grades</v>
      </c>
      <c r="DR2" s="422">
        <v>40</v>
      </c>
      <c r="DS2" s="422">
        <v>60</v>
      </c>
      <c r="DT2" s="422">
        <v>100</v>
      </c>
      <c r="DU2" s="438" t="str">
        <f>DQ2</f>
        <v>Grades</v>
      </c>
      <c r="DV2" s="422">
        <v>40</v>
      </c>
      <c r="DW2" s="422">
        <v>60</v>
      </c>
      <c r="DX2" s="422">
        <v>100</v>
      </c>
      <c r="DY2" s="438" t="str">
        <f>DU2</f>
        <v>Grades</v>
      </c>
      <c r="DZ2" s="422">
        <v>40</v>
      </c>
      <c r="EA2" s="422">
        <v>60</v>
      </c>
      <c r="EB2" s="422">
        <v>100</v>
      </c>
      <c r="EC2" s="438" t="str">
        <f>DY2</f>
        <v>Grades</v>
      </c>
      <c r="ED2" s="422">
        <f t="shared" ref="ED2:ED8" si="0">SUM(BQ2,BU2,BY2,CC2,CG2,CK2,CR2,CV2,CZ2,DD2,DH2,DL2,DP2,DT2,DX2,EB2)</f>
        <v>1600</v>
      </c>
      <c r="EE2" s="422">
        <f>ED2/16</f>
        <v>100</v>
      </c>
      <c r="EF2" s="438" t="str">
        <f>IF(EE2&gt;=80,"A1",
IF(EE2&gt;=75,"A",
IF(EE2&gt;=70,"B2",
IF(EE2&gt;=65,"B3",
IF(EE2&gt;=60,"C4",
IF(EE2&gt;=55,"C5",
IF(EE2&gt;=50,"C6",
IF(EE2&gt;=45,"D7",
IF(EE2&gt;=40,"E8",
IF(EE2&gt;=1,"F9",""))))))))))</f>
        <v>A1</v>
      </c>
      <c r="EG2" s="422" t="str">
        <f>IF(EF2="F9","FAIL",
IF(OR(EF2="E8",EF2="D7"),"PASS",
IF(OR(EF2="C6",EF2="C5"),"CREDIT",
IF(OR(EF2="C4",EF2="B3",EF2="B2"),"HIGH-CREDIT",
IF(OR(EF2="A",EF2="A1"),"DISTINTION","")))))</f>
        <v>DISTINTION</v>
      </c>
      <c r="EH2" s="439">
        <v>1</v>
      </c>
      <c r="EI2" s="422">
        <f>ED2</f>
        <v>1600</v>
      </c>
      <c r="EJ2" s="440">
        <f>EE2/100</f>
        <v>1</v>
      </c>
      <c r="EK2" s="438" t="s">
        <v>573</v>
      </c>
      <c r="EL2" s="438" t="s">
        <v>758</v>
      </c>
      <c r="EM2" s="401"/>
      <c r="EN2" s="401"/>
      <c r="EO2" s="401"/>
    </row>
    <row r="3" spans="1:145" s="372" customFormat="1" ht="30.75" thickBot="1">
      <c r="A3" s="690"/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420">
        <f t="shared" ref="AA3:AA66" si="1">ROW(D2)</f>
        <v>2</v>
      </c>
      <c r="AB3" s="435" t="s">
        <v>58</v>
      </c>
      <c r="AC3" s="422" t="s">
        <v>394</v>
      </c>
      <c r="AD3" s="422" t="s">
        <v>326</v>
      </c>
      <c r="AE3" s="422">
        <v>14</v>
      </c>
      <c r="AF3" s="422">
        <f>'SSS1 ATTENDANCE '!FJ9</f>
        <v>128</v>
      </c>
      <c r="AG3" s="422">
        <f>'SSS1 ATTENDANCE '!FH9</f>
        <v>126</v>
      </c>
      <c r="AH3" s="422">
        <f>'SSS1 ATTENDANCE '!FI9</f>
        <v>2</v>
      </c>
      <c r="AI3" s="436" t="s">
        <v>575</v>
      </c>
      <c r="AJ3" s="437">
        <v>40844</v>
      </c>
      <c r="AK3" s="435" t="s">
        <v>396</v>
      </c>
      <c r="AL3" s="424">
        <v>25</v>
      </c>
      <c r="AM3" s="422">
        <v>27</v>
      </c>
      <c r="AN3" s="438">
        <v>4</v>
      </c>
      <c r="AO3" s="422" t="str">
        <f t="shared" ref="AO3:AO9" si="2">IF(AND(AG3&gt;=98, AG3&lt;=128),"5",
IF(AND(AG3&gt;=75, AG3&lt;98),"4",
"3"))</f>
        <v>5</v>
      </c>
      <c r="AP3" s="438">
        <v>5</v>
      </c>
      <c r="AQ3" s="422">
        <v>4</v>
      </c>
      <c r="AR3" s="438">
        <v>4</v>
      </c>
      <c r="AS3" s="438">
        <v>4</v>
      </c>
      <c r="AT3" s="438">
        <v>4</v>
      </c>
      <c r="AU3" s="438">
        <v>3</v>
      </c>
      <c r="AV3" s="438">
        <v>4</v>
      </c>
      <c r="AW3" s="438">
        <v>4</v>
      </c>
      <c r="AX3" s="438">
        <v>3</v>
      </c>
      <c r="AY3" s="438">
        <v>4</v>
      </c>
      <c r="AZ3" s="438">
        <v>3</v>
      </c>
      <c r="BA3" s="438">
        <v>3</v>
      </c>
      <c r="BB3" s="438">
        <v>3</v>
      </c>
      <c r="BC3" s="438">
        <v>4</v>
      </c>
      <c r="BD3" s="438">
        <v>4</v>
      </c>
      <c r="BE3" s="438">
        <v>4</v>
      </c>
      <c r="BF3" s="438">
        <v>3</v>
      </c>
      <c r="BG3" s="438">
        <v>3</v>
      </c>
      <c r="BH3" s="438">
        <v>3</v>
      </c>
      <c r="BI3" s="438">
        <v>5</v>
      </c>
      <c r="BJ3" s="438">
        <v>4</v>
      </c>
      <c r="BK3" s="438">
        <v>3</v>
      </c>
      <c r="BL3" s="438">
        <v>5</v>
      </c>
      <c r="BM3" s="438">
        <v>3</v>
      </c>
      <c r="BN3" s="422" t="s">
        <v>401</v>
      </c>
      <c r="BO3" s="438">
        <v>35</v>
      </c>
      <c r="BP3" s="438">
        <v>30</v>
      </c>
      <c r="BQ3" s="422">
        <f t="shared" ref="BQ3:BQ8" si="3">SUM(BO3:BP3)</f>
        <v>65</v>
      </c>
      <c r="BR3" s="438" t="str">
        <f t="shared" ref="BR3:BR8" si="4">IF(BQ3&gt;=80,"A1",
IF(BQ3&gt;=75,"A",
IF(BQ3&gt;=70,"B2",
IF(BQ3&gt;=65,"B3",
IF(BQ3&gt;=60,"C4",
IF(BQ3&gt;=55,"C5",
IF(BQ3&gt;=50,"C6",
IF(BQ3&gt;=45,"D7",
IF(BQ3&gt;=40,"E8",
IF(BQ3&gt;=1,"F9",""))))))))))</f>
        <v>B3</v>
      </c>
      <c r="BS3" s="422">
        <v>35</v>
      </c>
      <c r="BT3" s="438">
        <v>40</v>
      </c>
      <c r="BU3" s="422">
        <f t="shared" ref="BU3:BU8" si="5">SUM(BS3:BT3)</f>
        <v>75</v>
      </c>
      <c r="BV3" s="438" t="str">
        <f>IF(BU3&gt;=80,"A1",
IF(BU3&gt;=75,"A",
IF(BU3&gt;=70,"B2",
IF(BU3&gt;=65,"B3",
IF(BU3&gt;=60,"C4",
IF(BU3&gt;=55,"C5",
IF(BU3&gt;=50,"C6",
IF(BU3&gt;=45,"D7",
IF(BU3&gt;=40,"E8",
IF(BU3&gt;=1,"F9",""))))))))))</f>
        <v>A</v>
      </c>
      <c r="BW3" s="422">
        <v>35</v>
      </c>
      <c r="BX3" s="422">
        <v>35</v>
      </c>
      <c r="BY3" s="422">
        <f>SUM(BW3:BX3)</f>
        <v>70</v>
      </c>
      <c r="BZ3" s="438" t="str">
        <f>IF(BY3&gt;=80,"A1",
IF(BY3&gt;=75,"A",
IF(BY3&gt;=70,"B2",
IF(BY3&gt;=65,"B3",
IF(BY3&gt;=60,"C4",
IF(BY3&gt;=55,"C5",
IF(BY3&gt;=50,"C6",
IF(BY3&gt;=45,"D7",
IF(BY3&gt;=40,"E8",
IF(BY3&gt;=1,"F9",""))))))))))</f>
        <v>B2</v>
      </c>
      <c r="CA3" s="422">
        <v>35</v>
      </c>
      <c r="CB3" s="422">
        <v>30</v>
      </c>
      <c r="CC3" s="422">
        <f>SUM(CA3:CB3)</f>
        <v>65</v>
      </c>
      <c r="CD3" s="438" t="str">
        <f>IF(CC3&gt;=80,"A1",
IF(CC3&gt;=75,"A",
IF(CC3&gt;=70,"B2",
IF(CC3&gt;=65,"B3",
IF(CC3&gt;=60,"C4",
IF(CC3&gt;=55,"C5",
IF(CC3&gt;=50,"C6",
IF(CC3&gt;=45,"D7",
IF(CC3&gt;=40,"E8",
IF(CC3&gt;=1,"F9",""))))))))))</f>
        <v>B3</v>
      </c>
      <c r="CE3" s="422">
        <v>35</v>
      </c>
      <c r="CF3" s="422">
        <v>35</v>
      </c>
      <c r="CG3" s="422">
        <f>SUM(CE3:CF3)</f>
        <v>70</v>
      </c>
      <c r="CH3" s="438" t="str">
        <f>IF(CG3&gt;=80,"A1",
IF(CG3&gt;=75,"A",
IF(CG3&gt;=70,"B2",
IF(CG3&gt;=65,"B3",
IF(CG3&gt;=60,"C4",
IF(CG3&gt;=55,"C5",
IF(CG3&gt;=50,"C6",
IF(CG3&gt;=45,"D7",
IF(CG3&gt;=40,"E8",
IF(CG3&gt;=1,"F9",""))))))))))</f>
        <v>B2</v>
      </c>
      <c r="CI3" s="422">
        <v>35</v>
      </c>
      <c r="CJ3" s="422">
        <v>35</v>
      </c>
      <c r="CK3" s="422">
        <f>SUM(CI3:CJ3)</f>
        <v>70</v>
      </c>
      <c r="CL3" s="438" t="str">
        <f>IF(CK3&gt;=80,"A1",
IF(CK3&gt;=75,"A",
IF(CK3&gt;=70,"B2",
IF(CK3&gt;=65,"B3",
IF(CK3&gt;=60,"C4",
IF(CK3&gt;=55,"C5",
IF(CK3&gt;=50,"C6",
IF(CK3&gt;=45,"D7",
IF(CK3&gt;=40,"E8",
IF(CK3&gt;=1,"F9",""))))))))))</f>
        <v>B2</v>
      </c>
      <c r="CM3" s="422">
        <v>35</v>
      </c>
      <c r="CN3" s="422"/>
      <c r="CO3" s="422"/>
      <c r="CP3" s="422">
        <f t="shared" ref="CP3:CP8" si="6">CM3</f>
        <v>35</v>
      </c>
      <c r="CQ3" s="422">
        <v>40</v>
      </c>
      <c r="CR3" s="422">
        <f>SUM(CP3:CQ3)</f>
        <v>75</v>
      </c>
      <c r="CS3" s="438" t="str">
        <f>IF(CR3&gt;=80,"A1",
IF(CR3&gt;=75,"A",
IF(CR3&gt;=70,"B2",
IF(CR3&gt;=65,"B3",
IF(CR3&gt;=60,"C4",
IF(CR3&gt;=55,"C5",
IF(CR3&gt;=50,"C6",
IF(CR3&gt;=45,"D7",
IF(CR3&gt;=40,"E8",
IF(CR3&gt;=1,"F9",""))))))))))</f>
        <v>A</v>
      </c>
      <c r="CT3" s="422"/>
      <c r="CU3" s="422"/>
      <c r="CV3" s="422">
        <f>SUM(CT3:CU3)</f>
        <v>0</v>
      </c>
      <c r="CW3" s="438" t="str">
        <f>IF(CV3&gt;=80,"A1",
IF(CV3&gt;=75,"A",
IF(CV3&gt;=70,"B2",
IF(CV3&gt;=65,"B3",
IF(CV3&gt;=60,"C4",
IF(CV3&gt;=55,"C5",
IF(CV3&gt;=50,"C6",
IF(CV3&gt;=45,"D7",
IF(CV3&gt;=40,"E8",
IF(CV3&gt;=1,"F9",""))))))))))</f>
        <v/>
      </c>
      <c r="CX3" s="422">
        <v>35</v>
      </c>
      <c r="CY3" s="422">
        <v>30</v>
      </c>
      <c r="CZ3" s="422">
        <f>SUM(CX3:CY3)</f>
        <v>65</v>
      </c>
      <c r="DA3" s="438" t="str">
        <f>IF(CZ3&gt;=80,"A1",
IF(CZ3&gt;=75,"A",
IF(CZ3&gt;=70,"B2",
IF(CZ3&gt;=65,"B3",
IF(CZ3&gt;=60,"C4",
IF(CZ3&gt;=55,"C5",
IF(CZ3&gt;=50,"C6",
IF(CZ3&gt;=45,"D7",
IF(CZ3&gt;=40,"E8",
IF(CZ3&gt;=1,"F9",""))))))))))</f>
        <v>B3</v>
      </c>
      <c r="DB3" s="422">
        <v>30</v>
      </c>
      <c r="DC3" s="422">
        <v>35</v>
      </c>
      <c r="DD3" s="422">
        <f>SUM(DB3:DC3)</f>
        <v>65</v>
      </c>
      <c r="DE3" s="422" t="str">
        <f>IF(DD3&gt;=80,"A1",
IF(DD3&gt;=75,"A",
IF(DD3&gt;=70,"B2",
IF(DD3&gt;=65,"B3",
IF(DD3&gt;=60,"C4",
IF(DD3&gt;=55,"C5",
IF(DD3&gt;=50,"C6",
IF(DD3&gt;=45,"D7",
IF(DD3&gt;=40,"E8",
IF(DD3&gt;=1,"F9",""))))))))))</f>
        <v>B3</v>
      </c>
      <c r="DF3" s="422">
        <f t="shared" ref="DF3:DF8" si="7">DB3</f>
        <v>30</v>
      </c>
      <c r="DG3" s="422">
        <v>30</v>
      </c>
      <c r="DH3" s="422">
        <f>SUM(DF3:DG3)</f>
        <v>60</v>
      </c>
      <c r="DI3" s="422" t="str">
        <f>IF(DH3&gt;=80,"A1",
IF(DH3&gt;=75,"A",
IF(DH3&gt;=70,"B2",
IF(DH3&gt;=65,"B3",
IF(DH3&gt;=60,"C4",
IF(DH3&gt;=55,"C5",
IF(DH3&gt;=50,"C6",
IF(DH3&gt;=45,"D7",
IF(DH3&gt;=40,"E8",
IF(DH3&gt;=1,"F9",""))))))))))</f>
        <v>C4</v>
      </c>
      <c r="DJ3" s="422">
        <v>35</v>
      </c>
      <c r="DK3" s="422">
        <v>40</v>
      </c>
      <c r="DL3" s="422">
        <f>SUM(DJ3:DK3)</f>
        <v>75</v>
      </c>
      <c r="DM3" s="422" t="str">
        <f>IF(DL3&gt;=80,"A1",
IF(DL3&gt;=75,"A",
IF(DL3&gt;=70,"B2",
IF(DL3&gt;=65,"B3",
IF(DL3&gt;=60,"C4",
IF(DL3&gt;=55,"C5",
IF(DL3&gt;=50,"C6",
IF(DL3&gt;=45,"D7",
IF(DL3&gt;=40,"E8",
IF(DL3&gt;=1,"F9",""))))))))))</f>
        <v>A</v>
      </c>
      <c r="DN3" s="422">
        <v>35</v>
      </c>
      <c r="DO3" s="422">
        <v>40</v>
      </c>
      <c r="DP3" s="422">
        <f>SUM(DN3:DO3)</f>
        <v>75</v>
      </c>
      <c r="DQ3" s="438" t="str">
        <f>IF(DP3&gt;=80,"A1",
IF(DP3&gt;=75,"A",
IF(DP3&gt;=70,"B2",
IF(DP3&gt;=65,"B3",
IF(DP3&gt;=60,"C4",
IF(DP3&gt;=55,"C5",
IF(DP3&gt;=50,"C6",
IF(DP3&gt;=45,"D7",
IF(DP3&gt;=40,"E8",
IF(DP3&gt;=1,"F9",""))))))))))</f>
        <v>A</v>
      </c>
      <c r="DR3" s="422">
        <v>25</v>
      </c>
      <c r="DS3" s="422">
        <v>25</v>
      </c>
      <c r="DT3" s="422">
        <f>SUM(DR3:DS3)</f>
        <v>50</v>
      </c>
      <c r="DU3" s="438" t="str">
        <f>IF(DT3&gt;=80,"A1",
IF(DT3&gt;=75,"A",
IF(DT3&gt;=70,"B2",
IF(DT3&gt;=65,"B3",
IF(DT3&gt;=60,"C4",
IF(DT3&gt;=55,"C5",
IF(DT3&gt;=50,"C6",
IF(DT3&gt;=45,"D7",
IF(DT3&gt;=40,"E8",
IF(DT3&gt;=1,"F9",""))))))))))</f>
        <v>C6</v>
      </c>
      <c r="DV3" s="422">
        <v>35</v>
      </c>
      <c r="DW3" s="422">
        <v>40</v>
      </c>
      <c r="DX3" s="422">
        <f>SUM(DV3:DW3)</f>
        <v>75</v>
      </c>
      <c r="DY3" s="438" t="str">
        <f>IF(DX3&gt;=80,"A1",
IF(DX3&gt;=75,"A",
IF(DX3&gt;=70,"B2",
IF(DX3&gt;=65,"B3",
IF(DX3&gt;=60,"C4",
IF(DX3&gt;=55,"C5",
IF(DX3&gt;=50,"C6",
IF(DX3&gt;=45,"D7",
IF(DX3&gt;=40,"E8",
IF(DX3&gt;=1,"F9",""))))))))))</f>
        <v>A</v>
      </c>
      <c r="DZ3" s="422">
        <f t="shared" ref="DZ3:DZ8" si="8">DV3</f>
        <v>35</v>
      </c>
      <c r="EA3" s="422">
        <v>35</v>
      </c>
      <c r="EB3" s="422">
        <f>SUM(DZ3:EA3)</f>
        <v>70</v>
      </c>
      <c r="EC3" s="438" t="str">
        <f>IF(EB3&gt;=80,"A1",
IF(EB3&gt;=75,"A",
IF(EB3&gt;=70,"B2",
IF(EB3&gt;=65,"B3",
IF(EB3&gt;=60,"C4",
IF(EB3&gt;=55,"C5",
IF(EB3&gt;=50,"C6",
IF(EB3&gt;=45,"D7",
IF(EB3&gt;=40,"E8",
IF(EB3&gt;=1,"F9",""))))))))))</f>
        <v>B2</v>
      </c>
      <c r="ED3" s="422">
        <f t="shared" si="0"/>
        <v>1025</v>
      </c>
      <c r="EE3" s="422">
        <f t="shared" ref="EE3:EE9" si="9">ED3/16</f>
        <v>64.0625</v>
      </c>
      <c r="EF3" s="438" t="str">
        <f t="shared" ref="EF3:EF9" si="10">IF(EE3&gt;=80,"A1",
IF(EE3&gt;=75,"A",
IF(EE3&gt;=70,"B2",
IF(EE3&gt;=65,"B3",
IF(EE3&gt;=60,"C4",
IF(EE3&gt;=55,"C5",
IF(EE3&gt;=50,"C6",
IF(EE3&gt;=45,"D7",
IF(EE3&gt;=40,"E8",
IF(EE3&gt;=1,"F9",""))))))))))</f>
        <v>C4</v>
      </c>
      <c r="EG3" s="422" t="str">
        <f t="shared" ref="EG3:EG9" si="11">IF(EF3="F9","FAIL",
IF(OR(EF3="E8",EF3="D7"),"PASS",
IF(OR(EF3="C6",EF3="C5"),"CREDIT",
IF(OR(EF3="C4",EF3="B3",EF3="B2"),"HIGH-CREDIT",
IF(OR(EF3="A",EF3="A1"),"DISTINTION","")))))</f>
        <v>HIGH-CREDIT</v>
      </c>
      <c r="EH3" s="439">
        <v>1</v>
      </c>
      <c r="EI3" s="422">
        <f t="shared" ref="EI3:EI9" si="12">ED3</f>
        <v>1025</v>
      </c>
      <c r="EJ3" s="440">
        <f t="shared" ref="EJ3:EJ9" si="13">EE3/100</f>
        <v>0.640625</v>
      </c>
      <c r="EK3" s="438" t="s">
        <v>573</v>
      </c>
      <c r="EL3" s="438" t="s">
        <v>758</v>
      </c>
    </row>
    <row r="4" spans="1:145" ht="30">
      <c r="A4" s="781" t="s">
        <v>315</v>
      </c>
      <c r="B4" s="690" t="s">
        <v>315</v>
      </c>
      <c r="C4" s="690"/>
      <c r="D4" s="690"/>
      <c r="E4" s="690"/>
      <c r="F4" s="822" t="s">
        <v>316</v>
      </c>
      <c r="G4" s="823"/>
      <c r="H4" s="823"/>
      <c r="I4" s="823"/>
      <c r="J4" s="823"/>
      <c r="K4" s="823"/>
      <c r="L4" s="823"/>
      <c r="M4" s="823"/>
      <c r="N4" s="823"/>
      <c r="O4" s="823"/>
      <c r="P4" s="823"/>
      <c r="Q4" s="823"/>
      <c r="R4" s="823"/>
      <c r="S4" s="823"/>
      <c r="T4" s="824"/>
      <c r="U4" s="809"/>
      <c r="V4" s="391"/>
      <c r="W4" s="391"/>
      <c r="X4" s="391"/>
      <c r="Y4" s="391"/>
      <c r="Z4" s="391"/>
      <c r="AA4" s="420">
        <f t="shared" si="1"/>
        <v>3</v>
      </c>
      <c r="AB4" s="435" t="s">
        <v>59</v>
      </c>
      <c r="AC4" s="422" t="s">
        <v>394</v>
      </c>
      <c r="AD4" s="422" t="s">
        <v>326</v>
      </c>
      <c r="AE4" s="422">
        <v>14</v>
      </c>
      <c r="AF4" s="422">
        <f>'SSS1 ATTENDANCE '!FJ10</f>
        <v>128</v>
      </c>
      <c r="AG4" s="422">
        <f>'SSS1 ATTENDANCE '!FH10</f>
        <v>124</v>
      </c>
      <c r="AH4" s="422">
        <f>'SSS1 ATTENDANCE '!FI10</f>
        <v>4</v>
      </c>
      <c r="AI4" s="436" t="s">
        <v>576</v>
      </c>
      <c r="AJ4" s="437">
        <v>40754</v>
      </c>
      <c r="AK4" s="435" t="s">
        <v>396</v>
      </c>
      <c r="AL4" s="424">
        <v>25</v>
      </c>
      <c r="AM4" s="422">
        <v>27</v>
      </c>
      <c r="AN4" s="438">
        <v>4</v>
      </c>
      <c r="AO4" s="422" t="str">
        <f t="shared" si="2"/>
        <v>5</v>
      </c>
      <c r="AP4" s="438">
        <v>5</v>
      </c>
      <c r="AQ4" s="422">
        <v>4</v>
      </c>
      <c r="AR4" s="438">
        <v>4</v>
      </c>
      <c r="AS4" s="438">
        <v>4</v>
      </c>
      <c r="AT4" s="438">
        <v>4</v>
      </c>
      <c r="AU4" s="438">
        <v>3</v>
      </c>
      <c r="AV4" s="438">
        <v>4</v>
      </c>
      <c r="AW4" s="438">
        <v>4</v>
      </c>
      <c r="AX4" s="438">
        <v>3</v>
      </c>
      <c r="AY4" s="438">
        <v>4</v>
      </c>
      <c r="AZ4" s="438">
        <v>3</v>
      </c>
      <c r="BA4" s="438">
        <v>3</v>
      </c>
      <c r="BB4" s="438">
        <v>3</v>
      </c>
      <c r="BC4" s="438">
        <v>4</v>
      </c>
      <c r="BD4" s="438">
        <v>4</v>
      </c>
      <c r="BE4" s="438">
        <v>4</v>
      </c>
      <c r="BF4" s="438">
        <v>3</v>
      </c>
      <c r="BG4" s="438">
        <v>3</v>
      </c>
      <c r="BH4" s="438">
        <v>3</v>
      </c>
      <c r="BI4" s="438">
        <v>5</v>
      </c>
      <c r="BJ4" s="438">
        <v>4</v>
      </c>
      <c r="BK4" s="438">
        <v>3</v>
      </c>
      <c r="BL4" s="438">
        <v>5</v>
      </c>
      <c r="BM4" s="438">
        <v>3</v>
      </c>
      <c r="BN4" s="422" t="s">
        <v>402</v>
      </c>
      <c r="BO4" s="438">
        <v>35</v>
      </c>
      <c r="BP4" s="438">
        <v>31</v>
      </c>
      <c r="BQ4" s="422">
        <f t="shared" si="3"/>
        <v>66</v>
      </c>
      <c r="BR4" s="438" t="str">
        <f t="shared" si="4"/>
        <v>B3</v>
      </c>
      <c r="BS4" s="422">
        <v>35</v>
      </c>
      <c r="BT4" s="438">
        <v>40</v>
      </c>
      <c r="BU4" s="422">
        <f t="shared" si="5"/>
        <v>75</v>
      </c>
      <c r="BV4" s="438" t="str">
        <f t="shared" ref="BV4:BV8" si="14">IF(BU4&gt;=80,"A1",
IF(BU4&gt;=75,"A",
IF(BU4&gt;=70,"B2",
IF(BU4&gt;=65,"B3",
IF(BU4&gt;=60,"C4",
IF(BU4&gt;=55,"C5",
IF(BU4&gt;=50,"C6",
IF(BU4&gt;=45,"D7",
IF(BU4&gt;=40,"E8",
IF(BU4&gt;=1,"F9",""))))))))))</f>
        <v>A</v>
      </c>
      <c r="BW4" s="422">
        <v>35</v>
      </c>
      <c r="BX4" s="422">
        <v>35</v>
      </c>
      <c r="BY4" s="422">
        <f t="shared" ref="BY4:BY8" si="15">SUM(BW4:BX4)</f>
        <v>70</v>
      </c>
      <c r="BZ4" s="438" t="str">
        <f t="shared" ref="BZ4:BZ8" si="16">IF(BY4&gt;=80,"A1",
IF(BY4&gt;=75,"A",
IF(BY4&gt;=70,"B2",
IF(BY4&gt;=65,"B3",
IF(BY4&gt;=60,"C4",
IF(BY4&gt;=55,"C5",
IF(BY4&gt;=50,"C6",
IF(BY4&gt;=45,"D7",
IF(BY4&gt;=40,"E8",
IF(BY4&gt;=1,"F9",""))))))))))</f>
        <v>B2</v>
      </c>
      <c r="CA4" s="422">
        <v>35</v>
      </c>
      <c r="CB4" s="422">
        <v>30</v>
      </c>
      <c r="CC4" s="422">
        <f t="shared" ref="CC4:CC8" si="17">SUM(CA4:CB4)</f>
        <v>65</v>
      </c>
      <c r="CD4" s="438" t="str">
        <f t="shared" ref="CD4:CD8" si="18">IF(CC4&gt;=80,"A1",
IF(CC4&gt;=75,"A",
IF(CC4&gt;=70,"B2",
IF(CC4&gt;=65,"B3",
IF(CC4&gt;=60,"C4",
IF(CC4&gt;=55,"C5",
IF(CC4&gt;=50,"C6",
IF(CC4&gt;=45,"D7",
IF(CC4&gt;=40,"E8",
IF(CC4&gt;=1,"F9",""))))))))))</f>
        <v>B3</v>
      </c>
      <c r="CE4" s="422">
        <v>35</v>
      </c>
      <c r="CF4" s="422">
        <v>34</v>
      </c>
      <c r="CG4" s="422">
        <f t="shared" ref="CG4:CG8" si="19">SUM(CE4:CF4)</f>
        <v>69</v>
      </c>
      <c r="CH4" s="438" t="str">
        <f t="shared" ref="CH4:CH8" si="20">IF(CG4&gt;=80,"A1",
IF(CG4&gt;=75,"A",
IF(CG4&gt;=70,"B2",
IF(CG4&gt;=65,"B3",
IF(CG4&gt;=60,"C4",
IF(CG4&gt;=55,"C5",
IF(CG4&gt;=50,"C6",
IF(CG4&gt;=45,"D7",
IF(CG4&gt;=40,"E8",
IF(CG4&gt;=1,"F9",""))))))))))</f>
        <v>B3</v>
      </c>
      <c r="CI4" s="422">
        <v>35</v>
      </c>
      <c r="CJ4" s="422">
        <v>35</v>
      </c>
      <c r="CK4" s="422">
        <f t="shared" ref="CK4:CK8" si="21">SUM(CI4:CJ4)</f>
        <v>70</v>
      </c>
      <c r="CL4" s="438" t="str">
        <f t="shared" ref="CL4:CL8" si="22">IF(CK4&gt;=80,"A1",
IF(CK4&gt;=75,"A",
IF(CK4&gt;=70,"B2",
IF(CK4&gt;=65,"B3",
IF(CK4&gt;=60,"C4",
IF(CK4&gt;=55,"C5",
IF(CK4&gt;=50,"C6",
IF(CK4&gt;=45,"D7",
IF(CK4&gt;=40,"E8",
IF(CK4&gt;=1,"F9",""))))))))))</f>
        <v>B2</v>
      </c>
      <c r="CM4" s="422">
        <v>35</v>
      </c>
      <c r="CN4" s="422"/>
      <c r="CO4" s="422"/>
      <c r="CP4" s="422">
        <f t="shared" si="6"/>
        <v>35</v>
      </c>
      <c r="CQ4" s="422">
        <v>40</v>
      </c>
      <c r="CR4" s="422">
        <f t="shared" ref="CR4:CR8" si="23">SUM(CP4:CQ4)</f>
        <v>75</v>
      </c>
      <c r="CS4" s="438" t="str">
        <f t="shared" ref="CS4:CS8" si="24">IF(CR4&gt;=80,"A1",
IF(CR4&gt;=75,"A",
IF(CR4&gt;=70,"B2",
IF(CR4&gt;=65,"B3",
IF(CR4&gt;=60,"C4",
IF(CR4&gt;=55,"C5",
IF(CR4&gt;=50,"C6",
IF(CR4&gt;=45,"D7",
IF(CR4&gt;=40,"E8",
IF(CR4&gt;=1,"F9",""))))))))))</f>
        <v>A</v>
      </c>
      <c r="CT4" s="422"/>
      <c r="CU4" s="422"/>
      <c r="CV4" s="422">
        <f t="shared" ref="CV4:CV8" si="25">SUM(CT4:CU4)</f>
        <v>0</v>
      </c>
      <c r="CW4" s="438" t="str">
        <f t="shared" ref="CW4:CW8" si="26">IF(CV4&gt;=80,"A1",
IF(CV4&gt;=75,"A",
IF(CV4&gt;=70,"B2",
IF(CV4&gt;=65,"B3",
IF(CV4&gt;=60,"C4",
IF(CV4&gt;=55,"C5",
IF(CV4&gt;=50,"C6",
IF(CV4&gt;=45,"D7",
IF(CV4&gt;=40,"E8",
IF(CV4&gt;=1,"F9",""))))))))))</f>
        <v/>
      </c>
      <c r="CX4" s="422">
        <v>35</v>
      </c>
      <c r="CY4" s="422">
        <v>30</v>
      </c>
      <c r="CZ4" s="422">
        <f t="shared" ref="CZ4:CZ8" si="27">SUM(CX4:CY4)</f>
        <v>65</v>
      </c>
      <c r="DA4" s="438" t="str">
        <f t="shared" ref="DA4:DA8" si="28">IF(CZ4&gt;=80,"A1",
IF(CZ4&gt;=75,"A",
IF(CZ4&gt;=70,"B2",
IF(CZ4&gt;=65,"B3",
IF(CZ4&gt;=60,"C4",
IF(CZ4&gt;=55,"C5",
IF(CZ4&gt;=50,"C6",
IF(CZ4&gt;=45,"D7",
IF(CZ4&gt;=40,"E8",
IF(CZ4&gt;=1,"F9",""))))))))))</f>
        <v>B3</v>
      </c>
      <c r="DB4" s="422">
        <f t="shared" ref="DB4:DB8" si="29">CX4</f>
        <v>35</v>
      </c>
      <c r="DC4" s="422">
        <v>35</v>
      </c>
      <c r="DD4" s="422">
        <f t="shared" ref="DD4:DD8" si="30">SUM(DB4:DC4)</f>
        <v>70</v>
      </c>
      <c r="DE4" s="422" t="str">
        <f t="shared" ref="DE4:DE8" si="31">IF(DD4&gt;=80,"A1",
IF(DD4&gt;=75,"A",
IF(DD4&gt;=70,"B2",
IF(DD4&gt;=65,"B3",
IF(DD4&gt;=60,"C4",
IF(DD4&gt;=55,"C5",
IF(DD4&gt;=50,"C6",
IF(DD4&gt;=45,"D7",
IF(DD4&gt;=40,"E8",
IF(DD4&gt;=1,"F9",""))))))))))</f>
        <v>B2</v>
      </c>
      <c r="DF4" s="422">
        <f t="shared" si="7"/>
        <v>35</v>
      </c>
      <c r="DG4" s="422">
        <v>30</v>
      </c>
      <c r="DH4" s="422">
        <f t="shared" ref="DH4:DH8" si="32">SUM(DF4:DG4)</f>
        <v>65</v>
      </c>
      <c r="DI4" s="422" t="str">
        <f t="shared" ref="DI4:DI8" si="33">IF(DH4&gt;=80,"A1",
IF(DH4&gt;=75,"A",
IF(DH4&gt;=70,"B2",
IF(DH4&gt;=65,"B3",
IF(DH4&gt;=60,"C4",
IF(DH4&gt;=55,"C5",
IF(DH4&gt;=50,"C6",
IF(DH4&gt;=45,"D7",
IF(DH4&gt;=40,"E8",
IF(DH4&gt;=1,"F9",""))))))))))</f>
        <v>B3</v>
      </c>
      <c r="DJ4" s="422">
        <f t="shared" ref="DJ4:DJ8" si="34">DF4</f>
        <v>35</v>
      </c>
      <c r="DK4" s="422">
        <v>40</v>
      </c>
      <c r="DL4" s="422">
        <f t="shared" ref="DL4:DL8" si="35">SUM(DJ4:DK4)</f>
        <v>75</v>
      </c>
      <c r="DM4" s="422" t="str">
        <f t="shared" ref="DM4:DM8" si="36">IF(DL4&gt;=80,"A1",
IF(DL4&gt;=75,"A",
IF(DL4&gt;=70,"B2",
IF(DL4&gt;=65,"B3",
IF(DL4&gt;=60,"C4",
IF(DL4&gt;=55,"C5",
IF(DL4&gt;=50,"C6",
IF(DL4&gt;=45,"D7",
IF(DL4&gt;=40,"E8",
IF(DL4&gt;=1,"F9",""))))))))))</f>
        <v>A</v>
      </c>
      <c r="DN4" s="422">
        <f t="shared" ref="DN4:DN8" si="37">DJ4</f>
        <v>35</v>
      </c>
      <c r="DO4" s="422">
        <v>40</v>
      </c>
      <c r="DP4" s="422">
        <f t="shared" ref="DP4:DP8" si="38">SUM(DN4:DO4)</f>
        <v>75</v>
      </c>
      <c r="DQ4" s="438" t="str">
        <f t="shared" ref="DQ4:DQ8" si="39">IF(DP4&gt;=80,"A1",
IF(DP4&gt;=75,"A",
IF(DP4&gt;=70,"B2",
IF(DP4&gt;=65,"B3",
IF(DP4&gt;=60,"C4",
IF(DP4&gt;=55,"C5",
IF(DP4&gt;=50,"C6",
IF(DP4&gt;=45,"D7",
IF(DP4&gt;=40,"E8",
IF(DP4&gt;=1,"F9",""))))))))))</f>
        <v>A</v>
      </c>
      <c r="DR4" s="422">
        <f t="shared" ref="DR4:DR8" si="40">DN4</f>
        <v>35</v>
      </c>
      <c r="DS4" s="422">
        <v>25</v>
      </c>
      <c r="DT4" s="422">
        <f t="shared" ref="DT4:DT8" si="41">SUM(DR4:DS4)</f>
        <v>60</v>
      </c>
      <c r="DU4" s="438" t="str">
        <f t="shared" ref="DU4:DU8" si="42">IF(DT4&gt;=80,"A1",
IF(DT4&gt;=75,"A",
IF(DT4&gt;=70,"B2",
IF(DT4&gt;=65,"B3",
IF(DT4&gt;=60,"C4",
IF(DT4&gt;=55,"C5",
IF(DT4&gt;=50,"C6",
IF(DT4&gt;=45,"D7",
IF(DT4&gt;=40,"E8",
IF(DT4&gt;=1,"F9",""))))))))))</f>
        <v>C4</v>
      </c>
      <c r="DV4" s="422">
        <f t="shared" ref="DV4:DV8" si="43">DR4</f>
        <v>35</v>
      </c>
      <c r="DW4" s="422">
        <v>40</v>
      </c>
      <c r="DX4" s="422">
        <f t="shared" ref="DX4:DX8" si="44">SUM(DV4:DW4)</f>
        <v>75</v>
      </c>
      <c r="DY4" s="438" t="str">
        <f t="shared" ref="DY4:DY8" si="45">IF(DX4&gt;=80,"A1",
IF(DX4&gt;=75,"A",
IF(DX4&gt;=70,"B2",
IF(DX4&gt;=65,"B3",
IF(DX4&gt;=60,"C4",
IF(DX4&gt;=55,"C5",
IF(DX4&gt;=50,"C6",
IF(DX4&gt;=45,"D7",
IF(DX4&gt;=40,"E8",
IF(DX4&gt;=1,"F9",""))))))))))</f>
        <v>A</v>
      </c>
      <c r="DZ4" s="422">
        <f t="shared" si="8"/>
        <v>35</v>
      </c>
      <c r="EA4" s="422">
        <v>35</v>
      </c>
      <c r="EB4" s="422">
        <f t="shared" ref="EB4:EB8" si="46">SUM(DZ4:EA4)</f>
        <v>70</v>
      </c>
      <c r="EC4" s="438" t="str">
        <f t="shared" ref="EC4:EC8" si="47">IF(EB4&gt;=80,"A1",
IF(EB4&gt;=75,"A",
IF(EB4&gt;=70,"B2",
IF(EB4&gt;=65,"B3",
IF(EB4&gt;=60,"C4",
IF(EB4&gt;=55,"C5",
IF(EB4&gt;=50,"C6",
IF(EB4&gt;=45,"D7",
IF(EB4&gt;=40,"E8",
IF(EB4&gt;=1,"F9",""))))))))))</f>
        <v>B2</v>
      </c>
      <c r="ED4" s="422">
        <f t="shared" si="0"/>
        <v>1045</v>
      </c>
      <c r="EE4" s="422">
        <f t="shared" si="9"/>
        <v>65.3125</v>
      </c>
      <c r="EF4" s="438" t="str">
        <f t="shared" si="10"/>
        <v>B3</v>
      </c>
      <c r="EG4" s="422" t="str">
        <f t="shared" si="11"/>
        <v>HIGH-CREDIT</v>
      </c>
      <c r="EH4" s="439">
        <v>1</v>
      </c>
      <c r="EI4" s="422">
        <f t="shared" si="12"/>
        <v>1045</v>
      </c>
      <c r="EJ4" s="440">
        <f t="shared" si="13"/>
        <v>0.65312499999999996</v>
      </c>
      <c r="EK4" s="438" t="s">
        <v>573</v>
      </c>
      <c r="EL4" s="438" t="s">
        <v>758</v>
      </c>
    </row>
    <row r="5" spans="1:145" ht="30">
      <c r="A5" s="781"/>
      <c r="B5" s="690"/>
      <c r="C5" s="690"/>
      <c r="D5" s="690"/>
      <c r="E5" s="690"/>
      <c r="F5" s="825"/>
      <c r="G5" s="826"/>
      <c r="H5" s="826"/>
      <c r="I5" s="826"/>
      <c r="J5" s="826"/>
      <c r="K5" s="826"/>
      <c r="L5" s="826"/>
      <c r="M5" s="826"/>
      <c r="N5" s="826"/>
      <c r="O5" s="826"/>
      <c r="P5" s="826"/>
      <c r="Q5" s="826"/>
      <c r="R5" s="826"/>
      <c r="S5" s="826"/>
      <c r="T5" s="827"/>
      <c r="U5" s="809"/>
      <c r="V5" s="391"/>
      <c r="W5" s="391"/>
      <c r="X5" s="391"/>
      <c r="Y5" s="391"/>
      <c r="Z5" s="391"/>
      <c r="AA5" s="420">
        <f t="shared" si="1"/>
        <v>4</v>
      </c>
      <c r="AB5" s="435" t="s">
        <v>60</v>
      </c>
      <c r="AC5" s="422" t="s">
        <v>394</v>
      </c>
      <c r="AD5" s="422" t="s">
        <v>326</v>
      </c>
      <c r="AE5" s="422">
        <v>14</v>
      </c>
      <c r="AF5" s="422">
        <f>'SSS1 ATTENDANCE '!FJ11</f>
        <v>128</v>
      </c>
      <c r="AG5" s="422">
        <f>'SSS1 ATTENDANCE '!FH11</f>
        <v>118</v>
      </c>
      <c r="AH5" s="422">
        <f>'SSS1 ATTENDANCE '!FI11</f>
        <v>10</v>
      </c>
      <c r="AI5" s="436" t="s">
        <v>577</v>
      </c>
      <c r="AJ5" s="437">
        <v>40900</v>
      </c>
      <c r="AK5" s="435" t="s">
        <v>396</v>
      </c>
      <c r="AL5" s="424">
        <v>25</v>
      </c>
      <c r="AM5" s="422">
        <v>27</v>
      </c>
      <c r="AN5" s="438">
        <v>4</v>
      </c>
      <c r="AO5" s="422" t="str">
        <f t="shared" si="2"/>
        <v>5</v>
      </c>
      <c r="AP5" s="438">
        <v>5</v>
      </c>
      <c r="AQ5" s="422">
        <v>4</v>
      </c>
      <c r="AR5" s="438">
        <v>4</v>
      </c>
      <c r="AS5" s="438">
        <v>4</v>
      </c>
      <c r="AT5" s="438">
        <v>4</v>
      </c>
      <c r="AU5" s="438">
        <v>3</v>
      </c>
      <c r="AV5" s="438">
        <v>4</v>
      </c>
      <c r="AW5" s="438">
        <v>4</v>
      </c>
      <c r="AX5" s="438">
        <v>3</v>
      </c>
      <c r="AY5" s="438">
        <v>4</v>
      </c>
      <c r="AZ5" s="438">
        <v>3</v>
      </c>
      <c r="BA5" s="438">
        <v>3</v>
      </c>
      <c r="BB5" s="438">
        <v>3</v>
      </c>
      <c r="BC5" s="438">
        <v>4</v>
      </c>
      <c r="BD5" s="438">
        <v>4</v>
      </c>
      <c r="BE5" s="438">
        <v>4</v>
      </c>
      <c r="BF5" s="438">
        <v>3</v>
      </c>
      <c r="BG5" s="438">
        <v>3</v>
      </c>
      <c r="BH5" s="438">
        <v>3</v>
      </c>
      <c r="BI5" s="438">
        <v>5</v>
      </c>
      <c r="BJ5" s="438">
        <v>4</v>
      </c>
      <c r="BK5" s="438">
        <v>3</v>
      </c>
      <c r="BL5" s="438">
        <v>5</v>
      </c>
      <c r="BM5" s="438">
        <v>3</v>
      </c>
      <c r="BN5" s="422" t="s">
        <v>403</v>
      </c>
      <c r="BO5" s="438">
        <v>35</v>
      </c>
      <c r="BP5" s="438">
        <v>27</v>
      </c>
      <c r="BQ5" s="422">
        <f t="shared" si="3"/>
        <v>62</v>
      </c>
      <c r="BR5" s="438" t="str">
        <f t="shared" si="4"/>
        <v>C4</v>
      </c>
      <c r="BS5" s="422">
        <v>35</v>
      </c>
      <c r="BT5" s="438">
        <v>45</v>
      </c>
      <c r="BU5" s="422">
        <f t="shared" si="5"/>
        <v>80</v>
      </c>
      <c r="BV5" s="438" t="str">
        <f t="shared" si="14"/>
        <v>A1</v>
      </c>
      <c r="BW5" s="422">
        <v>35</v>
      </c>
      <c r="BX5" s="422">
        <v>35</v>
      </c>
      <c r="BY5" s="422">
        <f t="shared" si="15"/>
        <v>70</v>
      </c>
      <c r="BZ5" s="438" t="str">
        <f t="shared" si="16"/>
        <v>B2</v>
      </c>
      <c r="CA5" s="422">
        <v>35</v>
      </c>
      <c r="CB5" s="422">
        <v>30</v>
      </c>
      <c r="CC5" s="422">
        <f t="shared" si="17"/>
        <v>65</v>
      </c>
      <c r="CD5" s="438" t="str">
        <f t="shared" si="18"/>
        <v>B3</v>
      </c>
      <c r="CE5" s="422">
        <v>35</v>
      </c>
      <c r="CF5" s="422">
        <v>34</v>
      </c>
      <c r="CG5" s="422">
        <f t="shared" si="19"/>
        <v>69</v>
      </c>
      <c r="CH5" s="438" t="str">
        <f t="shared" si="20"/>
        <v>B3</v>
      </c>
      <c r="CI5" s="422">
        <v>35</v>
      </c>
      <c r="CJ5" s="422">
        <v>35</v>
      </c>
      <c r="CK5" s="422">
        <f t="shared" si="21"/>
        <v>70</v>
      </c>
      <c r="CL5" s="438" t="str">
        <f t="shared" si="22"/>
        <v>B2</v>
      </c>
      <c r="CM5" s="422">
        <v>35</v>
      </c>
      <c r="CN5" s="422"/>
      <c r="CO5" s="422"/>
      <c r="CP5" s="422"/>
      <c r="CQ5" s="422"/>
      <c r="CR5" s="422">
        <f t="shared" si="23"/>
        <v>0</v>
      </c>
      <c r="CS5" s="438" t="str">
        <f t="shared" si="24"/>
        <v/>
      </c>
      <c r="CT5" s="422">
        <v>35</v>
      </c>
      <c r="CU5" s="422">
        <v>40</v>
      </c>
      <c r="CV5" s="422">
        <f t="shared" si="25"/>
        <v>75</v>
      </c>
      <c r="CW5" s="438" t="str">
        <f t="shared" si="26"/>
        <v>A</v>
      </c>
      <c r="CX5" s="422">
        <f>CT5</f>
        <v>35</v>
      </c>
      <c r="CY5" s="422">
        <v>30</v>
      </c>
      <c r="CZ5" s="422">
        <f t="shared" si="27"/>
        <v>65</v>
      </c>
      <c r="DA5" s="438" t="str">
        <f t="shared" si="28"/>
        <v>B3</v>
      </c>
      <c r="DB5" s="422">
        <f t="shared" si="29"/>
        <v>35</v>
      </c>
      <c r="DC5" s="422">
        <v>35</v>
      </c>
      <c r="DD5" s="422">
        <f t="shared" si="30"/>
        <v>70</v>
      </c>
      <c r="DE5" s="422" t="str">
        <f t="shared" si="31"/>
        <v>B2</v>
      </c>
      <c r="DF5" s="422">
        <f t="shared" si="7"/>
        <v>35</v>
      </c>
      <c r="DG5" s="422">
        <v>30</v>
      </c>
      <c r="DH5" s="422">
        <f t="shared" si="32"/>
        <v>65</v>
      </c>
      <c r="DI5" s="422" t="str">
        <f t="shared" si="33"/>
        <v>B3</v>
      </c>
      <c r="DJ5" s="422">
        <f t="shared" si="34"/>
        <v>35</v>
      </c>
      <c r="DK5" s="422">
        <v>40</v>
      </c>
      <c r="DL5" s="422">
        <f t="shared" si="35"/>
        <v>75</v>
      </c>
      <c r="DM5" s="422" t="str">
        <f t="shared" si="36"/>
        <v>A</v>
      </c>
      <c r="DN5" s="422">
        <f t="shared" si="37"/>
        <v>35</v>
      </c>
      <c r="DO5" s="422">
        <v>40</v>
      </c>
      <c r="DP5" s="422">
        <f t="shared" si="38"/>
        <v>75</v>
      </c>
      <c r="DQ5" s="438" t="str">
        <f t="shared" si="39"/>
        <v>A</v>
      </c>
      <c r="DR5" s="422">
        <f t="shared" si="40"/>
        <v>35</v>
      </c>
      <c r="DS5" s="422">
        <v>25</v>
      </c>
      <c r="DT5" s="422">
        <f t="shared" si="41"/>
        <v>60</v>
      </c>
      <c r="DU5" s="438" t="str">
        <f t="shared" si="42"/>
        <v>C4</v>
      </c>
      <c r="DV5" s="422">
        <f t="shared" si="43"/>
        <v>35</v>
      </c>
      <c r="DW5" s="422">
        <v>40</v>
      </c>
      <c r="DX5" s="422">
        <f t="shared" si="44"/>
        <v>75</v>
      </c>
      <c r="DY5" s="438" t="str">
        <f t="shared" si="45"/>
        <v>A</v>
      </c>
      <c r="DZ5" s="422">
        <f t="shared" si="8"/>
        <v>35</v>
      </c>
      <c r="EA5" s="422">
        <v>35</v>
      </c>
      <c r="EB5" s="422">
        <f t="shared" si="46"/>
        <v>70</v>
      </c>
      <c r="EC5" s="438" t="str">
        <f t="shared" si="47"/>
        <v>B2</v>
      </c>
      <c r="ED5" s="422">
        <f t="shared" si="0"/>
        <v>1046</v>
      </c>
      <c r="EE5" s="422">
        <f t="shared" si="9"/>
        <v>65.375</v>
      </c>
      <c r="EF5" s="438" t="str">
        <f t="shared" si="10"/>
        <v>B3</v>
      </c>
      <c r="EG5" s="422" t="str">
        <f t="shared" si="11"/>
        <v>HIGH-CREDIT</v>
      </c>
      <c r="EH5" s="439">
        <v>1</v>
      </c>
      <c r="EI5" s="422">
        <f t="shared" si="12"/>
        <v>1046</v>
      </c>
      <c r="EJ5" s="440">
        <f t="shared" si="13"/>
        <v>0.65375000000000005</v>
      </c>
      <c r="EK5" s="438" t="s">
        <v>573</v>
      </c>
      <c r="EL5" s="438" t="s">
        <v>762</v>
      </c>
    </row>
    <row r="6" spans="1:145" ht="30.75" thickBot="1">
      <c r="A6" s="781"/>
      <c r="B6" s="690"/>
      <c r="C6" s="690"/>
      <c r="D6" s="690"/>
      <c r="E6" s="690"/>
      <c r="F6" s="828"/>
      <c r="G6" s="829"/>
      <c r="H6" s="829"/>
      <c r="I6" s="829"/>
      <c r="J6" s="829"/>
      <c r="K6" s="829"/>
      <c r="L6" s="829"/>
      <c r="M6" s="829"/>
      <c r="N6" s="829"/>
      <c r="O6" s="829"/>
      <c r="P6" s="829"/>
      <c r="Q6" s="829"/>
      <c r="R6" s="829"/>
      <c r="S6" s="829"/>
      <c r="T6" s="830"/>
      <c r="U6" s="809"/>
      <c r="V6" s="391"/>
      <c r="W6" s="391"/>
      <c r="X6" s="391"/>
      <c r="Y6" s="391"/>
      <c r="Z6" s="391"/>
      <c r="AA6" s="420">
        <f t="shared" si="1"/>
        <v>5</v>
      </c>
      <c r="AB6" s="435" t="s">
        <v>61</v>
      </c>
      <c r="AC6" s="422" t="s">
        <v>394</v>
      </c>
      <c r="AD6" s="422" t="s">
        <v>326</v>
      </c>
      <c r="AE6" s="422">
        <v>15</v>
      </c>
      <c r="AF6" s="422">
        <f>'SSS1 ATTENDANCE '!FJ12</f>
        <v>128</v>
      </c>
      <c r="AG6" s="422">
        <f>'SSS1 ATTENDANCE '!FH12</f>
        <v>126</v>
      </c>
      <c r="AH6" s="422">
        <f>'SSS1 ATTENDANCE '!FI12</f>
        <v>2</v>
      </c>
      <c r="AI6" s="436" t="s">
        <v>578</v>
      </c>
      <c r="AJ6" s="437">
        <v>40368</v>
      </c>
      <c r="AK6" s="435" t="s">
        <v>396</v>
      </c>
      <c r="AL6" s="424">
        <v>25</v>
      </c>
      <c r="AM6" s="422">
        <v>27</v>
      </c>
      <c r="AN6" s="438">
        <v>4</v>
      </c>
      <c r="AO6" s="422" t="str">
        <f t="shared" si="2"/>
        <v>5</v>
      </c>
      <c r="AP6" s="438">
        <v>5</v>
      </c>
      <c r="AQ6" s="422">
        <v>4</v>
      </c>
      <c r="AR6" s="438">
        <v>4</v>
      </c>
      <c r="AS6" s="438">
        <v>4</v>
      </c>
      <c r="AT6" s="438">
        <v>4</v>
      </c>
      <c r="AU6" s="438">
        <v>3</v>
      </c>
      <c r="AV6" s="438">
        <v>4</v>
      </c>
      <c r="AW6" s="438">
        <v>4</v>
      </c>
      <c r="AX6" s="438">
        <v>3</v>
      </c>
      <c r="AY6" s="438">
        <v>4</v>
      </c>
      <c r="AZ6" s="438">
        <v>3</v>
      </c>
      <c r="BA6" s="438">
        <v>3</v>
      </c>
      <c r="BB6" s="438">
        <v>3</v>
      </c>
      <c r="BC6" s="438">
        <v>4</v>
      </c>
      <c r="BD6" s="438">
        <v>4</v>
      </c>
      <c r="BE6" s="438">
        <v>4</v>
      </c>
      <c r="BF6" s="438">
        <v>3</v>
      </c>
      <c r="BG6" s="438">
        <v>3</v>
      </c>
      <c r="BH6" s="438">
        <v>3</v>
      </c>
      <c r="BI6" s="438">
        <v>5</v>
      </c>
      <c r="BJ6" s="438">
        <v>4</v>
      </c>
      <c r="BK6" s="438">
        <v>3</v>
      </c>
      <c r="BL6" s="438">
        <v>5</v>
      </c>
      <c r="BM6" s="438">
        <v>3</v>
      </c>
      <c r="BN6" s="422" t="s">
        <v>404</v>
      </c>
      <c r="BO6" s="438">
        <v>35</v>
      </c>
      <c r="BP6" s="438">
        <v>32</v>
      </c>
      <c r="BQ6" s="422">
        <f t="shared" si="3"/>
        <v>67</v>
      </c>
      <c r="BR6" s="438" t="str">
        <f t="shared" si="4"/>
        <v>B3</v>
      </c>
      <c r="BS6" s="422">
        <v>35</v>
      </c>
      <c r="BT6" s="438">
        <v>39</v>
      </c>
      <c r="BU6" s="422">
        <f t="shared" si="5"/>
        <v>74</v>
      </c>
      <c r="BV6" s="438" t="str">
        <f t="shared" si="14"/>
        <v>B2</v>
      </c>
      <c r="BW6" s="422">
        <v>35</v>
      </c>
      <c r="BX6" s="422">
        <v>25</v>
      </c>
      <c r="BY6" s="422">
        <f t="shared" si="15"/>
        <v>60</v>
      </c>
      <c r="BZ6" s="438" t="str">
        <f t="shared" si="16"/>
        <v>C4</v>
      </c>
      <c r="CA6" s="422">
        <v>35</v>
      </c>
      <c r="CB6" s="422">
        <v>30</v>
      </c>
      <c r="CC6" s="422">
        <f t="shared" si="17"/>
        <v>65</v>
      </c>
      <c r="CD6" s="438" t="str">
        <f t="shared" si="18"/>
        <v>B3</v>
      </c>
      <c r="CE6" s="422">
        <v>35</v>
      </c>
      <c r="CF6" s="422">
        <v>39</v>
      </c>
      <c r="CG6" s="422">
        <f t="shared" si="19"/>
        <v>74</v>
      </c>
      <c r="CH6" s="438" t="str">
        <f t="shared" si="20"/>
        <v>B2</v>
      </c>
      <c r="CI6" s="422">
        <v>35</v>
      </c>
      <c r="CJ6" s="422">
        <v>38</v>
      </c>
      <c r="CK6" s="422">
        <f t="shared" si="21"/>
        <v>73</v>
      </c>
      <c r="CL6" s="438" t="str">
        <f t="shared" si="22"/>
        <v>B2</v>
      </c>
      <c r="CM6" s="422">
        <v>35</v>
      </c>
      <c r="CN6" s="422"/>
      <c r="CO6" s="422"/>
      <c r="CP6" s="422">
        <f t="shared" si="6"/>
        <v>35</v>
      </c>
      <c r="CQ6" s="422">
        <v>53</v>
      </c>
      <c r="CR6" s="422">
        <f t="shared" si="23"/>
        <v>88</v>
      </c>
      <c r="CS6" s="438" t="str">
        <f t="shared" si="24"/>
        <v>A1</v>
      </c>
      <c r="CT6" s="422"/>
      <c r="CU6" s="422"/>
      <c r="CV6" s="422">
        <f t="shared" si="25"/>
        <v>0</v>
      </c>
      <c r="CW6" s="438" t="str">
        <f t="shared" si="26"/>
        <v/>
      </c>
      <c r="CX6" s="422">
        <v>35</v>
      </c>
      <c r="CY6" s="422">
        <v>30</v>
      </c>
      <c r="CZ6" s="422">
        <f t="shared" si="27"/>
        <v>65</v>
      </c>
      <c r="DA6" s="438" t="str">
        <f t="shared" si="28"/>
        <v>B3</v>
      </c>
      <c r="DB6" s="422">
        <f t="shared" si="29"/>
        <v>35</v>
      </c>
      <c r="DC6" s="422">
        <v>35</v>
      </c>
      <c r="DD6" s="422">
        <f t="shared" si="30"/>
        <v>70</v>
      </c>
      <c r="DE6" s="422" t="str">
        <f t="shared" si="31"/>
        <v>B2</v>
      </c>
      <c r="DF6" s="422">
        <f t="shared" si="7"/>
        <v>35</v>
      </c>
      <c r="DG6" s="422">
        <v>30</v>
      </c>
      <c r="DH6" s="422">
        <f t="shared" si="32"/>
        <v>65</v>
      </c>
      <c r="DI6" s="422" t="str">
        <f t="shared" si="33"/>
        <v>B3</v>
      </c>
      <c r="DJ6" s="422">
        <f t="shared" si="34"/>
        <v>35</v>
      </c>
      <c r="DK6" s="422">
        <v>59</v>
      </c>
      <c r="DL6" s="422">
        <f t="shared" si="35"/>
        <v>94</v>
      </c>
      <c r="DM6" s="422" t="str">
        <f t="shared" si="36"/>
        <v>A1</v>
      </c>
      <c r="DN6" s="422">
        <f t="shared" si="37"/>
        <v>35</v>
      </c>
      <c r="DO6" s="422">
        <v>56</v>
      </c>
      <c r="DP6" s="422">
        <f t="shared" si="38"/>
        <v>91</v>
      </c>
      <c r="DQ6" s="438" t="str">
        <f t="shared" si="39"/>
        <v>A1</v>
      </c>
      <c r="DR6" s="422">
        <f t="shared" si="40"/>
        <v>35</v>
      </c>
      <c r="DS6" s="422">
        <v>30</v>
      </c>
      <c r="DT6" s="422">
        <f t="shared" si="41"/>
        <v>65</v>
      </c>
      <c r="DU6" s="438" t="str">
        <f t="shared" si="42"/>
        <v>B3</v>
      </c>
      <c r="DV6" s="422">
        <f t="shared" si="43"/>
        <v>35</v>
      </c>
      <c r="DW6" s="422">
        <v>56</v>
      </c>
      <c r="DX6" s="422">
        <f t="shared" si="44"/>
        <v>91</v>
      </c>
      <c r="DY6" s="438" t="str">
        <f t="shared" si="45"/>
        <v>A1</v>
      </c>
      <c r="DZ6" s="422">
        <f t="shared" si="8"/>
        <v>35</v>
      </c>
      <c r="EA6" s="422">
        <v>44</v>
      </c>
      <c r="EB6" s="422">
        <f t="shared" si="46"/>
        <v>79</v>
      </c>
      <c r="EC6" s="438" t="str">
        <f t="shared" si="47"/>
        <v>A</v>
      </c>
      <c r="ED6" s="422">
        <f t="shared" si="0"/>
        <v>1121</v>
      </c>
      <c r="EE6" s="422">
        <f t="shared" si="9"/>
        <v>70.0625</v>
      </c>
      <c r="EF6" s="438" t="str">
        <f t="shared" si="10"/>
        <v>B2</v>
      </c>
      <c r="EG6" s="422" t="str">
        <f t="shared" si="11"/>
        <v>HIGH-CREDIT</v>
      </c>
      <c r="EH6" s="439">
        <v>1</v>
      </c>
      <c r="EI6" s="422">
        <f t="shared" si="12"/>
        <v>1121</v>
      </c>
      <c r="EJ6" s="440">
        <f t="shared" si="13"/>
        <v>0.70062500000000005</v>
      </c>
      <c r="EK6" s="438" t="s">
        <v>746</v>
      </c>
      <c r="EL6" s="438" t="s">
        <v>762</v>
      </c>
    </row>
    <row r="7" spans="1:145" ht="30">
      <c r="A7" s="781"/>
      <c r="B7" s="690"/>
      <c r="C7" s="690"/>
      <c r="D7" s="690"/>
      <c r="E7" s="690"/>
      <c r="F7" s="831" t="s">
        <v>352</v>
      </c>
      <c r="G7" s="832"/>
      <c r="H7" s="832"/>
      <c r="I7" s="832"/>
      <c r="J7" s="832"/>
      <c r="K7" s="832"/>
      <c r="L7" s="832"/>
      <c r="M7" s="832"/>
      <c r="N7" s="832"/>
      <c r="O7" s="832"/>
      <c r="P7" s="832"/>
      <c r="Q7" s="832"/>
      <c r="R7" s="832"/>
      <c r="S7" s="832"/>
      <c r="T7" s="833"/>
      <c r="U7" s="809"/>
      <c r="V7" s="391"/>
      <c r="W7" s="391"/>
      <c r="X7" s="391"/>
      <c r="Y7" s="391"/>
      <c r="Z7" s="391"/>
      <c r="AA7" s="420">
        <f>ROW(D6)</f>
        <v>6</v>
      </c>
      <c r="AB7" s="435" t="s">
        <v>62</v>
      </c>
      <c r="AC7" s="422" t="s">
        <v>394</v>
      </c>
      <c r="AD7" s="422" t="s">
        <v>326</v>
      </c>
      <c r="AE7" s="422">
        <v>14</v>
      </c>
      <c r="AF7" s="422">
        <f>'SSS1 ATTENDANCE '!FJ13</f>
        <v>128</v>
      </c>
      <c r="AG7" s="422">
        <f>'SSS1 ATTENDANCE '!FH13</f>
        <v>126</v>
      </c>
      <c r="AH7" s="422">
        <f>'SSS1 ATTENDANCE '!FI13</f>
        <v>2</v>
      </c>
      <c r="AI7" s="436" t="s">
        <v>579</v>
      </c>
      <c r="AJ7" s="437">
        <v>40852</v>
      </c>
      <c r="AK7" s="435" t="s">
        <v>396</v>
      </c>
      <c r="AL7" s="424">
        <v>25</v>
      </c>
      <c r="AM7" s="422">
        <v>27</v>
      </c>
      <c r="AN7" s="438">
        <v>4</v>
      </c>
      <c r="AO7" s="422" t="str">
        <f t="shared" si="2"/>
        <v>5</v>
      </c>
      <c r="AP7" s="438">
        <v>5</v>
      </c>
      <c r="AQ7" s="422">
        <v>4</v>
      </c>
      <c r="AR7" s="438">
        <v>4</v>
      </c>
      <c r="AS7" s="438">
        <v>4</v>
      </c>
      <c r="AT7" s="438">
        <v>4</v>
      </c>
      <c r="AU7" s="438">
        <v>3</v>
      </c>
      <c r="AV7" s="438">
        <v>4</v>
      </c>
      <c r="AW7" s="438">
        <v>4</v>
      </c>
      <c r="AX7" s="438">
        <v>3</v>
      </c>
      <c r="AY7" s="438">
        <v>4</v>
      </c>
      <c r="AZ7" s="438">
        <v>3</v>
      </c>
      <c r="BA7" s="438">
        <v>3</v>
      </c>
      <c r="BB7" s="438">
        <v>3</v>
      </c>
      <c r="BC7" s="438">
        <v>4</v>
      </c>
      <c r="BD7" s="438">
        <v>4</v>
      </c>
      <c r="BE7" s="438">
        <v>4</v>
      </c>
      <c r="BF7" s="438">
        <v>3</v>
      </c>
      <c r="BG7" s="438">
        <v>3</v>
      </c>
      <c r="BH7" s="438">
        <v>3</v>
      </c>
      <c r="BI7" s="438">
        <v>5</v>
      </c>
      <c r="BJ7" s="438">
        <v>4</v>
      </c>
      <c r="BK7" s="438">
        <v>3</v>
      </c>
      <c r="BL7" s="438">
        <v>5</v>
      </c>
      <c r="BM7" s="438">
        <v>3</v>
      </c>
      <c r="BN7" s="422" t="s">
        <v>405</v>
      </c>
      <c r="BO7" s="438">
        <v>35</v>
      </c>
      <c r="BP7" s="438">
        <v>25</v>
      </c>
      <c r="BQ7" s="422">
        <f t="shared" si="3"/>
        <v>60</v>
      </c>
      <c r="BR7" s="438" t="str">
        <f t="shared" si="4"/>
        <v>C4</v>
      </c>
      <c r="BS7" s="422">
        <v>35</v>
      </c>
      <c r="BT7" s="438">
        <v>34</v>
      </c>
      <c r="BU7" s="422">
        <f t="shared" si="5"/>
        <v>69</v>
      </c>
      <c r="BV7" s="438" t="str">
        <f t="shared" si="14"/>
        <v>B3</v>
      </c>
      <c r="BW7" s="422">
        <v>35</v>
      </c>
      <c r="BX7" s="422">
        <v>34</v>
      </c>
      <c r="BY7" s="422">
        <f t="shared" si="15"/>
        <v>69</v>
      </c>
      <c r="BZ7" s="438" t="str">
        <f t="shared" si="16"/>
        <v>B3</v>
      </c>
      <c r="CA7" s="422">
        <v>35</v>
      </c>
      <c r="CB7" s="422">
        <v>30</v>
      </c>
      <c r="CC7" s="422">
        <f t="shared" si="17"/>
        <v>65</v>
      </c>
      <c r="CD7" s="438" t="str">
        <f t="shared" si="18"/>
        <v>B3</v>
      </c>
      <c r="CE7" s="422">
        <v>35</v>
      </c>
      <c r="CF7" s="422">
        <v>35</v>
      </c>
      <c r="CG7" s="422">
        <f t="shared" si="19"/>
        <v>70</v>
      </c>
      <c r="CH7" s="438" t="str">
        <f t="shared" si="20"/>
        <v>B2</v>
      </c>
      <c r="CI7" s="422">
        <v>35</v>
      </c>
      <c r="CJ7" s="422">
        <v>35</v>
      </c>
      <c r="CK7" s="422">
        <f t="shared" si="21"/>
        <v>70</v>
      </c>
      <c r="CL7" s="438" t="str">
        <f t="shared" si="22"/>
        <v>B2</v>
      </c>
      <c r="CM7" s="422">
        <v>35</v>
      </c>
      <c r="CN7" s="422"/>
      <c r="CO7" s="422"/>
      <c r="CP7" s="422"/>
      <c r="CQ7" s="422"/>
      <c r="CR7" s="422">
        <f t="shared" si="23"/>
        <v>0</v>
      </c>
      <c r="CS7" s="438" t="str">
        <f t="shared" si="24"/>
        <v/>
      </c>
      <c r="CT7" s="422">
        <v>35</v>
      </c>
      <c r="CU7" s="422">
        <v>40</v>
      </c>
      <c r="CV7" s="422">
        <f t="shared" si="25"/>
        <v>75</v>
      </c>
      <c r="CW7" s="438" t="str">
        <f t="shared" si="26"/>
        <v>A</v>
      </c>
      <c r="CX7" s="422">
        <f>CT7</f>
        <v>35</v>
      </c>
      <c r="CY7" s="422">
        <v>30</v>
      </c>
      <c r="CZ7" s="422">
        <f t="shared" si="27"/>
        <v>65</v>
      </c>
      <c r="DA7" s="438" t="str">
        <f t="shared" si="28"/>
        <v>B3</v>
      </c>
      <c r="DB7" s="422">
        <f t="shared" si="29"/>
        <v>35</v>
      </c>
      <c r="DC7" s="422">
        <v>35</v>
      </c>
      <c r="DD7" s="422">
        <f t="shared" si="30"/>
        <v>70</v>
      </c>
      <c r="DE7" s="422" t="str">
        <f t="shared" si="31"/>
        <v>B2</v>
      </c>
      <c r="DF7" s="422">
        <f t="shared" si="7"/>
        <v>35</v>
      </c>
      <c r="DG7" s="422">
        <v>30</v>
      </c>
      <c r="DH7" s="422">
        <f t="shared" si="32"/>
        <v>65</v>
      </c>
      <c r="DI7" s="422" t="str">
        <f t="shared" si="33"/>
        <v>B3</v>
      </c>
      <c r="DJ7" s="422">
        <f t="shared" si="34"/>
        <v>35</v>
      </c>
      <c r="DK7" s="422">
        <v>40</v>
      </c>
      <c r="DL7" s="422">
        <f t="shared" si="35"/>
        <v>75</v>
      </c>
      <c r="DM7" s="422" t="str">
        <f t="shared" si="36"/>
        <v>A</v>
      </c>
      <c r="DN7" s="422">
        <f t="shared" si="37"/>
        <v>35</v>
      </c>
      <c r="DO7" s="422">
        <v>40</v>
      </c>
      <c r="DP7" s="422">
        <f t="shared" si="38"/>
        <v>75</v>
      </c>
      <c r="DQ7" s="438" t="str">
        <f t="shared" si="39"/>
        <v>A</v>
      </c>
      <c r="DR7" s="422">
        <f t="shared" si="40"/>
        <v>35</v>
      </c>
      <c r="DS7" s="422">
        <v>25</v>
      </c>
      <c r="DT7" s="422">
        <f t="shared" si="41"/>
        <v>60</v>
      </c>
      <c r="DU7" s="438" t="str">
        <f t="shared" si="42"/>
        <v>C4</v>
      </c>
      <c r="DV7" s="422">
        <f t="shared" si="43"/>
        <v>35</v>
      </c>
      <c r="DW7" s="422">
        <v>40</v>
      </c>
      <c r="DX7" s="422">
        <f t="shared" si="44"/>
        <v>75</v>
      </c>
      <c r="DY7" s="438" t="str">
        <f t="shared" si="45"/>
        <v>A</v>
      </c>
      <c r="DZ7" s="422">
        <f t="shared" si="8"/>
        <v>35</v>
      </c>
      <c r="EA7" s="422">
        <v>35</v>
      </c>
      <c r="EB7" s="422">
        <f t="shared" si="46"/>
        <v>70</v>
      </c>
      <c r="EC7" s="438" t="str">
        <f t="shared" si="47"/>
        <v>B2</v>
      </c>
      <c r="ED7" s="422">
        <f t="shared" si="0"/>
        <v>1033</v>
      </c>
      <c r="EE7" s="422">
        <f t="shared" si="9"/>
        <v>64.5625</v>
      </c>
      <c r="EF7" s="438" t="str">
        <f t="shared" si="10"/>
        <v>C4</v>
      </c>
      <c r="EG7" s="422" t="str">
        <f t="shared" si="11"/>
        <v>HIGH-CREDIT</v>
      </c>
      <c r="EH7" s="439">
        <v>1</v>
      </c>
      <c r="EI7" s="422">
        <f t="shared" si="12"/>
        <v>1033</v>
      </c>
      <c r="EJ7" s="440">
        <f t="shared" si="13"/>
        <v>0.645625</v>
      </c>
      <c r="EK7" s="438" t="s">
        <v>747</v>
      </c>
      <c r="EL7" s="438" t="s">
        <v>762</v>
      </c>
    </row>
    <row r="8" spans="1:145" ht="30">
      <c r="A8" s="781"/>
      <c r="B8" s="690"/>
      <c r="C8" s="690"/>
      <c r="D8" s="690"/>
      <c r="E8" s="690"/>
      <c r="F8" s="831"/>
      <c r="G8" s="832"/>
      <c r="H8" s="832"/>
      <c r="I8" s="832"/>
      <c r="J8" s="832"/>
      <c r="K8" s="832"/>
      <c r="L8" s="832"/>
      <c r="M8" s="832"/>
      <c r="N8" s="832"/>
      <c r="O8" s="832"/>
      <c r="P8" s="832"/>
      <c r="Q8" s="832"/>
      <c r="R8" s="832"/>
      <c r="S8" s="832"/>
      <c r="T8" s="833"/>
      <c r="U8" s="809"/>
      <c r="V8" s="391"/>
      <c r="W8" s="391"/>
      <c r="X8" s="391"/>
      <c r="Y8" s="391"/>
      <c r="Z8" s="391"/>
      <c r="AA8" s="420">
        <f t="shared" si="1"/>
        <v>7</v>
      </c>
      <c r="AB8" s="435" t="s">
        <v>63</v>
      </c>
      <c r="AC8" s="422" t="s">
        <v>394</v>
      </c>
      <c r="AD8" s="422" t="s">
        <v>326</v>
      </c>
      <c r="AE8" s="422">
        <v>14</v>
      </c>
      <c r="AF8" s="422">
        <f>'SSS1 ATTENDANCE '!FJ14</f>
        <v>128</v>
      </c>
      <c r="AG8" s="422">
        <f>'SSS1 ATTENDANCE '!FH14</f>
        <v>118</v>
      </c>
      <c r="AH8" s="422">
        <f>'SSS1 ATTENDANCE '!FI14</f>
        <v>10</v>
      </c>
      <c r="AI8" s="436" t="s">
        <v>580</v>
      </c>
      <c r="AJ8" s="437">
        <v>40881</v>
      </c>
      <c r="AK8" s="435" t="s">
        <v>396</v>
      </c>
      <c r="AL8" s="424">
        <v>25</v>
      </c>
      <c r="AM8" s="422">
        <v>27</v>
      </c>
      <c r="AN8" s="438">
        <v>4</v>
      </c>
      <c r="AO8" s="422" t="str">
        <f t="shared" si="2"/>
        <v>5</v>
      </c>
      <c r="AP8" s="438">
        <v>5</v>
      </c>
      <c r="AQ8" s="422">
        <v>4</v>
      </c>
      <c r="AR8" s="438">
        <v>4</v>
      </c>
      <c r="AS8" s="438">
        <v>4</v>
      </c>
      <c r="AT8" s="438">
        <v>4</v>
      </c>
      <c r="AU8" s="438">
        <v>3</v>
      </c>
      <c r="AV8" s="438">
        <v>4</v>
      </c>
      <c r="AW8" s="438">
        <v>4</v>
      </c>
      <c r="AX8" s="438">
        <v>3</v>
      </c>
      <c r="AY8" s="438">
        <v>4</v>
      </c>
      <c r="AZ8" s="438">
        <v>3</v>
      </c>
      <c r="BA8" s="438">
        <v>3</v>
      </c>
      <c r="BB8" s="438">
        <v>3</v>
      </c>
      <c r="BC8" s="438">
        <v>4</v>
      </c>
      <c r="BD8" s="438">
        <v>4</v>
      </c>
      <c r="BE8" s="438">
        <v>4</v>
      </c>
      <c r="BF8" s="438">
        <v>3</v>
      </c>
      <c r="BG8" s="438">
        <v>3</v>
      </c>
      <c r="BH8" s="438">
        <v>3</v>
      </c>
      <c r="BI8" s="438">
        <v>5</v>
      </c>
      <c r="BJ8" s="438">
        <v>4</v>
      </c>
      <c r="BK8" s="438">
        <v>3</v>
      </c>
      <c r="BL8" s="438">
        <v>5</v>
      </c>
      <c r="BM8" s="438">
        <v>3</v>
      </c>
      <c r="BN8" s="422" t="s">
        <v>406</v>
      </c>
      <c r="BO8" s="438">
        <v>35</v>
      </c>
      <c r="BP8" s="438">
        <v>24</v>
      </c>
      <c r="BQ8" s="422">
        <f t="shared" si="3"/>
        <v>59</v>
      </c>
      <c r="BR8" s="438" t="str">
        <f t="shared" si="4"/>
        <v>C5</v>
      </c>
      <c r="BS8" s="422">
        <v>35</v>
      </c>
      <c r="BT8" s="438">
        <v>34</v>
      </c>
      <c r="BU8" s="422">
        <f t="shared" si="5"/>
        <v>69</v>
      </c>
      <c r="BV8" s="438" t="str">
        <f t="shared" si="14"/>
        <v>B3</v>
      </c>
      <c r="BW8" s="422">
        <v>35</v>
      </c>
      <c r="BX8" s="422">
        <v>35</v>
      </c>
      <c r="BY8" s="422">
        <f t="shared" si="15"/>
        <v>70</v>
      </c>
      <c r="BZ8" s="438" t="str">
        <f t="shared" si="16"/>
        <v>B2</v>
      </c>
      <c r="CA8" s="422">
        <v>35</v>
      </c>
      <c r="CB8" s="422">
        <v>30</v>
      </c>
      <c r="CC8" s="422">
        <f t="shared" si="17"/>
        <v>65</v>
      </c>
      <c r="CD8" s="438" t="str">
        <f t="shared" si="18"/>
        <v>B3</v>
      </c>
      <c r="CE8" s="422">
        <v>35</v>
      </c>
      <c r="CF8" s="422">
        <v>29</v>
      </c>
      <c r="CG8" s="422">
        <f t="shared" si="19"/>
        <v>64</v>
      </c>
      <c r="CH8" s="438" t="str">
        <f t="shared" si="20"/>
        <v>C4</v>
      </c>
      <c r="CI8" s="422">
        <v>35</v>
      </c>
      <c r="CJ8" s="422">
        <v>42</v>
      </c>
      <c r="CK8" s="422">
        <f t="shared" si="21"/>
        <v>77</v>
      </c>
      <c r="CL8" s="438" t="str">
        <f t="shared" si="22"/>
        <v>A</v>
      </c>
      <c r="CM8" s="422">
        <v>35</v>
      </c>
      <c r="CN8" s="422"/>
      <c r="CO8" s="422"/>
      <c r="CP8" s="422">
        <f t="shared" si="6"/>
        <v>35</v>
      </c>
      <c r="CQ8" s="422">
        <v>48</v>
      </c>
      <c r="CR8" s="422">
        <f t="shared" si="23"/>
        <v>83</v>
      </c>
      <c r="CS8" s="438" t="str">
        <f t="shared" si="24"/>
        <v>A1</v>
      </c>
      <c r="CT8" s="422"/>
      <c r="CU8" s="422"/>
      <c r="CV8" s="422">
        <f t="shared" si="25"/>
        <v>0</v>
      </c>
      <c r="CW8" s="438" t="str">
        <f t="shared" si="26"/>
        <v/>
      </c>
      <c r="CX8" s="422">
        <v>35</v>
      </c>
      <c r="CY8" s="422">
        <v>30</v>
      </c>
      <c r="CZ8" s="422">
        <f t="shared" si="27"/>
        <v>65</v>
      </c>
      <c r="DA8" s="438" t="str">
        <f t="shared" si="28"/>
        <v>B3</v>
      </c>
      <c r="DB8" s="422">
        <f t="shared" si="29"/>
        <v>35</v>
      </c>
      <c r="DC8" s="422">
        <v>35</v>
      </c>
      <c r="DD8" s="422">
        <f t="shared" si="30"/>
        <v>70</v>
      </c>
      <c r="DE8" s="422" t="str">
        <f t="shared" si="31"/>
        <v>B2</v>
      </c>
      <c r="DF8" s="422">
        <f t="shared" si="7"/>
        <v>35</v>
      </c>
      <c r="DG8" s="422">
        <v>30</v>
      </c>
      <c r="DH8" s="422">
        <f t="shared" si="32"/>
        <v>65</v>
      </c>
      <c r="DI8" s="422" t="str">
        <f t="shared" si="33"/>
        <v>B3</v>
      </c>
      <c r="DJ8" s="422">
        <f t="shared" si="34"/>
        <v>35</v>
      </c>
      <c r="DK8" s="422">
        <v>52</v>
      </c>
      <c r="DL8" s="422">
        <f t="shared" si="35"/>
        <v>87</v>
      </c>
      <c r="DM8" s="422" t="str">
        <f t="shared" si="36"/>
        <v>A1</v>
      </c>
      <c r="DN8" s="422">
        <f t="shared" si="37"/>
        <v>35</v>
      </c>
      <c r="DO8" s="422">
        <v>49</v>
      </c>
      <c r="DP8" s="422">
        <f t="shared" si="38"/>
        <v>84</v>
      </c>
      <c r="DQ8" s="438" t="str">
        <f t="shared" si="39"/>
        <v>A1</v>
      </c>
      <c r="DR8" s="422">
        <f t="shared" si="40"/>
        <v>35</v>
      </c>
      <c r="DS8" s="422">
        <v>34</v>
      </c>
      <c r="DT8" s="422">
        <f t="shared" si="41"/>
        <v>69</v>
      </c>
      <c r="DU8" s="438" t="str">
        <f t="shared" si="42"/>
        <v>B3</v>
      </c>
      <c r="DV8" s="422">
        <f t="shared" si="43"/>
        <v>35</v>
      </c>
      <c r="DW8" s="422">
        <v>54</v>
      </c>
      <c r="DX8" s="422">
        <f t="shared" si="44"/>
        <v>89</v>
      </c>
      <c r="DY8" s="438" t="str">
        <f t="shared" si="45"/>
        <v>A1</v>
      </c>
      <c r="DZ8" s="422">
        <f t="shared" si="8"/>
        <v>35</v>
      </c>
      <c r="EA8" s="422">
        <v>50</v>
      </c>
      <c r="EB8" s="422">
        <f t="shared" si="46"/>
        <v>85</v>
      </c>
      <c r="EC8" s="438" t="str">
        <f t="shared" si="47"/>
        <v>A1</v>
      </c>
      <c r="ED8" s="422">
        <f t="shared" si="0"/>
        <v>1101</v>
      </c>
      <c r="EE8" s="422">
        <f t="shared" si="9"/>
        <v>68.8125</v>
      </c>
      <c r="EF8" s="438" t="str">
        <f t="shared" si="10"/>
        <v>B3</v>
      </c>
      <c r="EG8" s="422" t="str">
        <f t="shared" si="11"/>
        <v>HIGH-CREDIT</v>
      </c>
      <c r="EH8" s="439">
        <v>1</v>
      </c>
      <c r="EI8" s="422">
        <f t="shared" si="12"/>
        <v>1101</v>
      </c>
      <c r="EJ8" s="440">
        <f t="shared" si="13"/>
        <v>0.68812499999999999</v>
      </c>
      <c r="EK8" s="438" t="s">
        <v>573</v>
      </c>
      <c r="EL8" s="438" t="s">
        <v>762</v>
      </c>
    </row>
    <row r="9" spans="1:145" ht="30.75">
      <c r="A9" s="781"/>
      <c r="B9" s="690"/>
      <c r="C9" s="690"/>
      <c r="D9" s="690"/>
      <c r="E9" s="690"/>
      <c r="F9" s="834" t="s">
        <v>325</v>
      </c>
      <c r="G9" s="835"/>
      <c r="H9" s="835"/>
      <c r="I9" s="835"/>
      <c r="J9" s="835"/>
      <c r="K9" s="835"/>
      <c r="L9" s="835"/>
      <c r="M9" s="835"/>
      <c r="N9" s="835"/>
      <c r="O9" s="835"/>
      <c r="P9" s="835"/>
      <c r="Q9" s="835"/>
      <c r="R9" s="835"/>
      <c r="S9" s="835"/>
      <c r="T9" s="836"/>
      <c r="U9" s="809"/>
      <c r="V9" s="391"/>
      <c r="W9" s="391"/>
      <c r="X9" s="391"/>
      <c r="Y9" s="391"/>
      <c r="Z9" s="391"/>
      <c r="AA9" s="420">
        <f t="shared" si="1"/>
        <v>8</v>
      </c>
      <c r="AB9" s="435" t="s">
        <v>57</v>
      </c>
      <c r="AC9" s="422" t="s">
        <v>394</v>
      </c>
      <c r="AD9" s="422" t="s">
        <v>326</v>
      </c>
      <c r="AE9" s="422">
        <v>14.5714285714286</v>
      </c>
      <c r="AF9" s="422">
        <f>'SSS1 ATTENDANCE '!FJ15</f>
        <v>128</v>
      </c>
      <c r="AG9" s="422">
        <f>'SSS1 ATTENDANCE '!FH15</f>
        <v>118</v>
      </c>
      <c r="AH9" s="422">
        <f>'SSS1 ATTENDANCE '!FI15</f>
        <v>10</v>
      </c>
      <c r="AI9" s="436" t="s">
        <v>581</v>
      </c>
      <c r="AJ9" s="437">
        <v>41122</v>
      </c>
      <c r="AK9" s="435" t="s">
        <v>396</v>
      </c>
      <c r="AL9" s="424">
        <v>25</v>
      </c>
      <c r="AM9" s="422">
        <v>28.428571428571399</v>
      </c>
      <c r="AN9" s="438">
        <v>4</v>
      </c>
      <c r="AO9" s="422" t="str">
        <f t="shared" si="2"/>
        <v>5</v>
      </c>
      <c r="AP9" s="438">
        <v>5</v>
      </c>
      <c r="AQ9" s="422">
        <v>4</v>
      </c>
      <c r="AR9" s="438">
        <v>4</v>
      </c>
      <c r="AS9" s="438">
        <v>4</v>
      </c>
      <c r="AT9" s="438">
        <v>4</v>
      </c>
      <c r="AU9" s="438">
        <v>3</v>
      </c>
      <c r="AV9" s="438">
        <v>4</v>
      </c>
      <c r="AW9" s="438">
        <v>4</v>
      </c>
      <c r="AX9" s="438">
        <v>3</v>
      </c>
      <c r="AY9" s="438">
        <v>4</v>
      </c>
      <c r="AZ9" s="438">
        <v>3</v>
      </c>
      <c r="BA9" s="438">
        <v>3</v>
      </c>
      <c r="BB9" s="438">
        <v>3</v>
      </c>
      <c r="BC9" s="438">
        <v>4</v>
      </c>
      <c r="BD9" s="438">
        <v>4</v>
      </c>
      <c r="BE9" s="438">
        <v>4</v>
      </c>
      <c r="BF9" s="438">
        <v>3</v>
      </c>
      <c r="BG9" s="438">
        <v>3</v>
      </c>
      <c r="BH9" s="438">
        <v>3</v>
      </c>
      <c r="BI9" s="438">
        <v>5</v>
      </c>
      <c r="BJ9" s="438">
        <v>4</v>
      </c>
      <c r="BK9" s="438">
        <v>3</v>
      </c>
      <c r="BL9" s="438">
        <v>5</v>
      </c>
      <c r="BM9" s="438">
        <v>3</v>
      </c>
      <c r="BN9" s="422" t="s">
        <v>407</v>
      </c>
      <c r="BO9" s="422">
        <v>33.571428571428598</v>
      </c>
      <c r="BP9" s="422">
        <v>16</v>
      </c>
      <c r="BQ9" s="422">
        <v>100</v>
      </c>
      <c r="BR9" s="438" t="s">
        <v>749</v>
      </c>
      <c r="BS9" s="422">
        <v>33.571428571428598</v>
      </c>
      <c r="BT9" s="422">
        <v>28.714285714285701</v>
      </c>
      <c r="BU9" s="422">
        <v>100</v>
      </c>
      <c r="BV9" s="438" t="s">
        <v>749</v>
      </c>
      <c r="BW9" s="422">
        <v>33.571428571428598</v>
      </c>
      <c r="BX9" s="422">
        <v>24.571428571428601</v>
      </c>
      <c r="BY9" s="422">
        <v>100</v>
      </c>
      <c r="BZ9" s="422" t="str">
        <f t="shared" ref="BZ9" si="48">BV9</f>
        <v>Grades</v>
      </c>
      <c r="CA9" s="422">
        <v>33.571428571428598</v>
      </c>
      <c r="CB9" s="422">
        <v>21.428571428571399</v>
      </c>
      <c r="CC9" s="422">
        <v>100</v>
      </c>
      <c r="CD9" s="422" t="str">
        <f t="shared" ref="CD9" si="49">BZ9</f>
        <v>Grades</v>
      </c>
      <c r="CE9" s="422">
        <f t="shared" ref="CE9" si="50">CA9</f>
        <v>33.571428571428598</v>
      </c>
      <c r="CF9" s="422">
        <v>25.428571428571399</v>
      </c>
      <c r="CG9" s="422">
        <v>100</v>
      </c>
      <c r="CH9" s="422" t="str">
        <f t="shared" ref="CH9" si="51">CD9</f>
        <v>Grades</v>
      </c>
      <c r="CI9" s="422">
        <v>33.571428571428598</v>
      </c>
      <c r="CJ9" s="422">
        <v>32.714285714285701</v>
      </c>
      <c r="CK9" s="422">
        <v>100</v>
      </c>
      <c r="CL9" s="422" t="str">
        <f t="shared" ref="CL9" si="52">CH9</f>
        <v>Grades</v>
      </c>
      <c r="CM9" s="422">
        <v>33.571428571428598</v>
      </c>
      <c r="CN9" s="422">
        <v>60</v>
      </c>
      <c r="CO9" s="422"/>
      <c r="CP9" s="422">
        <v>40</v>
      </c>
      <c r="CQ9" s="422">
        <v>46.948275862069003</v>
      </c>
      <c r="CR9" s="422">
        <v>100</v>
      </c>
      <c r="CS9" s="438" t="str">
        <f t="shared" ref="CS9" si="53">CL9</f>
        <v>Grades</v>
      </c>
      <c r="CT9" s="422">
        <v>33.157894736842103</v>
      </c>
      <c r="CU9" s="422">
        <v>32.631578947368403</v>
      </c>
      <c r="CV9" s="422">
        <v>100</v>
      </c>
      <c r="CW9" s="438" t="str">
        <f t="shared" ref="CW9" si="54">CS9</f>
        <v>Grades</v>
      </c>
      <c r="CX9" s="422">
        <v>31.6666666666667</v>
      </c>
      <c r="CY9" s="422">
        <v>21.428571428571399</v>
      </c>
      <c r="CZ9" s="422">
        <v>100</v>
      </c>
      <c r="DA9" s="438" t="str">
        <f t="shared" ref="DA9" si="55">CW9</f>
        <v>Grades</v>
      </c>
      <c r="DB9" s="422">
        <v>20</v>
      </c>
      <c r="DC9" s="422">
        <v>27.8571428571429</v>
      </c>
      <c r="DD9" s="422">
        <v>100</v>
      </c>
      <c r="DE9" s="422" t="str">
        <f t="shared" ref="DE9" si="56">DA9</f>
        <v>Grades</v>
      </c>
      <c r="DF9" s="422">
        <v>40</v>
      </c>
      <c r="DG9" s="422">
        <v>21.428571428571399</v>
      </c>
      <c r="DH9" s="422">
        <v>100</v>
      </c>
      <c r="DI9" s="422" t="str">
        <f t="shared" ref="DI9" si="57">DE9</f>
        <v>Grades</v>
      </c>
      <c r="DJ9" s="422">
        <v>30</v>
      </c>
      <c r="DK9" s="422">
        <v>46.571428571428598</v>
      </c>
      <c r="DL9" s="422">
        <v>100</v>
      </c>
      <c r="DM9" s="422" t="str">
        <f t="shared" ref="DM9" si="58">DI9</f>
        <v>Grades</v>
      </c>
      <c r="DN9" s="422">
        <v>30</v>
      </c>
      <c r="DO9" s="422">
        <v>44</v>
      </c>
      <c r="DP9" s="422">
        <v>100</v>
      </c>
      <c r="DQ9" s="438" t="str">
        <f t="shared" ref="DQ9" si="59">DM9</f>
        <v>Grades</v>
      </c>
      <c r="DR9" s="422">
        <v>10</v>
      </c>
      <c r="DS9" s="422">
        <v>21.571428571428601</v>
      </c>
      <c r="DT9" s="422">
        <v>100</v>
      </c>
      <c r="DU9" s="438" t="str">
        <f t="shared" ref="DU9" si="60">DQ9</f>
        <v>Grades</v>
      </c>
      <c r="DV9" s="422">
        <v>30</v>
      </c>
      <c r="DW9" s="422">
        <v>46.857142857142897</v>
      </c>
      <c r="DX9" s="422">
        <v>100</v>
      </c>
      <c r="DY9" s="438" t="str">
        <f t="shared" ref="DY9" si="61">DU9</f>
        <v>Grades</v>
      </c>
      <c r="DZ9" s="422">
        <v>40</v>
      </c>
      <c r="EA9" s="422">
        <v>39</v>
      </c>
      <c r="EB9" s="422">
        <v>100</v>
      </c>
      <c r="EC9" s="438" t="str">
        <f t="shared" ref="EC9" si="62">DY9</f>
        <v>Grades</v>
      </c>
      <c r="ED9" s="422">
        <f t="shared" ref="ED9:ED72" si="63">SUM(BQ9,BU9,BY9,CC9,CG9,CK9,CR9,CV9,CZ9,DD9,DH9,DL9,DP9,DT9,DX9,EB9)</f>
        <v>1600</v>
      </c>
      <c r="EE9" s="422">
        <f t="shared" si="9"/>
        <v>100</v>
      </c>
      <c r="EF9" s="438" t="str">
        <f t="shared" si="10"/>
        <v>A1</v>
      </c>
      <c r="EG9" s="422" t="str">
        <f t="shared" si="11"/>
        <v>DISTINTION</v>
      </c>
      <c r="EH9" s="439">
        <v>1</v>
      </c>
      <c r="EI9" s="422">
        <f t="shared" si="12"/>
        <v>1600</v>
      </c>
      <c r="EJ9" s="440">
        <f t="shared" si="13"/>
        <v>1</v>
      </c>
      <c r="EK9" s="438" t="s">
        <v>573</v>
      </c>
      <c r="EL9" s="438" t="s">
        <v>762</v>
      </c>
    </row>
    <row r="10" spans="1:145" ht="30.75">
      <c r="A10" s="781"/>
      <c r="B10" s="690"/>
      <c r="C10" s="690"/>
      <c r="D10" s="690"/>
      <c r="E10" s="690"/>
      <c r="F10" s="834" t="s">
        <v>327</v>
      </c>
      <c r="G10" s="835"/>
      <c r="H10" s="835"/>
      <c r="I10" s="835"/>
      <c r="J10" s="835"/>
      <c r="K10" s="835"/>
      <c r="L10" s="835"/>
      <c r="M10" s="835"/>
      <c r="N10" s="835"/>
      <c r="O10" s="835"/>
      <c r="P10" s="835"/>
      <c r="Q10" s="835"/>
      <c r="R10" s="835"/>
      <c r="S10" s="835"/>
      <c r="T10" s="836"/>
      <c r="U10" s="809"/>
      <c r="V10" s="391"/>
      <c r="W10" s="391"/>
      <c r="X10" s="391"/>
      <c r="Y10" s="391"/>
      <c r="Z10" s="391"/>
      <c r="AA10" s="420">
        <f t="shared" si="1"/>
        <v>9</v>
      </c>
      <c r="AB10" s="435" t="s">
        <v>58</v>
      </c>
      <c r="AC10" s="422" t="s">
        <v>394</v>
      </c>
      <c r="AD10" s="422" t="s">
        <v>326</v>
      </c>
      <c r="AE10" s="422">
        <v>14.714285714285699</v>
      </c>
      <c r="AF10" s="422">
        <f>'SSS1 ATTENDANCE '!FJ16</f>
        <v>128</v>
      </c>
      <c r="AG10" s="422">
        <f>'SSS1 ATTENDANCE '!FH16</f>
        <v>126</v>
      </c>
      <c r="AH10" s="422">
        <f>'SSS1 ATTENDANCE '!FI16</f>
        <v>2</v>
      </c>
      <c r="AI10" s="436" t="s">
        <v>582</v>
      </c>
      <c r="AJ10" s="437">
        <v>40844</v>
      </c>
      <c r="AK10" s="435" t="s">
        <v>396</v>
      </c>
      <c r="AL10" s="424">
        <v>25</v>
      </c>
      <c r="AM10" s="422">
        <v>28.964285714285701</v>
      </c>
      <c r="AN10" s="438">
        <v>4</v>
      </c>
      <c r="AO10" s="422" t="str">
        <f t="shared" ref="AO10:AO73" si="64">IF(AND(AG10&gt;=98, AG10&lt;=128),"5",
IF(AND(AG10&gt;=75, AG10&lt;98),"4",
"3"))</f>
        <v>5</v>
      </c>
      <c r="AP10" s="438">
        <v>5</v>
      </c>
      <c r="AQ10" s="422">
        <v>4</v>
      </c>
      <c r="AR10" s="438">
        <v>4</v>
      </c>
      <c r="AS10" s="438">
        <v>4</v>
      </c>
      <c r="AT10" s="438">
        <v>4</v>
      </c>
      <c r="AU10" s="438">
        <v>3</v>
      </c>
      <c r="AV10" s="438">
        <v>4</v>
      </c>
      <c r="AW10" s="438">
        <v>4</v>
      </c>
      <c r="AX10" s="438">
        <v>3</v>
      </c>
      <c r="AY10" s="438">
        <v>4</v>
      </c>
      <c r="AZ10" s="438">
        <v>3</v>
      </c>
      <c r="BA10" s="438">
        <v>3</v>
      </c>
      <c r="BB10" s="438">
        <v>3</v>
      </c>
      <c r="BC10" s="438">
        <v>4</v>
      </c>
      <c r="BD10" s="438">
        <v>4</v>
      </c>
      <c r="BE10" s="438">
        <v>4</v>
      </c>
      <c r="BF10" s="438">
        <v>3</v>
      </c>
      <c r="BG10" s="438">
        <v>3</v>
      </c>
      <c r="BH10" s="438">
        <v>3</v>
      </c>
      <c r="BI10" s="438">
        <v>5</v>
      </c>
      <c r="BJ10" s="438">
        <v>4</v>
      </c>
      <c r="BK10" s="438">
        <v>3</v>
      </c>
      <c r="BL10" s="438">
        <v>5</v>
      </c>
      <c r="BM10" s="438">
        <v>3</v>
      </c>
      <c r="BN10" s="422" t="s">
        <v>408</v>
      </c>
      <c r="BO10" s="438">
        <v>33.035714285714299</v>
      </c>
      <c r="BP10" s="438">
        <v>11.8214285714286</v>
      </c>
      <c r="BQ10" s="422">
        <f t="shared" ref="BQ10:BQ15" si="65">SUM(BO10:BP10)</f>
        <v>44.857142857142897</v>
      </c>
      <c r="BR10" s="438" t="str">
        <f t="shared" ref="BR10:BR15" si="66">IF(BQ10&gt;=80,"A1",
IF(BQ10&gt;=75,"A",
IF(BQ10&gt;=70,"B2",
IF(BQ10&gt;=65,"B3",
IF(BQ10&gt;=60,"C4",
IF(BQ10&gt;=55,"C5",
IF(BQ10&gt;=50,"C6",
IF(BQ10&gt;=45,"D7",
IF(BQ10&gt;=40,"E8",
IF(BQ10&gt;=1,"F9",""))))))))))</f>
        <v>E8</v>
      </c>
      <c r="BS10" s="422">
        <v>33.035714285714299</v>
      </c>
      <c r="BT10" s="438">
        <v>25.464285714285701</v>
      </c>
      <c r="BU10" s="422">
        <f t="shared" ref="BU10:BU15" si="67">SUM(BS10:BT10)</f>
        <v>58.5</v>
      </c>
      <c r="BV10" s="438" t="str">
        <f t="shared" ref="BV10:BV15" si="68">IF(BU10&gt;=80,"A1",
IF(BU10&gt;=75,"A",
IF(BU10&gt;=70,"B2",
IF(BU10&gt;=65,"B3",
IF(BU10&gt;=60,"C4",
IF(BU10&gt;=55,"C5",
IF(BU10&gt;=50,"C6",
IF(BU10&gt;=45,"D7",
IF(BU10&gt;=40,"E8",
IF(BU10&gt;=1,"F9",""))))))))))</f>
        <v>C5</v>
      </c>
      <c r="BW10" s="422">
        <v>33.035714285714299</v>
      </c>
      <c r="BX10" s="422">
        <v>21.464285714285701</v>
      </c>
      <c r="BY10" s="422">
        <f t="shared" ref="BY10:BY15" si="69">SUM(BW10:BX10)</f>
        <v>54.5</v>
      </c>
      <c r="BZ10" s="438" t="str">
        <f t="shared" ref="BZ10:BZ15" si="70">IF(BY10&gt;=80,"A1",
IF(BY10&gt;=75,"A",
IF(BY10&gt;=70,"B2",
IF(BY10&gt;=65,"B3",
IF(BY10&gt;=60,"C4",
IF(BY10&gt;=55,"C5",
IF(BY10&gt;=50,"C6",
IF(BY10&gt;=45,"D7",
IF(BY10&gt;=40,"E8",
IF(BY10&gt;=1,"F9",""))))))))))</f>
        <v>C6</v>
      </c>
      <c r="CA10" s="422">
        <v>33.035714285714299</v>
      </c>
      <c r="CB10" s="422">
        <v>18.214285714285701</v>
      </c>
      <c r="CC10" s="422">
        <f t="shared" ref="CC10:CC15" si="71">SUM(CA10:CB10)</f>
        <v>51.25</v>
      </c>
      <c r="CD10" s="438" t="str">
        <f t="shared" ref="CD10:CD15" si="72">IF(CC10&gt;=80,"A1",
IF(CC10&gt;=75,"A",
IF(CC10&gt;=70,"B2",
IF(CC10&gt;=65,"B3",
IF(CC10&gt;=60,"C4",
IF(CC10&gt;=55,"C5",
IF(CC10&gt;=50,"C6",
IF(CC10&gt;=45,"D7",
IF(CC10&gt;=40,"E8",
IF(CC10&gt;=1,"F9",""))))))))))</f>
        <v>C6</v>
      </c>
      <c r="CE10" s="422">
        <v>35</v>
      </c>
      <c r="CF10" s="422">
        <v>22.285714285714299</v>
      </c>
      <c r="CG10" s="422">
        <f t="shared" ref="CG10:CG15" si="73">SUM(CE10:CF10)</f>
        <v>57.285714285714299</v>
      </c>
      <c r="CH10" s="438" t="str">
        <f t="shared" ref="CH10:CH15" si="74">IF(CG10&gt;=80,"A1",
IF(CG10&gt;=75,"A",
IF(CG10&gt;=70,"B2",
IF(CG10&gt;=65,"B3",
IF(CG10&gt;=60,"C4",
IF(CG10&gt;=55,"C5",
IF(CG10&gt;=50,"C6",
IF(CG10&gt;=45,"D7",
IF(CG10&gt;=40,"E8",
IF(CG10&gt;=1,"F9",""))))))))))</f>
        <v>C5</v>
      </c>
      <c r="CI10" s="422">
        <v>33.035714285714299</v>
      </c>
      <c r="CJ10" s="422">
        <v>30.8928571428571</v>
      </c>
      <c r="CK10" s="422">
        <f t="shared" ref="CK10:CK15" si="75">SUM(CI10:CJ10)</f>
        <v>63.928571428571402</v>
      </c>
      <c r="CL10" s="438" t="str">
        <f t="shared" ref="CL10:CL15" si="76">IF(CK10&gt;=80,"A1",
IF(CK10&gt;=75,"A",
IF(CK10&gt;=70,"B2",
IF(CK10&gt;=65,"B3",
IF(CK10&gt;=60,"C4",
IF(CK10&gt;=55,"C5",
IF(CK10&gt;=50,"C6",
IF(CK10&gt;=45,"D7",
IF(CK10&gt;=40,"E8",
IF(CK10&gt;=1,"F9",""))))))))))</f>
        <v>C4</v>
      </c>
      <c r="CM10" s="422">
        <v>33.035714285714299</v>
      </c>
      <c r="CN10" s="422"/>
      <c r="CO10" s="422"/>
      <c r="CP10" s="422">
        <f t="shared" ref="CP10:CP11" si="77">CM10</f>
        <v>33.035714285714299</v>
      </c>
      <c r="CQ10" s="422">
        <v>46.663793103448299</v>
      </c>
      <c r="CR10" s="422">
        <f t="shared" ref="CR10:CR15" si="78">SUM(CP10:CQ10)</f>
        <v>79.699507389162591</v>
      </c>
      <c r="CS10" s="438" t="str">
        <f t="shared" ref="CS10:CS15" si="79">IF(CR10&gt;=80,"A1",
IF(CR10&gt;=75,"A",
IF(CR10&gt;=70,"B2",
IF(CR10&gt;=65,"B3",
IF(CR10&gt;=60,"C4",
IF(CR10&gt;=55,"C5",
IF(CR10&gt;=50,"C6",
IF(CR10&gt;=45,"D7",
IF(CR10&gt;=40,"E8",
IF(CR10&gt;=1,"F9",""))))))))))</f>
        <v>A</v>
      </c>
      <c r="CT10" s="422">
        <v>32.105263157894697</v>
      </c>
      <c r="CU10" s="422">
        <v>28.421052631578998</v>
      </c>
      <c r="CV10" s="422">
        <f t="shared" ref="CV10:CV15" si="80">SUM(CT10:CU10)</f>
        <v>60.526315789473699</v>
      </c>
      <c r="CW10" s="438" t="str">
        <f t="shared" ref="CW10:CW15" si="81">IF(CV10&gt;=80,"A1",
IF(CV10&gt;=75,"A",
IF(CV10&gt;=70,"B2",
IF(CV10&gt;=65,"B3",
IF(CV10&gt;=60,"C4",
IF(CV10&gt;=55,"C5",
IF(CV10&gt;=50,"C6",
IF(CV10&gt;=45,"D7",
IF(CV10&gt;=40,"E8",
IF(CV10&gt;=1,"F9",""))))))))))</f>
        <v>C4</v>
      </c>
      <c r="CX10" s="422">
        <v>29.1666666666667</v>
      </c>
      <c r="CY10" s="422">
        <v>18.214285714285701</v>
      </c>
      <c r="CZ10" s="422">
        <f t="shared" ref="CZ10:CZ15" si="82">SUM(CX10:CY10)</f>
        <v>47.380952380952401</v>
      </c>
      <c r="DA10" s="438" t="str">
        <f t="shared" ref="DA10:DA15" si="83">IF(CZ10&gt;=80,"A1",
IF(CZ10&gt;=75,"A",
IF(CZ10&gt;=70,"B2",
IF(CZ10&gt;=65,"B3",
IF(CZ10&gt;=60,"C4",
IF(CZ10&gt;=55,"C5",
IF(CZ10&gt;=50,"C6",
IF(CZ10&gt;=45,"D7",
IF(CZ10&gt;=40,"E8",
IF(CZ10&gt;=1,"F9",""))))))))))</f>
        <v>D7</v>
      </c>
      <c r="DB10" s="422">
        <v>10</v>
      </c>
      <c r="DC10" s="422">
        <v>25.178571428571502</v>
      </c>
      <c r="DD10" s="422">
        <f t="shared" ref="DD10:DD15" si="84">SUM(DB10:DC10)</f>
        <v>35.178571428571502</v>
      </c>
      <c r="DE10" s="422" t="str">
        <f t="shared" ref="DE10:DE15" si="85">IF(DD10&gt;=80,"A1",
IF(DD10&gt;=75,"A",
IF(DD10&gt;=70,"B2",
IF(DD10&gt;=65,"B3",
IF(DD10&gt;=60,"C4",
IF(DD10&gt;=55,"C5",
IF(DD10&gt;=50,"C6",
IF(DD10&gt;=45,"D7",
IF(DD10&gt;=40,"E8",
IF(DD10&gt;=1,"F9",""))))))))))</f>
        <v>F9</v>
      </c>
      <c r="DF10" s="422">
        <f t="shared" ref="DF10:DF15" si="86">DB10</f>
        <v>10</v>
      </c>
      <c r="DG10" s="422">
        <v>18.214285714285701</v>
      </c>
      <c r="DH10" s="422">
        <f t="shared" ref="DH10:DH15" si="87">SUM(DF10:DG10)</f>
        <v>28.214285714285701</v>
      </c>
      <c r="DI10" s="422" t="str">
        <f t="shared" ref="DI10:DI15" si="88">IF(DH10&gt;=80,"A1",
IF(DH10&gt;=75,"A",
IF(DH10&gt;=70,"B2",
IF(DH10&gt;=65,"B3",
IF(DH10&gt;=60,"C4",
IF(DH10&gt;=55,"C5",
IF(DH10&gt;=50,"C6",
IF(DH10&gt;=45,"D7",
IF(DH10&gt;=40,"E8",
IF(DH10&gt;=1,"F9",""))))))))))</f>
        <v>F9</v>
      </c>
      <c r="DJ10" s="422">
        <v>25</v>
      </c>
      <c r="DK10" s="422">
        <v>46.392857142857103</v>
      </c>
      <c r="DL10" s="422">
        <f t="shared" ref="DL10:DL15" si="89">SUM(DJ10:DK10)</f>
        <v>71.39285714285711</v>
      </c>
      <c r="DM10" s="422" t="str">
        <f t="shared" ref="DM10:DM15" si="90">IF(DL10&gt;=80,"A1",
IF(DL10&gt;=75,"A",
IF(DL10&gt;=70,"B2",
IF(DL10&gt;=65,"B3",
IF(DL10&gt;=60,"C4",
IF(DL10&gt;=55,"C5",
IF(DL10&gt;=50,"C6",
IF(DL10&gt;=45,"D7",
IF(DL10&gt;=40,"E8",
IF(DL10&gt;=1,"F9",""))))))))))</f>
        <v>B2</v>
      </c>
      <c r="DN10" s="422">
        <v>25</v>
      </c>
      <c r="DO10" s="422">
        <v>43.392857142857103</v>
      </c>
      <c r="DP10" s="422">
        <f t="shared" ref="DP10:DP15" si="91">SUM(DN10:DO10)</f>
        <v>68.39285714285711</v>
      </c>
      <c r="DQ10" s="438" t="str">
        <f t="shared" ref="DQ10:DQ15" si="92">IF(DP10&gt;=80,"A1",
IF(DP10&gt;=75,"A",
IF(DP10&gt;=70,"B2",
IF(DP10&gt;=65,"B3",
IF(DP10&gt;=60,"C4",
IF(DP10&gt;=55,"C5",
IF(DP10&gt;=50,"C6",
IF(DP10&gt;=45,"D7",
IF(DP10&gt;=40,"E8",
IF(DP10&gt;=1,"F9",""))))))))))</f>
        <v>B3</v>
      </c>
      <c r="DR10" s="422">
        <v>-5</v>
      </c>
      <c r="DS10" s="422">
        <v>18.964285714285701</v>
      </c>
      <c r="DT10" s="422">
        <f t="shared" ref="DT10:DT15" si="93">SUM(DR10:DS10)</f>
        <v>13.964285714285701</v>
      </c>
      <c r="DU10" s="438" t="str">
        <f t="shared" ref="DU10:DU15" si="94">IF(DT10&gt;=80,"A1",
IF(DT10&gt;=75,"A",
IF(DT10&gt;=70,"B2",
IF(DT10&gt;=65,"B3",
IF(DT10&gt;=60,"C4",
IF(DT10&gt;=55,"C5",
IF(DT10&gt;=50,"C6",
IF(DT10&gt;=45,"D7",
IF(DT10&gt;=40,"E8",
IF(DT10&gt;=1,"F9",""))))))))))</f>
        <v>F9</v>
      </c>
      <c r="DV10" s="422">
        <v>25</v>
      </c>
      <c r="DW10" s="422">
        <v>46.785714285714299</v>
      </c>
      <c r="DX10" s="422">
        <f t="shared" ref="DX10:DX15" si="95">SUM(DV10:DW10)</f>
        <v>71.785714285714306</v>
      </c>
      <c r="DY10" s="438" t="str">
        <f t="shared" ref="DY10:DY15" si="96">IF(DX10&gt;=80,"A1",
IF(DX10&gt;=75,"A",
IF(DX10&gt;=70,"B2",
IF(DX10&gt;=65,"B3",
IF(DX10&gt;=60,"C4",
IF(DX10&gt;=55,"C5",
IF(DX10&gt;=50,"C6",
IF(DX10&gt;=45,"D7",
IF(DX10&gt;=40,"E8",
IF(DX10&gt;=1,"F9",""))))))))))</f>
        <v>B2</v>
      </c>
      <c r="DZ10" s="422">
        <f t="shared" ref="DZ10:DZ15" si="97">DV10</f>
        <v>25</v>
      </c>
      <c r="EA10" s="422">
        <v>38.25</v>
      </c>
      <c r="EB10" s="422">
        <f t="shared" ref="EB10:EB15" si="98">SUM(DZ10:EA10)</f>
        <v>63.25</v>
      </c>
      <c r="EC10" s="438" t="str">
        <f t="shared" ref="EC10:EC15" si="99">IF(EB10&gt;=80,"A1",
IF(EB10&gt;=75,"A",
IF(EB10&gt;=70,"B2",
IF(EB10&gt;=65,"B3",
IF(EB10&gt;=60,"C4",
IF(EB10&gt;=55,"C5",
IF(EB10&gt;=50,"C6",
IF(EB10&gt;=45,"D7",
IF(EB10&gt;=40,"E8",
IF(EB10&gt;=1,"F9",""))))))))))</f>
        <v>C4</v>
      </c>
      <c r="ED10" s="422">
        <f t="shared" si="63"/>
        <v>870.10677555958853</v>
      </c>
      <c r="EE10" s="422">
        <f t="shared" ref="EE10:EE73" si="100">ED10/16</f>
        <v>54.381673472474283</v>
      </c>
      <c r="EF10" s="438" t="str">
        <f t="shared" ref="EF10:EF73" si="101">IF(EE10&gt;=80,"A1",
IF(EE10&gt;=75,"A",
IF(EE10&gt;=70,"B2",
IF(EE10&gt;=65,"B3",
IF(EE10&gt;=60,"C4",
IF(EE10&gt;=55,"C5",
IF(EE10&gt;=50,"C6",
IF(EE10&gt;=45,"D7",
IF(EE10&gt;=40,"E8",
IF(EE10&gt;=1,"F9",""))))))))))</f>
        <v>C6</v>
      </c>
      <c r="EG10" s="422" t="str">
        <f t="shared" ref="EG10:EG73" si="102">IF(EF10="F9","FAIL",
IF(OR(EF10="E8",EF10="D7"),"PASS",
IF(OR(EF10="C6",EF10="C5"),"CREDIT",
IF(OR(EF10="C4",EF10="B3",EF10="B2"),"HIGH-CREDIT",
IF(OR(EF10="A",EF10="A1"),"DISTINTION","")))))</f>
        <v>CREDIT</v>
      </c>
      <c r="EH10" s="439">
        <v>1</v>
      </c>
      <c r="EI10" s="422">
        <f t="shared" ref="EI10:EI73" si="103">ED10</f>
        <v>870.10677555958853</v>
      </c>
      <c r="EJ10" s="440">
        <f t="shared" ref="EJ10:EJ73" si="104">EE10/100</f>
        <v>0.54381673472474279</v>
      </c>
      <c r="EK10" s="438" t="s">
        <v>573</v>
      </c>
      <c r="EL10" s="438" t="s">
        <v>762</v>
      </c>
    </row>
    <row r="11" spans="1:145" ht="31.5">
      <c r="A11" s="781"/>
      <c r="B11" s="690"/>
      <c r="C11" s="690"/>
      <c r="D11" s="690"/>
      <c r="E11" s="690"/>
      <c r="F11" s="837" t="s">
        <v>328</v>
      </c>
      <c r="G11" s="838"/>
      <c r="H11" s="838"/>
      <c r="I11" s="838"/>
      <c r="J11" s="838"/>
      <c r="K11" s="838"/>
      <c r="L11" s="838"/>
      <c r="M11" s="838"/>
      <c r="N11" s="838"/>
      <c r="O11" s="838"/>
      <c r="P11" s="838"/>
      <c r="Q11" s="838"/>
      <c r="R11" s="838"/>
      <c r="S11" s="838"/>
      <c r="T11" s="839"/>
      <c r="U11" s="809"/>
      <c r="V11" s="391"/>
      <c r="W11" s="391"/>
      <c r="X11" s="391"/>
      <c r="Y11" s="391"/>
      <c r="Z11" s="391"/>
      <c r="AA11" s="420">
        <f t="shared" si="1"/>
        <v>10</v>
      </c>
      <c r="AB11" s="435" t="s">
        <v>59</v>
      </c>
      <c r="AC11" s="422" t="s">
        <v>394</v>
      </c>
      <c r="AD11" s="422" t="s">
        <v>326</v>
      </c>
      <c r="AE11" s="422">
        <v>14.8571428571429</v>
      </c>
      <c r="AF11" s="422">
        <f>'SSS1 ATTENDANCE '!FJ17</f>
        <v>128</v>
      </c>
      <c r="AG11" s="422">
        <f>'SSS1 ATTENDANCE '!FH17</f>
        <v>128</v>
      </c>
      <c r="AH11" s="422">
        <f>'SSS1 ATTENDANCE '!FI17</f>
        <v>0</v>
      </c>
      <c r="AI11" s="436" t="s">
        <v>583</v>
      </c>
      <c r="AJ11" s="437">
        <v>40754</v>
      </c>
      <c r="AK11" s="435" t="s">
        <v>396</v>
      </c>
      <c r="AL11" s="424">
        <v>25</v>
      </c>
      <c r="AM11" s="422">
        <v>29.5</v>
      </c>
      <c r="AN11" s="438">
        <v>4</v>
      </c>
      <c r="AO11" s="422" t="str">
        <f t="shared" si="64"/>
        <v>5</v>
      </c>
      <c r="AP11" s="438">
        <v>5</v>
      </c>
      <c r="AQ11" s="422">
        <v>4</v>
      </c>
      <c r="AR11" s="438">
        <v>4</v>
      </c>
      <c r="AS11" s="438">
        <v>4</v>
      </c>
      <c r="AT11" s="438">
        <v>4</v>
      </c>
      <c r="AU11" s="438">
        <v>3</v>
      </c>
      <c r="AV11" s="438">
        <v>4</v>
      </c>
      <c r="AW11" s="438">
        <v>4</v>
      </c>
      <c r="AX11" s="438">
        <v>3</v>
      </c>
      <c r="AY11" s="438">
        <v>4</v>
      </c>
      <c r="AZ11" s="438">
        <v>3</v>
      </c>
      <c r="BA11" s="438">
        <v>3</v>
      </c>
      <c r="BB11" s="438">
        <v>3</v>
      </c>
      <c r="BC11" s="438">
        <v>4</v>
      </c>
      <c r="BD11" s="438">
        <v>4</v>
      </c>
      <c r="BE11" s="438">
        <v>4</v>
      </c>
      <c r="BF11" s="438">
        <v>3</v>
      </c>
      <c r="BG11" s="438">
        <v>3</v>
      </c>
      <c r="BH11" s="438">
        <v>3</v>
      </c>
      <c r="BI11" s="438">
        <v>5</v>
      </c>
      <c r="BJ11" s="438">
        <v>4</v>
      </c>
      <c r="BK11" s="438">
        <v>3</v>
      </c>
      <c r="BL11" s="438">
        <v>5</v>
      </c>
      <c r="BM11" s="438">
        <v>3</v>
      </c>
      <c r="BN11" s="422" t="s">
        <v>409</v>
      </c>
      <c r="BO11" s="438">
        <v>32.5</v>
      </c>
      <c r="BP11" s="438">
        <v>7.6428571428572001</v>
      </c>
      <c r="BQ11" s="422">
        <f t="shared" si="65"/>
        <v>40.142857142857203</v>
      </c>
      <c r="BR11" s="438" t="str">
        <f t="shared" si="66"/>
        <v>E8</v>
      </c>
      <c r="BS11" s="422">
        <v>32.5</v>
      </c>
      <c r="BT11" s="438">
        <v>22.214285714285701</v>
      </c>
      <c r="BU11" s="422">
        <f t="shared" si="67"/>
        <v>54.714285714285701</v>
      </c>
      <c r="BV11" s="438" t="str">
        <f t="shared" si="68"/>
        <v>C6</v>
      </c>
      <c r="BW11" s="422">
        <v>32.5</v>
      </c>
      <c r="BX11" s="422">
        <v>18.3571428571429</v>
      </c>
      <c r="BY11" s="422">
        <f t="shared" si="69"/>
        <v>50.857142857142904</v>
      </c>
      <c r="BZ11" s="438" t="str">
        <f t="shared" si="70"/>
        <v>C6</v>
      </c>
      <c r="CA11" s="422">
        <v>32.5</v>
      </c>
      <c r="CB11" s="422">
        <v>15</v>
      </c>
      <c r="CC11" s="422">
        <f t="shared" si="71"/>
        <v>47.5</v>
      </c>
      <c r="CD11" s="438" t="str">
        <f t="shared" si="72"/>
        <v>D7</v>
      </c>
      <c r="CE11" s="422">
        <v>35</v>
      </c>
      <c r="CF11" s="422">
        <v>19.1428571428571</v>
      </c>
      <c r="CG11" s="422">
        <f t="shared" si="73"/>
        <v>54.142857142857096</v>
      </c>
      <c r="CH11" s="438" t="str">
        <f t="shared" si="74"/>
        <v>C6</v>
      </c>
      <c r="CI11" s="422">
        <v>32.5</v>
      </c>
      <c r="CJ11" s="422">
        <v>29.071428571428601</v>
      </c>
      <c r="CK11" s="422">
        <f t="shared" si="75"/>
        <v>61.571428571428598</v>
      </c>
      <c r="CL11" s="438" t="str">
        <f t="shared" si="76"/>
        <v>C4</v>
      </c>
      <c r="CM11" s="422">
        <v>32.5</v>
      </c>
      <c r="CN11" s="422"/>
      <c r="CO11" s="422"/>
      <c r="CP11" s="422">
        <f t="shared" si="77"/>
        <v>32.5</v>
      </c>
      <c r="CQ11" s="422">
        <v>46.379310344827601</v>
      </c>
      <c r="CR11" s="422">
        <f t="shared" si="78"/>
        <v>78.879310344827601</v>
      </c>
      <c r="CS11" s="438" t="str">
        <f t="shared" si="79"/>
        <v>A</v>
      </c>
      <c r="CT11" s="422">
        <v>31.052631578947398</v>
      </c>
      <c r="CU11" s="422">
        <v>24.210526315789501</v>
      </c>
      <c r="CV11" s="422">
        <f t="shared" si="80"/>
        <v>55.263157894736899</v>
      </c>
      <c r="CW11" s="438" t="str">
        <f t="shared" si="81"/>
        <v>C5</v>
      </c>
      <c r="CX11" s="422">
        <v>26.6666666666667</v>
      </c>
      <c r="CY11" s="422">
        <v>15</v>
      </c>
      <c r="CZ11" s="422">
        <f t="shared" si="82"/>
        <v>41.6666666666667</v>
      </c>
      <c r="DA11" s="438" t="str">
        <f t="shared" si="83"/>
        <v>E8</v>
      </c>
      <c r="DB11" s="422">
        <f t="shared" ref="DB11:DB15" si="105">CX11</f>
        <v>26.6666666666667</v>
      </c>
      <c r="DC11" s="422">
        <v>22.5</v>
      </c>
      <c r="DD11" s="422">
        <f t="shared" si="84"/>
        <v>49.1666666666667</v>
      </c>
      <c r="DE11" s="422" t="str">
        <f t="shared" si="85"/>
        <v>D7</v>
      </c>
      <c r="DF11" s="422">
        <f t="shared" si="86"/>
        <v>26.6666666666667</v>
      </c>
      <c r="DG11" s="422">
        <v>15</v>
      </c>
      <c r="DH11" s="422">
        <f t="shared" si="87"/>
        <v>41.6666666666667</v>
      </c>
      <c r="DI11" s="422" t="str">
        <f t="shared" si="88"/>
        <v>E8</v>
      </c>
      <c r="DJ11" s="422">
        <f t="shared" ref="DJ11:DJ15" si="106">DF11</f>
        <v>26.6666666666667</v>
      </c>
      <c r="DK11" s="422">
        <v>46.214285714285701</v>
      </c>
      <c r="DL11" s="422">
        <f t="shared" si="89"/>
        <v>72.880952380952408</v>
      </c>
      <c r="DM11" s="422" t="str">
        <f t="shared" si="90"/>
        <v>B2</v>
      </c>
      <c r="DN11" s="422">
        <f t="shared" ref="DN11:DN15" si="107">DJ11</f>
        <v>26.6666666666667</v>
      </c>
      <c r="DO11" s="422">
        <v>42.785714285714299</v>
      </c>
      <c r="DP11" s="422">
        <f t="shared" si="91"/>
        <v>69.452380952380992</v>
      </c>
      <c r="DQ11" s="438" t="str">
        <f t="shared" si="92"/>
        <v>B3</v>
      </c>
      <c r="DR11" s="422">
        <f t="shared" ref="DR11:DR15" si="108">DN11</f>
        <v>26.6666666666667</v>
      </c>
      <c r="DS11" s="422">
        <v>16.3571428571429</v>
      </c>
      <c r="DT11" s="422">
        <f t="shared" si="93"/>
        <v>43.023809523809604</v>
      </c>
      <c r="DU11" s="438" t="str">
        <f t="shared" si="94"/>
        <v>E8</v>
      </c>
      <c r="DV11" s="422">
        <f t="shared" ref="DV11:DV15" si="109">DR11</f>
        <v>26.6666666666667</v>
      </c>
      <c r="DW11" s="422">
        <v>46.714285714285701</v>
      </c>
      <c r="DX11" s="422">
        <f t="shared" si="95"/>
        <v>73.380952380952408</v>
      </c>
      <c r="DY11" s="438" t="str">
        <f t="shared" si="96"/>
        <v>B2</v>
      </c>
      <c r="DZ11" s="422">
        <f t="shared" si="97"/>
        <v>26.6666666666667</v>
      </c>
      <c r="EA11" s="422">
        <v>37.5</v>
      </c>
      <c r="EB11" s="422">
        <f t="shared" si="98"/>
        <v>64.1666666666667</v>
      </c>
      <c r="EC11" s="438" t="str">
        <f t="shared" si="99"/>
        <v>C4</v>
      </c>
      <c r="ED11" s="422">
        <f t="shared" si="63"/>
        <v>898.47580157289826</v>
      </c>
      <c r="EE11" s="422">
        <f t="shared" si="100"/>
        <v>56.154737598306141</v>
      </c>
      <c r="EF11" s="438" t="str">
        <f t="shared" si="101"/>
        <v>C5</v>
      </c>
      <c r="EG11" s="422" t="str">
        <f t="shared" si="102"/>
        <v>CREDIT</v>
      </c>
      <c r="EH11" s="439">
        <v>1</v>
      </c>
      <c r="EI11" s="422">
        <f t="shared" si="103"/>
        <v>898.47580157289826</v>
      </c>
      <c r="EJ11" s="440">
        <f t="shared" si="104"/>
        <v>0.56154737598306137</v>
      </c>
      <c r="EK11" s="438" t="s">
        <v>573</v>
      </c>
      <c r="EL11" s="438" t="s">
        <v>762</v>
      </c>
    </row>
    <row r="12" spans="1:145" ht="30">
      <c r="A12" s="781"/>
      <c r="B12" s="690"/>
      <c r="C12" s="690"/>
      <c r="D12" s="690"/>
      <c r="E12" s="821"/>
      <c r="F12" s="858" t="s">
        <v>329</v>
      </c>
      <c r="G12" s="859"/>
      <c r="H12" s="859"/>
      <c r="I12" s="859"/>
      <c r="J12" s="859"/>
      <c r="K12" s="859"/>
      <c r="L12" s="859"/>
      <c r="M12" s="859"/>
      <c r="N12" s="859"/>
      <c r="O12" s="859"/>
      <c r="P12" s="859"/>
      <c r="Q12" s="859"/>
      <c r="R12" s="859"/>
      <c r="S12" s="859"/>
      <c r="T12" s="860"/>
      <c r="U12" s="809"/>
      <c r="V12" s="391"/>
      <c r="W12" s="391"/>
      <c r="X12" s="391"/>
      <c r="Y12" s="391"/>
      <c r="Z12" s="391"/>
      <c r="AA12" s="420">
        <f t="shared" si="1"/>
        <v>11</v>
      </c>
      <c r="AB12" s="435" t="s">
        <v>60</v>
      </c>
      <c r="AC12" s="422" t="s">
        <v>394</v>
      </c>
      <c r="AD12" s="422" t="s">
        <v>326</v>
      </c>
      <c r="AE12" s="422">
        <v>15</v>
      </c>
      <c r="AF12" s="422">
        <f>'SSS1 ATTENDANCE '!FJ18</f>
        <v>128</v>
      </c>
      <c r="AG12" s="422">
        <f>'SSS1 ATTENDANCE '!FH18</f>
        <v>102</v>
      </c>
      <c r="AH12" s="422">
        <f>'SSS1 ATTENDANCE '!FI18</f>
        <v>26</v>
      </c>
      <c r="AI12" s="436" t="s">
        <v>584</v>
      </c>
      <c r="AJ12" s="437">
        <v>40900</v>
      </c>
      <c r="AK12" s="435" t="s">
        <v>396</v>
      </c>
      <c r="AL12" s="424">
        <v>25</v>
      </c>
      <c r="AM12" s="422">
        <v>30.035714285714299</v>
      </c>
      <c r="AN12" s="438">
        <v>4</v>
      </c>
      <c r="AO12" s="422" t="str">
        <f t="shared" si="64"/>
        <v>5</v>
      </c>
      <c r="AP12" s="438">
        <v>5</v>
      </c>
      <c r="AQ12" s="422">
        <v>4</v>
      </c>
      <c r="AR12" s="438">
        <v>4</v>
      </c>
      <c r="AS12" s="438">
        <v>4</v>
      </c>
      <c r="AT12" s="438">
        <v>4</v>
      </c>
      <c r="AU12" s="438">
        <v>3</v>
      </c>
      <c r="AV12" s="438">
        <v>4</v>
      </c>
      <c r="AW12" s="438">
        <v>4</v>
      </c>
      <c r="AX12" s="438">
        <v>3</v>
      </c>
      <c r="AY12" s="438">
        <v>4</v>
      </c>
      <c r="AZ12" s="438">
        <v>3</v>
      </c>
      <c r="BA12" s="438">
        <v>3</v>
      </c>
      <c r="BB12" s="438">
        <v>3</v>
      </c>
      <c r="BC12" s="438">
        <v>4</v>
      </c>
      <c r="BD12" s="438">
        <v>4</v>
      </c>
      <c r="BE12" s="438">
        <v>4</v>
      </c>
      <c r="BF12" s="438">
        <v>3</v>
      </c>
      <c r="BG12" s="438">
        <v>3</v>
      </c>
      <c r="BH12" s="438">
        <v>3</v>
      </c>
      <c r="BI12" s="438">
        <v>5</v>
      </c>
      <c r="BJ12" s="438">
        <v>4</v>
      </c>
      <c r="BK12" s="438">
        <v>3</v>
      </c>
      <c r="BL12" s="438">
        <v>5</v>
      </c>
      <c r="BM12" s="438">
        <v>3</v>
      </c>
      <c r="BN12" s="422" t="s">
        <v>410</v>
      </c>
      <c r="BO12" s="438">
        <v>31.964285714285701</v>
      </c>
      <c r="BP12" s="438">
        <v>3.4642857142857002</v>
      </c>
      <c r="BQ12" s="422">
        <f t="shared" si="65"/>
        <v>35.428571428571402</v>
      </c>
      <c r="BR12" s="438" t="str">
        <f t="shared" si="66"/>
        <v>F9</v>
      </c>
      <c r="BS12" s="422">
        <v>31.964285714285701</v>
      </c>
      <c r="BT12" s="438">
        <v>18.964285714285701</v>
      </c>
      <c r="BU12" s="422">
        <f t="shared" si="67"/>
        <v>50.928571428571402</v>
      </c>
      <c r="BV12" s="438" t="str">
        <f t="shared" si="68"/>
        <v>C6</v>
      </c>
      <c r="BW12" s="422">
        <v>31.964285714285701</v>
      </c>
      <c r="BX12" s="422">
        <v>15.25</v>
      </c>
      <c r="BY12" s="422">
        <f t="shared" si="69"/>
        <v>47.214285714285701</v>
      </c>
      <c r="BZ12" s="438" t="str">
        <f t="shared" si="70"/>
        <v>D7</v>
      </c>
      <c r="CA12" s="422">
        <v>31.964285714285701</v>
      </c>
      <c r="CB12" s="422">
        <v>11.785714285714199</v>
      </c>
      <c r="CC12" s="422">
        <f t="shared" si="71"/>
        <v>43.749999999999901</v>
      </c>
      <c r="CD12" s="438" t="str">
        <f t="shared" si="72"/>
        <v>E8</v>
      </c>
      <c r="CE12" s="422">
        <v>35</v>
      </c>
      <c r="CF12" s="422">
        <v>16</v>
      </c>
      <c r="CG12" s="422">
        <f t="shared" si="73"/>
        <v>51</v>
      </c>
      <c r="CH12" s="438" t="str">
        <f t="shared" si="74"/>
        <v>C6</v>
      </c>
      <c r="CI12" s="422">
        <v>31.964285714285701</v>
      </c>
      <c r="CJ12" s="422">
        <v>27.25</v>
      </c>
      <c r="CK12" s="422">
        <f t="shared" si="75"/>
        <v>59.214285714285701</v>
      </c>
      <c r="CL12" s="438" t="str">
        <f t="shared" si="76"/>
        <v>C5</v>
      </c>
      <c r="CM12" s="422">
        <v>31.964285714285701</v>
      </c>
      <c r="CN12" s="422"/>
      <c r="CO12" s="422"/>
      <c r="CP12" s="422"/>
      <c r="CQ12" s="422">
        <v>46.094827586206897</v>
      </c>
      <c r="CR12" s="422">
        <f t="shared" si="78"/>
        <v>46.094827586206897</v>
      </c>
      <c r="CS12" s="438" t="str">
        <f t="shared" si="79"/>
        <v>D7</v>
      </c>
      <c r="CT12" s="422">
        <v>30</v>
      </c>
      <c r="CU12" s="422">
        <v>20</v>
      </c>
      <c r="CV12" s="422">
        <f t="shared" si="80"/>
        <v>50</v>
      </c>
      <c r="CW12" s="438" t="str">
        <f t="shared" si="81"/>
        <v>C6</v>
      </c>
      <c r="CX12" s="422">
        <f t="shared" ref="CX12" si="110">CT12</f>
        <v>30</v>
      </c>
      <c r="CY12" s="422">
        <v>11.785714285714199</v>
      </c>
      <c r="CZ12" s="422">
        <f t="shared" si="82"/>
        <v>41.785714285714199</v>
      </c>
      <c r="DA12" s="438" t="str">
        <f t="shared" si="83"/>
        <v>E8</v>
      </c>
      <c r="DB12" s="422">
        <f t="shared" si="105"/>
        <v>30</v>
      </c>
      <c r="DC12" s="422">
        <v>19.821428571428601</v>
      </c>
      <c r="DD12" s="422">
        <f t="shared" si="84"/>
        <v>49.821428571428598</v>
      </c>
      <c r="DE12" s="422" t="str">
        <f t="shared" si="85"/>
        <v>D7</v>
      </c>
      <c r="DF12" s="422">
        <f t="shared" si="86"/>
        <v>30</v>
      </c>
      <c r="DG12" s="422">
        <v>11.785714285714199</v>
      </c>
      <c r="DH12" s="422">
        <f t="shared" si="87"/>
        <v>41.785714285714199</v>
      </c>
      <c r="DI12" s="422" t="str">
        <f t="shared" si="88"/>
        <v>E8</v>
      </c>
      <c r="DJ12" s="422">
        <f t="shared" si="106"/>
        <v>30</v>
      </c>
      <c r="DK12" s="422">
        <v>46.035714285714299</v>
      </c>
      <c r="DL12" s="422">
        <f t="shared" si="89"/>
        <v>76.035714285714306</v>
      </c>
      <c r="DM12" s="422" t="str">
        <f t="shared" si="90"/>
        <v>A</v>
      </c>
      <c r="DN12" s="422">
        <f t="shared" si="107"/>
        <v>30</v>
      </c>
      <c r="DO12" s="422">
        <v>42.178571428571402</v>
      </c>
      <c r="DP12" s="422">
        <f t="shared" si="91"/>
        <v>72.178571428571402</v>
      </c>
      <c r="DQ12" s="438" t="str">
        <f t="shared" si="92"/>
        <v>B2</v>
      </c>
      <c r="DR12" s="422">
        <f t="shared" si="108"/>
        <v>30</v>
      </c>
      <c r="DS12" s="422">
        <v>13.75</v>
      </c>
      <c r="DT12" s="422">
        <f t="shared" si="93"/>
        <v>43.75</v>
      </c>
      <c r="DU12" s="438" t="str">
        <f t="shared" si="94"/>
        <v>E8</v>
      </c>
      <c r="DV12" s="422">
        <f t="shared" si="109"/>
        <v>30</v>
      </c>
      <c r="DW12" s="422">
        <v>46.642857142857103</v>
      </c>
      <c r="DX12" s="422">
        <f t="shared" si="95"/>
        <v>76.64285714285711</v>
      </c>
      <c r="DY12" s="438" t="str">
        <f t="shared" si="96"/>
        <v>A</v>
      </c>
      <c r="DZ12" s="422">
        <f t="shared" si="97"/>
        <v>30</v>
      </c>
      <c r="EA12" s="422">
        <v>36.75</v>
      </c>
      <c r="EB12" s="422">
        <f t="shared" si="98"/>
        <v>66.75</v>
      </c>
      <c r="EC12" s="438" t="str">
        <f t="shared" si="99"/>
        <v>B3</v>
      </c>
      <c r="ED12" s="422">
        <f t="shared" si="63"/>
        <v>852.38054187192097</v>
      </c>
      <c r="EE12" s="422">
        <f t="shared" si="100"/>
        <v>53.273783866995061</v>
      </c>
      <c r="EF12" s="438" t="str">
        <f t="shared" si="101"/>
        <v>C6</v>
      </c>
      <c r="EG12" s="422" t="str">
        <f t="shared" si="102"/>
        <v>CREDIT</v>
      </c>
      <c r="EH12" s="439">
        <v>1</v>
      </c>
      <c r="EI12" s="422">
        <f t="shared" si="103"/>
        <v>852.38054187192097</v>
      </c>
      <c r="EJ12" s="440">
        <f t="shared" si="104"/>
        <v>0.53273783866995061</v>
      </c>
      <c r="EK12" s="438" t="s">
        <v>573</v>
      </c>
      <c r="EL12" s="438" t="s">
        <v>762</v>
      </c>
    </row>
    <row r="13" spans="1:145" ht="30">
      <c r="A13" s="781"/>
      <c r="B13" s="690"/>
      <c r="C13" s="690"/>
      <c r="D13" s="690"/>
      <c r="E13" s="821"/>
      <c r="F13" s="858"/>
      <c r="G13" s="859"/>
      <c r="H13" s="859"/>
      <c r="I13" s="859"/>
      <c r="J13" s="859"/>
      <c r="K13" s="859"/>
      <c r="L13" s="859"/>
      <c r="M13" s="859"/>
      <c r="N13" s="859"/>
      <c r="O13" s="859"/>
      <c r="P13" s="859"/>
      <c r="Q13" s="859"/>
      <c r="R13" s="859"/>
      <c r="S13" s="859"/>
      <c r="T13" s="860"/>
      <c r="U13" s="809"/>
      <c r="V13" s="391"/>
      <c r="W13" s="391"/>
      <c r="X13" s="391"/>
      <c r="Y13" s="391"/>
      <c r="Z13" s="391"/>
      <c r="AA13" s="420">
        <f t="shared" si="1"/>
        <v>12</v>
      </c>
      <c r="AB13" s="435" t="s">
        <v>61</v>
      </c>
      <c r="AC13" s="422" t="s">
        <v>394</v>
      </c>
      <c r="AD13" s="422" t="s">
        <v>326</v>
      </c>
      <c r="AE13" s="422">
        <v>15.1428571428571</v>
      </c>
      <c r="AF13" s="422">
        <f>'SSS1 ATTENDANCE '!FJ19</f>
        <v>128</v>
      </c>
      <c r="AG13" s="422">
        <f>'SSS1 ATTENDANCE '!FH19</f>
        <v>124</v>
      </c>
      <c r="AH13" s="422">
        <f>'SSS1 ATTENDANCE '!FI19</f>
        <v>4</v>
      </c>
      <c r="AI13" s="436" t="s">
        <v>585</v>
      </c>
      <c r="AJ13" s="437">
        <v>40368</v>
      </c>
      <c r="AK13" s="435" t="s">
        <v>396</v>
      </c>
      <c r="AL13" s="424">
        <v>25</v>
      </c>
      <c r="AM13" s="422">
        <v>30.571428571428601</v>
      </c>
      <c r="AN13" s="438">
        <v>4</v>
      </c>
      <c r="AO13" s="422" t="str">
        <f t="shared" si="64"/>
        <v>5</v>
      </c>
      <c r="AP13" s="438">
        <v>5</v>
      </c>
      <c r="AQ13" s="422">
        <v>4</v>
      </c>
      <c r="AR13" s="438">
        <v>4</v>
      </c>
      <c r="AS13" s="438">
        <v>4</v>
      </c>
      <c r="AT13" s="438">
        <v>4</v>
      </c>
      <c r="AU13" s="438">
        <v>3</v>
      </c>
      <c r="AV13" s="438">
        <v>4</v>
      </c>
      <c r="AW13" s="438">
        <v>4</v>
      </c>
      <c r="AX13" s="438">
        <v>3</v>
      </c>
      <c r="AY13" s="438">
        <v>4</v>
      </c>
      <c r="AZ13" s="438">
        <v>3</v>
      </c>
      <c r="BA13" s="438">
        <v>3</v>
      </c>
      <c r="BB13" s="438">
        <v>3</v>
      </c>
      <c r="BC13" s="438">
        <v>4</v>
      </c>
      <c r="BD13" s="438">
        <v>4</v>
      </c>
      <c r="BE13" s="438">
        <v>4</v>
      </c>
      <c r="BF13" s="438">
        <v>3</v>
      </c>
      <c r="BG13" s="438">
        <v>3</v>
      </c>
      <c r="BH13" s="438">
        <v>3</v>
      </c>
      <c r="BI13" s="438">
        <v>5</v>
      </c>
      <c r="BJ13" s="438">
        <v>4</v>
      </c>
      <c r="BK13" s="438">
        <v>3</v>
      </c>
      <c r="BL13" s="438">
        <v>5</v>
      </c>
      <c r="BM13" s="438">
        <v>3</v>
      </c>
      <c r="BN13" s="422" t="s">
        <v>411</v>
      </c>
      <c r="BO13" s="438">
        <v>31.428571428571399</v>
      </c>
      <c r="BP13" s="438">
        <v>-0.71428571428570098</v>
      </c>
      <c r="BQ13" s="422">
        <f t="shared" si="65"/>
        <v>30.714285714285698</v>
      </c>
      <c r="BR13" s="438" t="str">
        <f t="shared" si="66"/>
        <v>F9</v>
      </c>
      <c r="BS13" s="422">
        <v>31.428571428571399</v>
      </c>
      <c r="BT13" s="438">
        <v>15.714285714285699</v>
      </c>
      <c r="BU13" s="422">
        <f t="shared" si="67"/>
        <v>47.142857142857096</v>
      </c>
      <c r="BV13" s="438" t="str">
        <f t="shared" si="68"/>
        <v>D7</v>
      </c>
      <c r="BW13" s="422">
        <v>31.428571428571399</v>
      </c>
      <c r="BX13" s="422">
        <v>12.142857142857199</v>
      </c>
      <c r="BY13" s="422">
        <f t="shared" si="69"/>
        <v>43.571428571428598</v>
      </c>
      <c r="BZ13" s="438" t="str">
        <f t="shared" si="70"/>
        <v>E8</v>
      </c>
      <c r="CA13" s="422">
        <v>31.428571428571399</v>
      </c>
      <c r="CB13" s="422">
        <v>8.5714285714285303</v>
      </c>
      <c r="CC13" s="422">
        <f t="shared" si="71"/>
        <v>39.999999999999929</v>
      </c>
      <c r="CD13" s="438" t="str">
        <f t="shared" si="72"/>
        <v>F9</v>
      </c>
      <c r="CE13" s="422">
        <v>35</v>
      </c>
      <c r="CF13" s="422">
        <v>12.857142857142801</v>
      </c>
      <c r="CG13" s="422">
        <f t="shared" si="73"/>
        <v>47.857142857142804</v>
      </c>
      <c r="CH13" s="438" t="str">
        <f t="shared" si="74"/>
        <v>D7</v>
      </c>
      <c r="CI13" s="422">
        <v>31.428571428571399</v>
      </c>
      <c r="CJ13" s="422">
        <v>25.428571428571399</v>
      </c>
      <c r="CK13" s="422">
        <f t="shared" si="75"/>
        <v>56.857142857142797</v>
      </c>
      <c r="CL13" s="438" t="str">
        <f t="shared" si="76"/>
        <v>C5</v>
      </c>
      <c r="CM13" s="422">
        <v>31.428571428571399</v>
      </c>
      <c r="CN13" s="422"/>
      <c r="CO13" s="422"/>
      <c r="CP13" s="422">
        <f t="shared" ref="CP13" si="111">CM13</f>
        <v>31.428571428571399</v>
      </c>
      <c r="CQ13" s="422">
        <v>45.810344827586199</v>
      </c>
      <c r="CR13" s="422">
        <f t="shared" si="78"/>
        <v>77.238916256157594</v>
      </c>
      <c r="CS13" s="438" t="str">
        <f t="shared" si="79"/>
        <v>A</v>
      </c>
      <c r="CT13" s="422">
        <v>28.947368421052602</v>
      </c>
      <c r="CU13" s="422">
        <v>15.789473684210501</v>
      </c>
      <c r="CV13" s="422">
        <f t="shared" si="80"/>
        <v>44.736842105263101</v>
      </c>
      <c r="CW13" s="438" t="str">
        <f t="shared" si="81"/>
        <v>E8</v>
      </c>
      <c r="CX13" s="422">
        <v>35</v>
      </c>
      <c r="CY13" s="422">
        <v>8.5714285714285303</v>
      </c>
      <c r="CZ13" s="422">
        <f t="shared" si="82"/>
        <v>43.571428571428527</v>
      </c>
      <c r="DA13" s="438" t="str">
        <f t="shared" si="83"/>
        <v>E8</v>
      </c>
      <c r="DB13" s="422">
        <f t="shared" si="105"/>
        <v>35</v>
      </c>
      <c r="DC13" s="422">
        <v>17.142857142857199</v>
      </c>
      <c r="DD13" s="422">
        <f t="shared" si="84"/>
        <v>52.142857142857196</v>
      </c>
      <c r="DE13" s="422" t="str">
        <f t="shared" si="85"/>
        <v>C6</v>
      </c>
      <c r="DF13" s="422">
        <f t="shared" si="86"/>
        <v>35</v>
      </c>
      <c r="DG13" s="422">
        <v>8.5714285714285303</v>
      </c>
      <c r="DH13" s="422">
        <f t="shared" si="87"/>
        <v>43.571428571428527</v>
      </c>
      <c r="DI13" s="422" t="str">
        <f t="shared" si="88"/>
        <v>E8</v>
      </c>
      <c r="DJ13" s="422">
        <f t="shared" si="106"/>
        <v>35</v>
      </c>
      <c r="DK13" s="422">
        <v>45.857142857142797</v>
      </c>
      <c r="DL13" s="422">
        <f t="shared" si="89"/>
        <v>80.857142857142804</v>
      </c>
      <c r="DM13" s="422" t="str">
        <f t="shared" si="90"/>
        <v>A1</v>
      </c>
      <c r="DN13" s="422">
        <f t="shared" si="107"/>
        <v>35</v>
      </c>
      <c r="DO13" s="422">
        <v>41.571428571428598</v>
      </c>
      <c r="DP13" s="422">
        <f t="shared" si="91"/>
        <v>76.571428571428598</v>
      </c>
      <c r="DQ13" s="438" t="str">
        <f t="shared" si="92"/>
        <v>A</v>
      </c>
      <c r="DR13" s="422">
        <f t="shared" si="108"/>
        <v>35</v>
      </c>
      <c r="DS13" s="422">
        <v>11.142857142857199</v>
      </c>
      <c r="DT13" s="422">
        <f t="shared" si="93"/>
        <v>46.142857142857196</v>
      </c>
      <c r="DU13" s="438" t="str">
        <f t="shared" si="94"/>
        <v>D7</v>
      </c>
      <c r="DV13" s="422">
        <f t="shared" si="109"/>
        <v>35</v>
      </c>
      <c r="DW13" s="422">
        <v>46.571428571428598</v>
      </c>
      <c r="DX13" s="422">
        <f t="shared" si="95"/>
        <v>81.571428571428598</v>
      </c>
      <c r="DY13" s="438" t="str">
        <f t="shared" si="96"/>
        <v>A1</v>
      </c>
      <c r="DZ13" s="422">
        <f t="shared" si="97"/>
        <v>35</v>
      </c>
      <c r="EA13" s="422">
        <v>36</v>
      </c>
      <c r="EB13" s="422">
        <f t="shared" si="98"/>
        <v>71</v>
      </c>
      <c r="EC13" s="438" t="str">
        <f t="shared" si="99"/>
        <v>B2</v>
      </c>
      <c r="ED13" s="422">
        <f t="shared" si="63"/>
        <v>883.54718693284906</v>
      </c>
      <c r="EE13" s="422">
        <f t="shared" si="100"/>
        <v>55.221699183303066</v>
      </c>
      <c r="EF13" s="438" t="str">
        <f t="shared" si="101"/>
        <v>C5</v>
      </c>
      <c r="EG13" s="422" t="str">
        <f t="shared" si="102"/>
        <v>CREDIT</v>
      </c>
      <c r="EH13" s="439">
        <v>1</v>
      </c>
      <c r="EI13" s="422">
        <f t="shared" si="103"/>
        <v>883.54718693284906</v>
      </c>
      <c r="EJ13" s="440">
        <f t="shared" si="104"/>
        <v>0.55221699183303063</v>
      </c>
      <c r="EK13" s="438" t="s">
        <v>746</v>
      </c>
      <c r="EL13" s="438" t="s">
        <v>762</v>
      </c>
    </row>
    <row r="14" spans="1:145" ht="30">
      <c r="A14" s="781"/>
      <c r="B14" s="690"/>
      <c r="C14" s="690"/>
      <c r="D14" s="690"/>
      <c r="E14" s="821"/>
      <c r="F14" s="861" t="s">
        <v>353</v>
      </c>
      <c r="G14" s="862"/>
      <c r="H14" s="862"/>
      <c r="I14" s="862"/>
      <c r="J14" s="862"/>
      <c r="K14" s="862"/>
      <c r="L14" s="862"/>
      <c r="M14" s="862"/>
      <c r="N14" s="862"/>
      <c r="O14" s="862"/>
      <c r="P14" s="862"/>
      <c r="Q14" s="862"/>
      <c r="R14" s="862"/>
      <c r="S14" s="862"/>
      <c r="T14" s="863"/>
      <c r="U14" s="809"/>
      <c r="V14" s="391"/>
      <c r="W14" s="391"/>
      <c r="X14" s="391"/>
      <c r="Y14" s="391"/>
      <c r="Z14" s="391"/>
      <c r="AA14" s="420">
        <f t="shared" si="1"/>
        <v>13</v>
      </c>
      <c r="AB14" s="435" t="s">
        <v>62</v>
      </c>
      <c r="AC14" s="422" t="s">
        <v>394</v>
      </c>
      <c r="AD14" s="422" t="s">
        <v>326</v>
      </c>
      <c r="AE14" s="422">
        <v>15.285714285714301</v>
      </c>
      <c r="AF14" s="422">
        <f>'SSS1 ATTENDANCE '!FJ20</f>
        <v>128</v>
      </c>
      <c r="AG14" s="422">
        <f>'SSS1 ATTENDANCE '!FH20</f>
        <v>124</v>
      </c>
      <c r="AH14" s="422">
        <f>'SSS1 ATTENDANCE '!FI20</f>
        <v>4</v>
      </c>
      <c r="AI14" s="436" t="s">
        <v>586</v>
      </c>
      <c r="AJ14" s="437">
        <v>40852</v>
      </c>
      <c r="AK14" s="435" t="s">
        <v>396</v>
      </c>
      <c r="AL14" s="424">
        <v>25</v>
      </c>
      <c r="AM14" s="422">
        <v>31.1071428571429</v>
      </c>
      <c r="AN14" s="438">
        <v>4</v>
      </c>
      <c r="AO14" s="422" t="str">
        <f t="shared" si="64"/>
        <v>5</v>
      </c>
      <c r="AP14" s="438">
        <v>5</v>
      </c>
      <c r="AQ14" s="422">
        <v>4</v>
      </c>
      <c r="AR14" s="438">
        <v>4</v>
      </c>
      <c r="AS14" s="438">
        <v>4</v>
      </c>
      <c r="AT14" s="438">
        <v>4</v>
      </c>
      <c r="AU14" s="438">
        <v>3</v>
      </c>
      <c r="AV14" s="438">
        <v>4</v>
      </c>
      <c r="AW14" s="438">
        <v>4</v>
      </c>
      <c r="AX14" s="438">
        <v>3</v>
      </c>
      <c r="AY14" s="438">
        <v>4</v>
      </c>
      <c r="AZ14" s="438">
        <v>3</v>
      </c>
      <c r="BA14" s="438">
        <v>3</v>
      </c>
      <c r="BB14" s="438">
        <v>3</v>
      </c>
      <c r="BC14" s="438">
        <v>4</v>
      </c>
      <c r="BD14" s="438">
        <v>4</v>
      </c>
      <c r="BE14" s="438">
        <v>4</v>
      </c>
      <c r="BF14" s="438">
        <v>3</v>
      </c>
      <c r="BG14" s="438">
        <v>3</v>
      </c>
      <c r="BH14" s="438">
        <v>3</v>
      </c>
      <c r="BI14" s="438">
        <v>5</v>
      </c>
      <c r="BJ14" s="438">
        <v>4</v>
      </c>
      <c r="BK14" s="438">
        <v>3</v>
      </c>
      <c r="BL14" s="438">
        <v>5</v>
      </c>
      <c r="BM14" s="438">
        <v>3</v>
      </c>
      <c r="BN14" s="422" t="s">
        <v>412</v>
      </c>
      <c r="BO14" s="438">
        <v>30.8928571428571</v>
      </c>
      <c r="BP14" s="438">
        <v>-4.8928571428570997</v>
      </c>
      <c r="BQ14" s="422">
        <f t="shared" si="65"/>
        <v>26</v>
      </c>
      <c r="BR14" s="438" t="str">
        <f t="shared" si="66"/>
        <v>F9</v>
      </c>
      <c r="BS14" s="422">
        <v>30.8928571428571</v>
      </c>
      <c r="BT14" s="438">
        <v>12.464285714285699</v>
      </c>
      <c r="BU14" s="422">
        <f t="shared" si="67"/>
        <v>43.357142857142797</v>
      </c>
      <c r="BV14" s="438" t="str">
        <f t="shared" si="68"/>
        <v>E8</v>
      </c>
      <c r="BW14" s="422">
        <v>30.8928571428571</v>
      </c>
      <c r="BX14" s="422">
        <v>9.0357142857142705</v>
      </c>
      <c r="BY14" s="422">
        <f t="shared" si="69"/>
        <v>39.928571428571374</v>
      </c>
      <c r="BZ14" s="438" t="str">
        <f t="shared" si="70"/>
        <v>F9</v>
      </c>
      <c r="CA14" s="422">
        <v>30.8928571428571</v>
      </c>
      <c r="CB14" s="422">
        <v>5.3571428571428301</v>
      </c>
      <c r="CC14" s="422">
        <f t="shared" si="71"/>
        <v>36.249999999999929</v>
      </c>
      <c r="CD14" s="438" t="str">
        <f t="shared" si="72"/>
        <v>F9</v>
      </c>
      <c r="CE14" s="422">
        <v>35</v>
      </c>
      <c r="CF14" s="422">
        <v>9.7142857142857206</v>
      </c>
      <c r="CG14" s="422">
        <f t="shared" si="73"/>
        <v>44.714285714285722</v>
      </c>
      <c r="CH14" s="438" t="str">
        <f t="shared" si="74"/>
        <v>E8</v>
      </c>
      <c r="CI14" s="422">
        <v>30.8928571428571</v>
      </c>
      <c r="CJ14" s="422">
        <v>23.607142857142801</v>
      </c>
      <c r="CK14" s="422">
        <f t="shared" si="75"/>
        <v>54.499999999999901</v>
      </c>
      <c r="CL14" s="438" t="str">
        <f t="shared" si="76"/>
        <v>C6</v>
      </c>
      <c r="CM14" s="422">
        <v>30.8928571428571</v>
      </c>
      <c r="CN14" s="422"/>
      <c r="CO14" s="422"/>
      <c r="CP14" s="422"/>
      <c r="CQ14" s="422">
        <v>45.525862068965502</v>
      </c>
      <c r="CR14" s="422">
        <f t="shared" si="78"/>
        <v>45.525862068965502</v>
      </c>
      <c r="CS14" s="438" t="str">
        <f t="shared" si="79"/>
        <v>D7</v>
      </c>
      <c r="CT14" s="422">
        <v>27.8947368421052</v>
      </c>
      <c r="CU14" s="422">
        <v>11.578947368421099</v>
      </c>
      <c r="CV14" s="422">
        <f t="shared" si="80"/>
        <v>39.473684210526301</v>
      </c>
      <c r="CW14" s="438" t="str">
        <f t="shared" si="81"/>
        <v>F9</v>
      </c>
      <c r="CX14" s="422">
        <f t="shared" ref="CX14" si="112">CT14</f>
        <v>27.8947368421052</v>
      </c>
      <c r="CY14" s="422">
        <v>5.3571428571428301</v>
      </c>
      <c r="CZ14" s="422">
        <f t="shared" si="82"/>
        <v>33.251879699248029</v>
      </c>
      <c r="DA14" s="438" t="str">
        <f t="shared" si="83"/>
        <v>F9</v>
      </c>
      <c r="DB14" s="422">
        <f t="shared" si="105"/>
        <v>27.8947368421052</v>
      </c>
      <c r="DC14" s="422">
        <v>14.464285714285699</v>
      </c>
      <c r="DD14" s="422">
        <f t="shared" si="84"/>
        <v>42.359022556390897</v>
      </c>
      <c r="DE14" s="422" t="str">
        <f t="shared" si="85"/>
        <v>E8</v>
      </c>
      <c r="DF14" s="422">
        <f t="shared" si="86"/>
        <v>27.8947368421052</v>
      </c>
      <c r="DG14" s="422">
        <v>5.3571428571428301</v>
      </c>
      <c r="DH14" s="422">
        <f t="shared" si="87"/>
        <v>33.251879699248029</v>
      </c>
      <c r="DI14" s="422" t="str">
        <f t="shared" si="88"/>
        <v>F9</v>
      </c>
      <c r="DJ14" s="422">
        <f t="shared" si="106"/>
        <v>27.8947368421052</v>
      </c>
      <c r="DK14" s="422">
        <v>45.678571428571402</v>
      </c>
      <c r="DL14" s="422">
        <f t="shared" si="89"/>
        <v>73.573308270676606</v>
      </c>
      <c r="DM14" s="422" t="str">
        <f t="shared" si="90"/>
        <v>B2</v>
      </c>
      <c r="DN14" s="422">
        <f t="shared" si="107"/>
        <v>27.8947368421052</v>
      </c>
      <c r="DO14" s="422">
        <v>40.964285714285701</v>
      </c>
      <c r="DP14" s="422">
        <f t="shared" si="91"/>
        <v>68.859022556390897</v>
      </c>
      <c r="DQ14" s="438" t="str">
        <f t="shared" si="92"/>
        <v>B3</v>
      </c>
      <c r="DR14" s="422">
        <f t="shared" si="108"/>
        <v>27.8947368421052</v>
      </c>
      <c r="DS14" s="422">
        <v>8.5357142857142794</v>
      </c>
      <c r="DT14" s="422">
        <f t="shared" si="93"/>
        <v>36.430451127819481</v>
      </c>
      <c r="DU14" s="438" t="str">
        <f t="shared" si="94"/>
        <v>F9</v>
      </c>
      <c r="DV14" s="422">
        <f t="shared" si="109"/>
        <v>27.8947368421052</v>
      </c>
      <c r="DW14" s="422">
        <v>46.5</v>
      </c>
      <c r="DX14" s="422">
        <f t="shared" si="95"/>
        <v>74.394736842105203</v>
      </c>
      <c r="DY14" s="438" t="str">
        <f t="shared" si="96"/>
        <v>B2</v>
      </c>
      <c r="DZ14" s="422">
        <f t="shared" si="97"/>
        <v>27.8947368421052</v>
      </c>
      <c r="EA14" s="422">
        <v>35.25</v>
      </c>
      <c r="EB14" s="422">
        <f t="shared" si="98"/>
        <v>63.144736842105203</v>
      </c>
      <c r="EC14" s="438" t="str">
        <f t="shared" si="99"/>
        <v>C4</v>
      </c>
      <c r="ED14" s="422">
        <f t="shared" si="63"/>
        <v>755.01458387347589</v>
      </c>
      <c r="EE14" s="422">
        <f t="shared" si="100"/>
        <v>47.188411492092243</v>
      </c>
      <c r="EF14" s="438" t="str">
        <f t="shared" si="101"/>
        <v>D7</v>
      </c>
      <c r="EG14" s="422" t="str">
        <f t="shared" si="102"/>
        <v>PASS</v>
      </c>
      <c r="EH14" s="439">
        <v>1</v>
      </c>
      <c r="EI14" s="422">
        <f t="shared" si="103"/>
        <v>755.01458387347589</v>
      </c>
      <c r="EJ14" s="440">
        <f t="shared" si="104"/>
        <v>0.47188411492092242</v>
      </c>
      <c r="EK14" s="438" t="s">
        <v>747</v>
      </c>
      <c r="EL14" s="438" t="s">
        <v>762</v>
      </c>
    </row>
    <row r="15" spans="1:145" ht="30">
      <c r="A15" s="781"/>
      <c r="B15" s="690"/>
      <c r="C15" s="690"/>
      <c r="D15" s="690"/>
      <c r="E15" s="821"/>
      <c r="F15" s="861"/>
      <c r="G15" s="862"/>
      <c r="H15" s="862"/>
      <c r="I15" s="862"/>
      <c r="J15" s="862"/>
      <c r="K15" s="862"/>
      <c r="L15" s="862"/>
      <c r="M15" s="862"/>
      <c r="N15" s="862"/>
      <c r="O15" s="862"/>
      <c r="P15" s="862"/>
      <c r="Q15" s="862"/>
      <c r="R15" s="862"/>
      <c r="S15" s="862"/>
      <c r="T15" s="863"/>
      <c r="U15" s="809"/>
      <c r="V15" s="391"/>
      <c r="W15" s="391"/>
      <c r="X15" s="391"/>
      <c r="Y15" s="391"/>
      <c r="Z15" s="391"/>
      <c r="AA15" s="420">
        <f t="shared" si="1"/>
        <v>14</v>
      </c>
      <c r="AB15" s="435" t="s">
        <v>63</v>
      </c>
      <c r="AC15" s="422" t="s">
        <v>394</v>
      </c>
      <c r="AD15" s="422" t="s">
        <v>326</v>
      </c>
      <c r="AE15" s="422">
        <v>15.4285714285714</v>
      </c>
      <c r="AF15" s="422">
        <f>'SSS1 ATTENDANCE '!FJ21</f>
        <v>128</v>
      </c>
      <c r="AG15" s="422">
        <f>'SSS1 ATTENDANCE '!FH21</f>
        <v>126</v>
      </c>
      <c r="AH15" s="422">
        <f>'SSS1 ATTENDANCE '!FI21</f>
        <v>2</v>
      </c>
      <c r="AI15" s="436" t="s">
        <v>587</v>
      </c>
      <c r="AJ15" s="437">
        <v>40881</v>
      </c>
      <c r="AK15" s="435" t="s">
        <v>396</v>
      </c>
      <c r="AL15" s="424">
        <v>25</v>
      </c>
      <c r="AM15" s="422">
        <v>31.6428571428571</v>
      </c>
      <c r="AN15" s="438">
        <v>4</v>
      </c>
      <c r="AO15" s="422" t="str">
        <f t="shared" si="64"/>
        <v>5</v>
      </c>
      <c r="AP15" s="438">
        <v>5</v>
      </c>
      <c r="AQ15" s="422">
        <v>4</v>
      </c>
      <c r="AR15" s="438">
        <v>4</v>
      </c>
      <c r="AS15" s="438">
        <v>4</v>
      </c>
      <c r="AT15" s="438">
        <v>4</v>
      </c>
      <c r="AU15" s="438">
        <v>3</v>
      </c>
      <c r="AV15" s="438">
        <v>4</v>
      </c>
      <c r="AW15" s="438">
        <v>4</v>
      </c>
      <c r="AX15" s="438">
        <v>3</v>
      </c>
      <c r="AY15" s="438">
        <v>4</v>
      </c>
      <c r="AZ15" s="438">
        <v>3</v>
      </c>
      <c r="BA15" s="438">
        <v>3</v>
      </c>
      <c r="BB15" s="438">
        <v>3</v>
      </c>
      <c r="BC15" s="438">
        <v>4</v>
      </c>
      <c r="BD15" s="438">
        <v>4</v>
      </c>
      <c r="BE15" s="438">
        <v>4</v>
      </c>
      <c r="BF15" s="438">
        <v>3</v>
      </c>
      <c r="BG15" s="438">
        <v>3</v>
      </c>
      <c r="BH15" s="438">
        <v>3</v>
      </c>
      <c r="BI15" s="438">
        <v>5</v>
      </c>
      <c r="BJ15" s="438">
        <v>4</v>
      </c>
      <c r="BK15" s="438">
        <v>3</v>
      </c>
      <c r="BL15" s="438">
        <v>5</v>
      </c>
      <c r="BM15" s="438">
        <v>3</v>
      </c>
      <c r="BN15" s="422" t="s">
        <v>413</v>
      </c>
      <c r="BO15" s="438">
        <v>30.3571428571429</v>
      </c>
      <c r="BP15" s="438">
        <v>-9.0714285714285996</v>
      </c>
      <c r="BQ15" s="422">
        <f t="shared" si="65"/>
        <v>21.285714285714299</v>
      </c>
      <c r="BR15" s="438" t="str">
        <f t="shared" si="66"/>
        <v>F9</v>
      </c>
      <c r="BS15" s="422">
        <v>30.3571428571429</v>
      </c>
      <c r="BT15" s="438">
        <v>9.21428571428571</v>
      </c>
      <c r="BU15" s="422">
        <f t="shared" si="67"/>
        <v>39.571428571428612</v>
      </c>
      <c r="BV15" s="438" t="str">
        <f t="shared" si="68"/>
        <v>F9</v>
      </c>
      <c r="BW15" s="422">
        <v>30.3571428571429</v>
      </c>
      <c r="BX15" s="422">
        <v>5.9285714285714697</v>
      </c>
      <c r="BY15" s="422">
        <f t="shared" si="69"/>
        <v>36.28571428571437</v>
      </c>
      <c r="BZ15" s="438" t="str">
        <f t="shared" si="70"/>
        <v>F9</v>
      </c>
      <c r="CA15" s="422">
        <v>30.3571428571429</v>
      </c>
      <c r="CB15" s="422">
        <v>2.1428571428571299</v>
      </c>
      <c r="CC15" s="422">
        <f t="shared" si="71"/>
        <v>32.500000000000028</v>
      </c>
      <c r="CD15" s="438" t="str">
        <f t="shared" si="72"/>
        <v>F9</v>
      </c>
      <c r="CE15" s="422">
        <v>35</v>
      </c>
      <c r="CF15" s="422">
        <v>6.5714285714285303</v>
      </c>
      <c r="CG15" s="422">
        <f t="shared" si="73"/>
        <v>41.571428571428527</v>
      </c>
      <c r="CH15" s="438" t="str">
        <f t="shared" si="74"/>
        <v>E8</v>
      </c>
      <c r="CI15" s="422">
        <v>30.3571428571429</v>
      </c>
      <c r="CJ15" s="422">
        <v>21.785714285714299</v>
      </c>
      <c r="CK15" s="422">
        <f t="shared" si="75"/>
        <v>52.142857142857196</v>
      </c>
      <c r="CL15" s="438" t="str">
        <f t="shared" si="76"/>
        <v>C6</v>
      </c>
      <c r="CM15" s="422">
        <v>30.3571428571429</v>
      </c>
      <c r="CN15" s="422"/>
      <c r="CO15" s="422"/>
      <c r="CP15" s="422">
        <f t="shared" ref="CP15" si="113">CM15</f>
        <v>30.3571428571429</v>
      </c>
      <c r="CQ15" s="422">
        <v>45.241379310344797</v>
      </c>
      <c r="CR15" s="422">
        <f t="shared" si="78"/>
        <v>75.598522167487701</v>
      </c>
      <c r="CS15" s="438" t="str">
        <f t="shared" si="79"/>
        <v>A</v>
      </c>
      <c r="CT15" s="422"/>
      <c r="CU15" s="422"/>
      <c r="CV15" s="422">
        <f t="shared" si="80"/>
        <v>0</v>
      </c>
      <c r="CW15" s="438" t="str">
        <f t="shared" si="81"/>
        <v/>
      </c>
      <c r="CX15" s="422">
        <v>35</v>
      </c>
      <c r="CY15" s="422">
        <v>2.1428571428571299</v>
      </c>
      <c r="CZ15" s="422">
        <f t="shared" si="82"/>
        <v>37.142857142857132</v>
      </c>
      <c r="DA15" s="438" t="str">
        <f t="shared" si="83"/>
        <v>F9</v>
      </c>
      <c r="DB15" s="422">
        <f t="shared" si="105"/>
        <v>35</v>
      </c>
      <c r="DC15" s="422">
        <v>11.785714285714301</v>
      </c>
      <c r="DD15" s="422">
        <f t="shared" si="84"/>
        <v>46.785714285714299</v>
      </c>
      <c r="DE15" s="422" t="str">
        <f t="shared" si="85"/>
        <v>D7</v>
      </c>
      <c r="DF15" s="422">
        <f t="shared" si="86"/>
        <v>35</v>
      </c>
      <c r="DG15" s="422">
        <v>2.1428571428571299</v>
      </c>
      <c r="DH15" s="422">
        <f t="shared" si="87"/>
        <v>37.142857142857132</v>
      </c>
      <c r="DI15" s="422" t="str">
        <f t="shared" si="88"/>
        <v>F9</v>
      </c>
      <c r="DJ15" s="422">
        <f t="shared" si="106"/>
        <v>35</v>
      </c>
      <c r="DK15" s="422">
        <v>45.5</v>
      </c>
      <c r="DL15" s="422">
        <f t="shared" si="89"/>
        <v>80.5</v>
      </c>
      <c r="DM15" s="422" t="str">
        <f t="shared" si="90"/>
        <v>A1</v>
      </c>
      <c r="DN15" s="422">
        <f t="shared" si="107"/>
        <v>35</v>
      </c>
      <c r="DO15" s="422">
        <v>40.357142857142897</v>
      </c>
      <c r="DP15" s="422">
        <f t="shared" si="91"/>
        <v>75.35714285714289</v>
      </c>
      <c r="DQ15" s="438" t="str">
        <f t="shared" si="92"/>
        <v>A</v>
      </c>
      <c r="DR15" s="422">
        <f t="shared" si="108"/>
        <v>35</v>
      </c>
      <c r="DS15" s="422">
        <v>5.9285714285714697</v>
      </c>
      <c r="DT15" s="422">
        <f t="shared" si="93"/>
        <v>40.928571428571473</v>
      </c>
      <c r="DU15" s="438" t="str">
        <f t="shared" si="94"/>
        <v>E8</v>
      </c>
      <c r="DV15" s="422">
        <f t="shared" si="109"/>
        <v>35</v>
      </c>
      <c r="DW15" s="422">
        <v>46.428571428571402</v>
      </c>
      <c r="DX15" s="422">
        <f t="shared" si="95"/>
        <v>81.428571428571402</v>
      </c>
      <c r="DY15" s="438" t="str">
        <f t="shared" si="96"/>
        <v>A1</v>
      </c>
      <c r="DZ15" s="422">
        <f t="shared" si="97"/>
        <v>35</v>
      </c>
      <c r="EA15" s="422">
        <v>34.5</v>
      </c>
      <c r="EB15" s="422">
        <f t="shared" si="98"/>
        <v>69.5</v>
      </c>
      <c r="EC15" s="438" t="str">
        <f t="shared" si="99"/>
        <v>B3</v>
      </c>
      <c r="ED15" s="422">
        <f t="shared" si="63"/>
        <v>767.741379310345</v>
      </c>
      <c r="EE15" s="422">
        <f t="shared" si="100"/>
        <v>47.983836206896562</v>
      </c>
      <c r="EF15" s="438" t="str">
        <f t="shared" si="101"/>
        <v>D7</v>
      </c>
      <c r="EG15" s="422" t="str">
        <f t="shared" si="102"/>
        <v>PASS</v>
      </c>
      <c r="EH15" s="439">
        <v>1</v>
      </c>
      <c r="EI15" s="422">
        <f t="shared" si="103"/>
        <v>767.741379310345</v>
      </c>
      <c r="EJ15" s="440">
        <f t="shared" si="104"/>
        <v>0.47983836206896563</v>
      </c>
      <c r="EK15" s="438" t="s">
        <v>573</v>
      </c>
      <c r="EL15" s="438" t="s">
        <v>762</v>
      </c>
    </row>
    <row r="16" spans="1:145" ht="30">
      <c r="A16" s="781"/>
      <c r="B16" s="690"/>
      <c r="C16" s="690"/>
      <c r="D16" s="690"/>
      <c r="E16" s="821"/>
      <c r="F16" s="867" t="s">
        <v>354</v>
      </c>
      <c r="G16" s="868"/>
      <c r="H16" s="868"/>
      <c r="I16" s="868"/>
      <c r="J16" s="868"/>
      <c r="K16" s="868"/>
      <c r="L16" s="868"/>
      <c r="M16" s="868"/>
      <c r="N16" s="868"/>
      <c r="O16" s="868"/>
      <c r="P16" s="868"/>
      <c r="Q16" s="868"/>
      <c r="R16" s="868"/>
      <c r="S16" s="868"/>
      <c r="T16" s="869"/>
      <c r="U16" s="809"/>
      <c r="V16" s="714"/>
      <c r="W16" s="714"/>
      <c r="X16" s="714"/>
      <c r="Y16" s="391"/>
      <c r="Z16" s="391"/>
      <c r="AA16" s="420">
        <f t="shared" si="1"/>
        <v>15</v>
      </c>
      <c r="AB16" s="435" t="s">
        <v>57</v>
      </c>
      <c r="AC16" s="422" t="s">
        <v>394</v>
      </c>
      <c r="AD16" s="422" t="s">
        <v>326</v>
      </c>
      <c r="AE16" s="422">
        <v>15.5714285714286</v>
      </c>
      <c r="AF16" s="422">
        <f>'SSS1 ATTENDANCE '!FJ22</f>
        <v>128</v>
      </c>
      <c r="AG16" s="422">
        <f>'SSS1 ATTENDANCE '!FH22</f>
        <v>118</v>
      </c>
      <c r="AH16" s="422">
        <f>'SSS1 ATTENDANCE '!FI22</f>
        <v>10</v>
      </c>
      <c r="AI16" s="436" t="s">
        <v>588</v>
      </c>
      <c r="AJ16" s="437">
        <v>41122</v>
      </c>
      <c r="AK16" s="435" t="s">
        <v>396</v>
      </c>
      <c r="AL16" s="424">
        <v>25</v>
      </c>
      <c r="AM16" s="422">
        <v>32.178571428571402</v>
      </c>
      <c r="AN16" s="438">
        <v>4</v>
      </c>
      <c r="AO16" s="422" t="str">
        <f t="shared" si="64"/>
        <v>5</v>
      </c>
      <c r="AP16" s="438">
        <v>5</v>
      </c>
      <c r="AQ16" s="422">
        <v>4</v>
      </c>
      <c r="AR16" s="438">
        <v>4</v>
      </c>
      <c r="AS16" s="438">
        <v>4</v>
      </c>
      <c r="AT16" s="438">
        <v>4</v>
      </c>
      <c r="AU16" s="438">
        <v>3</v>
      </c>
      <c r="AV16" s="438">
        <v>4</v>
      </c>
      <c r="AW16" s="438">
        <v>4</v>
      </c>
      <c r="AX16" s="438">
        <v>3</v>
      </c>
      <c r="AY16" s="438">
        <v>4</v>
      </c>
      <c r="AZ16" s="438">
        <v>3</v>
      </c>
      <c r="BA16" s="438">
        <v>3</v>
      </c>
      <c r="BB16" s="438">
        <v>3</v>
      </c>
      <c r="BC16" s="438">
        <v>4</v>
      </c>
      <c r="BD16" s="438">
        <v>4</v>
      </c>
      <c r="BE16" s="438">
        <v>4</v>
      </c>
      <c r="BF16" s="438">
        <v>3</v>
      </c>
      <c r="BG16" s="438">
        <v>3</v>
      </c>
      <c r="BH16" s="438">
        <v>3</v>
      </c>
      <c r="BI16" s="438">
        <v>5</v>
      </c>
      <c r="BJ16" s="438">
        <v>4</v>
      </c>
      <c r="BK16" s="438">
        <v>3</v>
      </c>
      <c r="BL16" s="438">
        <v>5</v>
      </c>
      <c r="BM16" s="438">
        <v>3</v>
      </c>
      <c r="BN16" s="422" t="s">
        <v>414</v>
      </c>
      <c r="BO16" s="422">
        <v>29.821428571428601</v>
      </c>
      <c r="BP16" s="422">
        <v>-13.25</v>
      </c>
      <c r="BQ16" s="422">
        <v>100</v>
      </c>
      <c r="BR16" s="438" t="s">
        <v>749</v>
      </c>
      <c r="BS16" s="422">
        <v>29.821428571428601</v>
      </c>
      <c r="BT16" s="422">
        <v>5.96428571428571</v>
      </c>
      <c r="BU16" s="422">
        <v>100</v>
      </c>
      <c r="BV16" s="438" t="s">
        <v>749</v>
      </c>
      <c r="BW16" s="422">
        <v>29.821428571428601</v>
      </c>
      <c r="BX16" s="422">
        <v>2.8214285714285698</v>
      </c>
      <c r="BY16" s="422">
        <v>100</v>
      </c>
      <c r="BZ16" s="422" t="str">
        <f t="shared" ref="BZ16" si="114">BV16</f>
        <v>Grades</v>
      </c>
      <c r="CA16" s="422">
        <v>29.821428571428601</v>
      </c>
      <c r="CB16" s="422">
        <v>-1.0714285714285701</v>
      </c>
      <c r="CC16" s="422">
        <v>100</v>
      </c>
      <c r="CD16" s="422" t="str">
        <f t="shared" ref="CD16" si="115">BZ16</f>
        <v>Grades</v>
      </c>
      <c r="CE16" s="422">
        <f t="shared" ref="CE16" si="116">CA16</f>
        <v>29.821428571428601</v>
      </c>
      <c r="CF16" s="422">
        <v>3.4285714285714199</v>
      </c>
      <c r="CG16" s="422">
        <v>100</v>
      </c>
      <c r="CH16" s="422" t="str">
        <f t="shared" ref="CH16" si="117">CD16</f>
        <v>Grades</v>
      </c>
      <c r="CI16" s="422">
        <v>29.821428571428601</v>
      </c>
      <c r="CJ16" s="422">
        <v>19.964285714285701</v>
      </c>
      <c r="CK16" s="422">
        <v>100</v>
      </c>
      <c r="CL16" s="422" t="str">
        <f t="shared" ref="CL16" si="118">CH16</f>
        <v>Grades</v>
      </c>
      <c r="CM16" s="422">
        <v>29.821428571428601</v>
      </c>
      <c r="CN16" s="422">
        <v>60</v>
      </c>
      <c r="CO16" s="422"/>
      <c r="CP16" s="422">
        <v>40</v>
      </c>
      <c r="CQ16" s="422">
        <v>44.956896551724199</v>
      </c>
      <c r="CR16" s="422">
        <v>100</v>
      </c>
      <c r="CS16" s="438" t="str">
        <f t="shared" ref="CS16" si="119">CL16</f>
        <v>Grades</v>
      </c>
      <c r="CT16" s="422">
        <v>26.842105263157901</v>
      </c>
      <c r="CU16" s="422">
        <v>7.3684210526315601</v>
      </c>
      <c r="CV16" s="422">
        <v>100</v>
      </c>
      <c r="CW16" s="438" t="str">
        <f t="shared" ref="CW16" si="120">CS16</f>
        <v>Grades</v>
      </c>
      <c r="CX16" s="422">
        <v>24.1666666666667</v>
      </c>
      <c r="CY16" s="422">
        <v>-1.0714285714285701</v>
      </c>
      <c r="CZ16" s="422">
        <v>100</v>
      </c>
      <c r="DA16" s="438" t="str">
        <f t="shared" ref="DA16" si="121">CW16</f>
        <v>Grades</v>
      </c>
      <c r="DB16" s="422">
        <v>0</v>
      </c>
      <c r="DC16" s="422">
        <v>9.1071428571428505</v>
      </c>
      <c r="DD16" s="422">
        <v>100</v>
      </c>
      <c r="DE16" s="422" t="str">
        <f t="shared" ref="DE16" si="122">DA16</f>
        <v>Grades</v>
      </c>
      <c r="DF16" s="422">
        <v>40</v>
      </c>
      <c r="DG16" s="422">
        <v>-1.0714285714285701</v>
      </c>
      <c r="DH16" s="422">
        <v>100</v>
      </c>
      <c r="DI16" s="422" t="str">
        <f t="shared" ref="DI16" si="123">DE16</f>
        <v>Grades</v>
      </c>
      <c r="DJ16" s="422">
        <v>20</v>
      </c>
      <c r="DK16" s="422">
        <v>45.321428571428598</v>
      </c>
      <c r="DL16" s="422">
        <v>100</v>
      </c>
      <c r="DM16" s="422" t="str">
        <f t="shared" ref="DM16" si="124">DI16</f>
        <v>Grades</v>
      </c>
      <c r="DN16" s="422">
        <v>20</v>
      </c>
      <c r="DO16" s="422">
        <v>39.75</v>
      </c>
      <c r="DP16" s="422">
        <v>100</v>
      </c>
      <c r="DQ16" s="438" t="str">
        <f t="shared" ref="DQ16" si="125">DM16</f>
        <v>Grades</v>
      </c>
      <c r="DR16" s="422">
        <v>-20</v>
      </c>
      <c r="DS16" s="422">
        <v>3.3214285714285801</v>
      </c>
      <c r="DT16" s="422">
        <v>100</v>
      </c>
      <c r="DU16" s="438" t="str">
        <f t="shared" ref="DU16" si="126">DQ16</f>
        <v>Grades</v>
      </c>
      <c r="DV16" s="422">
        <v>20</v>
      </c>
      <c r="DW16" s="422">
        <v>46.357142857142897</v>
      </c>
      <c r="DX16" s="422">
        <v>100</v>
      </c>
      <c r="DY16" s="438" t="str">
        <f t="shared" ref="DY16" si="127">DU16</f>
        <v>Grades</v>
      </c>
      <c r="DZ16" s="422">
        <v>40</v>
      </c>
      <c r="EA16" s="422">
        <v>33.75</v>
      </c>
      <c r="EB16" s="422">
        <v>100</v>
      </c>
      <c r="EC16" s="438" t="str">
        <f t="shared" ref="EC16" si="128">DY16</f>
        <v>Grades</v>
      </c>
      <c r="ED16" s="422">
        <f t="shared" si="63"/>
        <v>1600</v>
      </c>
      <c r="EE16" s="422">
        <f t="shared" si="100"/>
        <v>100</v>
      </c>
      <c r="EF16" s="438" t="str">
        <f t="shared" si="101"/>
        <v>A1</v>
      </c>
      <c r="EG16" s="422" t="str">
        <f t="shared" si="102"/>
        <v>DISTINTION</v>
      </c>
      <c r="EH16" s="439">
        <v>1</v>
      </c>
      <c r="EI16" s="422">
        <f t="shared" si="103"/>
        <v>1600</v>
      </c>
      <c r="EJ16" s="440">
        <f t="shared" si="104"/>
        <v>1</v>
      </c>
      <c r="EK16" s="438" t="s">
        <v>573</v>
      </c>
      <c r="EL16" s="438" t="s">
        <v>762</v>
      </c>
    </row>
    <row r="17" spans="1:142" ht="30.75" thickBot="1">
      <c r="A17" s="781"/>
      <c r="B17" s="690"/>
      <c r="C17" s="690"/>
      <c r="D17" s="690"/>
      <c r="E17" s="821"/>
      <c r="F17" s="870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2"/>
      <c r="U17" s="809"/>
      <c r="V17" s="714"/>
      <c r="W17" s="714"/>
      <c r="X17" s="714"/>
      <c r="Y17" s="391"/>
      <c r="Z17" s="391"/>
      <c r="AA17" s="420">
        <f t="shared" si="1"/>
        <v>16</v>
      </c>
      <c r="AB17" s="435" t="s">
        <v>58</v>
      </c>
      <c r="AC17" s="422" t="s">
        <v>394</v>
      </c>
      <c r="AD17" s="422" t="s">
        <v>326</v>
      </c>
      <c r="AE17" s="422">
        <v>15.714285714285699</v>
      </c>
      <c r="AF17" s="422">
        <f>'SSS1 ATTENDANCE '!FJ23</f>
        <v>128</v>
      </c>
      <c r="AG17" s="422">
        <f>'SSS1 ATTENDANCE '!FH23</f>
        <v>110</v>
      </c>
      <c r="AH17" s="422">
        <f>'SSS1 ATTENDANCE '!FI23</f>
        <v>18</v>
      </c>
      <c r="AI17" s="436" t="s">
        <v>589</v>
      </c>
      <c r="AJ17" s="437">
        <v>40844</v>
      </c>
      <c r="AK17" s="435" t="s">
        <v>396</v>
      </c>
      <c r="AL17" s="424">
        <v>25</v>
      </c>
      <c r="AM17" s="422">
        <v>32.714285714285701</v>
      </c>
      <c r="AN17" s="438">
        <v>4</v>
      </c>
      <c r="AO17" s="422" t="str">
        <f t="shared" si="64"/>
        <v>5</v>
      </c>
      <c r="AP17" s="438">
        <v>5</v>
      </c>
      <c r="AQ17" s="422">
        <v>4</v>
      </c>
      <c r="AR17" s="438">
        <v>4</v>
      </c>
      <c r="AS17" s="438">
        <v>4</v>
      </c>
      <c r="AT17" s="438">
        <v>4</v>
      </c>
      <c r="AU17" s="438">
        <v>3</v>
      </c>
      <c r="AV17" s="438">
        <v>4</v>
      </c>
      <c r="AW17" s="438">
        <v>4</v>
      </c>
      <c r="AX17" s="438">
        <v>3</v>
      </c>
      <c r="AY17" s="438">
        <v>4</v>
      </c>
      <c r="AZ17" s="438">
        <v>3</v>
      </c>
      <c r="BA17" s="438">
        <v>3</v>
      </c>
      <c r="BB17" s="438">
        <v>3</v>
      </c>
      <c r="BC17" s="438">
        <v>4</v>
      </c>
      <c r="BD17" s="438">
        <v>4</v>
      </c>
      <c r="BE17" s="438">
        <v>4</v>
      </c>
      <c r="BF17" s="438">
        <v>3</v>
      </c>
      <c r="BG17" s="438">
        <v>3</v>
      </c>
      <c r="BH17" s="438">
        <v>3</v>
      </c>
      <c r="BI17" s="438">
        <v>5</v>
      </c>
      <c r="BJ17" s="438">
        <v>4</v>
      </c>
      <c r="BK17" s="438">
        <v>3</v>
      </c>
      <c r="BL17" s="438">
        <v>5</v>
      </c>
      <c r="BM17" s="438">
        <v>3</v>
      </c>
      <c r="BN17" s="422" t="s">
        <v>415</v>
      </c>
      <c r="BO17" s="438">
        <v>29.285714285714299</v>
      </c>
      <c r="BP17" s="438">
        <v>-17.428571428571399</v>
      </c>
      <c r="BQ17" s="422">
        <f t="shared" ref="BQ17:BQ22" si="129">SUM(BO17:BP17)</f>
        <v>11.8571428571429</v>
      </c>
      <c r="BR17" s="438" t="str">
        <f t="shared" ref="BR17:BR22" si="130">IF(BQ17&gt;=80,"A1",
IF(BQ17&gt;=75,"A",
IF(BQ17&gt;=70,"B2",
IF(BQ17&gt;=65,"B3",
IF(BQ17&gt;=60,"C4",
IF(BQ17&gt;=55,"C5",
IF(BQ17&gt;=50,"C6",
IF(BQ17&gt;=45,"D7",
IF(BQ17&gt;=40,"E8",
IF(BQ17&gt;=1,"F9",""))))))))))</f>
        <v>F9</v>
      </c>
      <c r="BS17" s="422">
        <v>29.285714285714299</v>
      </c>
      <c r="BT17" s="438">
        <v>2.71428571428571</v>
      </c>
      <c r="BU17" s="422">
        <f t="shared" ref="BU17:BU22" si="131">SUM(BS17:BT17)</f>
        <v>32.000000000000007</v>
      </c>
      <c r="BV17" s="438" t="str">
        <f t="shared" ref="BV17:BV22" si="132">IF(BU17&gt;=80,"A1",
IF(BU17&gt;=75,"A",
IF(BU17&gt;=70,"B2",
IF(BU17&gt;=65,"B3",
IF(BU17&gt;=60,"C4",
IF(BU17&gt;=55,"C5",
IF(BU17&gt;=50,"C6",
IF(BU17&gt;=45,"D7",
IF(BU17&gt;=40,"E8",
IF(BU17&gt;=1,"F9",""))))))))))</f>
        <v>F9</v>
      </c>
      <c r="BW17" s="422">
        <v>29.285714285714299</v>
      </c>
      <c r="BX17" s="422">
        <v>-0.28571428571422802</v>
      </c>
      <c r="BY17" s="422">
        <f t="shared" ref="BY17:BY22" si="133">SUM(BW17:BX17)</f>
        <v>29.000000000000071</v>
      </c>
      <c r="BZ17" s="438" t="str">
        <f t="shared" ref="BZ17:BZ22" si="134">IF(BY17&gt;=80,"A1",
IF(BY17&gt;=75,"A",
IF(BY17&gt;=70,"B2",
IF(BY17&gt;=65,"B3",
IF(BY17&gt;=60,"C4",
IF(BY17&gt;=55,"C5",
IF(BY17&gt;=50,"C6",
IF(BY17&gt;=45,"D7",
IF(BY17&gt;=40,"E8",
IF(BY17&gt;=1,"F9",""))))))))))</f>
        <v>F9</v>
      </c>
      <c r="CA17" s="422">
        <v>29.285714285714299</v>
      </c>
      <c r="CB17" s="422">
        <v>-4.2857142857142696</v>
      </c>
      <c r="CC17" s="422">
        <f t="shared" ref="CC17:CC22" si="135">SUM(CA17:CB17)</f>
        <v>25.000000000000028</v>
      </c>
      <c r="CD17" s="438" t="str">
        <f t="shared" ref="CD17:CD22" si="136">IF(CC17&gt;=80,"A1",
IF(CC17&gt;=75,"A",
IF(CC17&gt;=70,"B2",
IF(CC17&gt;=65,"B3",
IF(CC17&gt;=60,"C4",
IF(CC17&gt;=55,"C5",
IF(CC17&gt;=50,"C6",
IF(CC17&gt;=45,"D7",
IF(CC17&gt;=40,"E8",
IF(CC17&gt;=1,"F9",""))))))))))</f>
        <v>F9</v>
      </c>
      <c r="CE17" s="422">
        <v>35</v>
      </c>
      <c r="CF17" s="422">
        <v>0.28571428571432</v>
      </c>
      <c r="CG17" s="422">
        <f t="shared" ref="CG17:CG22" si="137">SUM(CE17:CF17)</f>
        <v>35.28571428571432</v>
      </c>
      <c r="CH17" s="438" t="str">
        <f t="shared" ref="CH17:CH22" si="138">IF(CG17&gt;=80,"A1",
IF(CG17&gt;=75,"A",
IF(CG17&gt;=70,"B2",
IF(CG17&gt;=65,"B3",
IF(CG17&gt;=60,"C4",
IF(CG17&gt;=55,"C5",
IF(CG17&gt;=50,"C6",
IF(CG17&gt;=45,"D7",
IF(CG17&gt;=40,"E8",
IF(CG17&gt;=1,"F9",""))))))))))</f>
        <v>F9</v>
      </c>
      <c r="CI17" s="422">
        <v>29.285714285714299</v>
      </c>
      <c r="CJ17" s="422">
        <v>18.1428571428571</v>
      </c>
      <c r="CK17" s="422">
        <f t="shared" ref="CK17:CK22" si="139">SUM(CI17:CJ17)</f>
        <v>47.428571428571402</v>
      </c>
      <c r="CL17" s="438" t="str">
        <f t="shared" ref="CL17:CL22" si="140">IF(CK17&gt;=80,"A1",
IF(CK17&gt;=75,"A",
IF(CK17&gt;=70,"B2",
IF(CK17&gt;=65,"B3",
IF(CK17&gt;=60,"C4",
IF(CK17&gt;=55,"C5",
IF(CK17&gt;=50,"C6",
IF(CK17&gt;=45,"D7",
IF(CK17&gt;=40,"E8",
IF(CK17&gt;=1,"F9",""))))))))))</f>
        <v>D7</v>
      </c>
      <c r="CM17" s="422">
        <v>29.285714285714299</v>
      </c>
      <c r="CN17" s="422"/>
      <c r="CO17" s="422"/>
      <c r="CP17" s="422">
        <f t="shared" ref="CP17:CP18" si="141">CM17</f>
        <v>29.285714285714299</v>
      </c>
      <c r="CQ17" s="422">
        <v>44.672413793103502</v>
      </c>
      <c r="CR17" s="422">
        <f t="shared" ref="CR17:CR22" si="142">SUM(CP17:CQ17)</f>
        <v>73.958128078817793</v>
      </c>
      <c r="CS17" s="438" t="str">
        <f t="shared" ref="CS17:CS22" si="143">IF(CR17&gt;=80,"A1",
IF(CR17&gt;=75,"A",
IF(CR17&gt;=70,"B2",
IF(CR17&gt;=65,"B3",
IF(CR17&gt;=60,"C4",
IF(CR17&gt;=55,"C5",
IF(CR17&gt;=50,"C6",
IF(CR17&gt;=45,"D7",
IF(CR17&gt;=40,"E8",
IF(CR17&gt;=1,"F9",""))))))))))</f>
        <v>B2</v>
      </c>
      <c r="CT17" s="422">
        <v>25.789473684210499</v>
      </c>
      <c r="CU17" s="422">
        <v>3.15789473684206</v>
      </c>
      <c r="CV17" s="422">
        <f t="shared" ref="CV17:CV22" si="144">SUM(CT17:CU17)</f>
        <v>28.947368421052559</v>
      </c>
      <c r="CW17" s="438" t="str">
        <f t="shared" ref="CW17:CW22" si="145">IF(CV17&gt;=80,"A1",
IF(CV17&gt;=75,"A",
IF(CV17&gt;=70,"B2",
IF(CV17&gt;=65,"B3",
IF(CV17&gt;=60,"C4",
IF(CV17&gt;=55,"C5",
IF(CV17&gt;=50,"C6",
IF(CV17&gt;=45,"D7",
IF(CV17&gt;=40,"E8",
IF(CV17&gt;=1,"F9",""))))))))))</f>
        <v>F9</v>
      </c>
      <c r="CX17" s="422">
        <v>21.6666666666667</v>
      </c>
      <c r="CY17" s="422">
        <v>-4.2857142857142696</v>
      </c>
      <c r="CZ17" s="422">
        <f t="shared" ref="CZ17:CZ22" si="146">SUM(CX17:CY17)</f>
        <v>17.380952380952429</v>
      </c>
      <c r="DA17" s="438" t="str">
        <f t="shared" ref="DA17:DA22" si="147">IF(CZ17&gt;=80,"A1",
IF(CZ17&gt;=75,"A",
IF(CZ17&gt;=70,"B2",
IF(CZ17&gt;=65,"B3",
IF(CZ17&gt;=60,"C4",
IF(CZ17&gt;=55,"C5",
IF(CZ17&gt;=50,"C6",
IF(CZ17&gt;=45,"D7",
IF(CZ17&gt;=40,"E8",
IF(CZ17&gt;=1,"F9",""))))))))))</f>
        <v>F9</v>
      </c>
      <c r="DB17" s="422">
        <v>-10</v>
      </c>
      <c r="DC17" s="422">
        <v>6.4285714285714501</v>
      </c>
      <c r="DD17" s="422">
        <f t="shared" ref="DD17:DD22" si="148">SUM(DB17:DC17)</f>
        <v>-3.5714285714285499</v>
      </c>
      <c r="DE17" s="422" t="str">
        <f t="shared" ref="DE17:DE22" si="149">IF(DD17&gt;=80,"A1",
IF(DD17&gt;=75,"A",
IF(DD17&gt;=70,"B2",
IF(DD17&gt;=65,"B3",
IF(DD17&gt;=60,"C4",
IF(DD17&gt;=55,"C5",
IF(DD17&gt;=50,"C6",
IF(DD17&gt;=45,"D7",
IF(DD17&gt;=40,"E8",
IF(DD17&gt;=1,"F9",""))))))))))</f>
        <v/>
      </c>
      <c r="DF17" s="422">
        <f t="shared" ref="DF17:DF22" si="150">DB17</f>
        <v>-10</v>
      </c>
      <c r="DG17" s="422">
        <v>-4.2857142857142696</v>
      </c>
      <c r="DH17" s="422">
        <f t="shared" ref="DH17:DH22" si="151">SUM(DF17:DG17)</f>
        <v>-14.28571428571427</v>
      </c>
      <c r="DI17" s="422" t="str">
        <f t="shared" ref="DI17:DI22" si="152">IF(DH17&gt;=80,"A1",
IF(DH17&gt;=75,"A",
IF(DH17&gt;=70,"B2",
IF(DH17&gt;=65,"B3",
IF(DH17&gt;=60,"C4",
IF(DH17&gt;=55,"C5",
IF(DH17&gt;=50,"C6",
IF(DH17&gt;=45,"D7",
IF(DH17&gt;=40,"E8",
IF(DH17&gt;=1,"F9",""))))))))))</f>
        <v/>
      </c>
      <c r="DJ17" s="422">
        <v>15</v>
      </c>
      <c r="DK17" s="422">
        <v>45.142857142857103</v>
      </c>
      <c r="DL17" s="422">
        <f t="shared" ref="DL17:DL22" si="153">SUM(DJ17:DK17)</f>
        <v>60.142857142857103</v>
      </c>
      <c r="DM17" s="422" t="str">
        <f t="shared" ref="DM17:DM22" si="154">IF(DL17&gt;=80,"A1",
IF(DL17&gt;=75,"A",
IF(DL17&gt;=70,"B2",
IF(DL17&gt;=65,"B3",
IF(DL17&gt;=60,"C4",
IF(DL17&gt;=55,"C5",
IF(DL17&gt;=50,"C6",
IF(DL17&gt;=45,"D7",
IF(DL17&gt;=40,"E8",
IF(DL17&gt;=1,"F9",""))))))))))</f>
        <v>C4</v>
      </c>
      <c r="DN17" s="422">
        <v>15</v>
      </c>
      <c r="DO17" s="422">
        <v>39.142857142857103</v>
      </c>
      <c r="DP17" s="422">
        <f t="shared" ref="DP17:DP22" si="155">SUM(DN17:DO17)</f>
        <v>54.142857142857103</v>
      </c>
      <c r="DQ17" s="438" t="str">
        <f t="shared" ref="DQ17:DQ22" si="156">IF(DP17&gt;=80,"A1",
IF(DP17&gt;=75,"A",
IF(DP17&gt;=70,"B2",
IF(DP17&gt;=65,"B3",
IF(DP17&gt;=60,"C4",
IF(DP17&gt;=55,"C5",
IF(DP17&gt;=50,"C6",
IF(DP17&gt;=45,"D7",
IF(DP17&gt;=40,"E8",
IF(DP17&gt;=1,"F9",""))))))))))</f>
        <v>C6</v>
      </c>
      <c r="DR17" s="422">
        <v>-35</v>
      </c>
      <c r="DS17" s="422">
        <v>0.71428571428568</v>
      </c>
      <c r="DT17" s="422">
        <f t="shared" ref="DT17:DT22" si="157">SUM(DR17:DS17)</f>
        <v>-34.28571428571432</v>
      </c>
      <c r="DU17" s="438" t="str">
        <f t="shared" ref="DU17:DU22" si="158">IF(DT17&gt;=80,"A1",
IF(DT17&gt;=75,"A",
IF(DT17&gt;=70,"B2",
IF(DT17&gt;=65,"B3",
IF(DT17&gt;=60,"C4",
IF(DT17&gt;=55,"C5",
IF(DT17&gt;=50,"C6",
IF(DT17&gt;=45,"D7",
IF(DT17&gt;=40,"E8",
IF(DT17&gt;=1,"F9",""))))))))))</f>
        <v/>
      </c>
      <c r="DV17" s="422">
        <v>15</v>
      </c>
      <c r="DW17" s="422">
        <v>46.285714285714299</v>
      </c>
      <c r="DX17" s="422">
        <f t="shared" ref="DX17:DX22" si="159">SUM(DV17:DW17)</f>
        <v>61.285714285714299</v>
      </c>
      <c r="DY17" s="438" t="str">
        <f t="shared" ref="DY17:DY22" si="160">IF(DX17&gt;=80,"A1",
IF(DX17&gt;=75,"A",
IF(DX17&gt;=70,"B2",
IF(DX17&gt;=65,"B3",
IF(DX17&gt;=60,"C4",
IF(DX17&gt;=55,"C5",
IF(DX17&gt;=50,"C6",
IF(DX17&gt;=45,"D7",
IF(DX17&gt;=40,"E8",
IF(DX17&gt;=1,"F9",""))))))))))</f>
        <v>C4</v>
      </c>
      <c r="DZ17" s="422">
        <f t="shared" ref="DZ17:DZ22" si="161">DV17</f>
        <v>15</v>
      </c>
      <c r="EA17" s="422">
        <v>33</v>
      </c>
      <c r="EB17" s="422">
        <f t="shared" ref="EB17:EB22" si="162">SUM(DZ17:EA17)</f>
        <v>48</v>
      </c>
      <c r="EC17" s="438" t="str">
        <f t="shared" ref="EC17:EC22" si="163">IF(EB17&gt;=80,"A1",
IF(EB17&gt;=75,"A",
IF(EB17&gt;=70,"B2",
IF(EB17&gt;=65,"B3",
IF(EB17&gt;=60,"C4",
IF(EB17&gt;=55,"C5",
IF(EB17&gt;=50,"C6",
IF(EB17&gt;=45,"D7",
IF(EB17&gt;=40,"E8",
IF(EB17&gt;=1,"F9",""))))))))))</f>
        <v>D7</v>
      </c>
      <c r="ED17" s="422">
        <f t="shared" si="63"/>
        <v>472.28644888082283</v>
      </c>
      <c r="EE17" s="422">
        <f t="shared" si="100"/>
        <v>29.517903055051427</v>
      </c>
      <c r="EF17" s="438" t="str">
        <f t="shared" si="101"/>
        <v>F9</v>
      </c>
      <c r="EG17" s="422" t="str">
        <f t="shared" si="102"/>
        <v>FAIL</v>
      </c>
      <c r="EH17" s="439">
        <v>1</v>
      </c>
      <c r="EI17" s="422">
        <f t="shared" si="103"/>
        <v>472.28644888082283</v>
      </c>
      <c r="EJ17" s="440">
        <f t="shared" si="104"/>
        <v>0.29517903055051425</v>
      </c>
      <c r="EK17" s="438" t="s">
        <v>573</v>
      </c>
      <c r="EL17" s="438" t="s">
        <v>762</v>
      </c>
    </row>
    <row r="18" spans="1:142" ht="18" customHeight="1" thickBot="1">
      <c r="A18" s="781"/>
      <c r="B18" s="690"/>
      <c r="C18" s="690"/>
      <c r="D18" s="690"/>
      <c r="E18" s="690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0"/>
      <c r="Q18" s="690"/>
      <c r="R18" s="690"/>
      <c r="S18" s="690"/>
      <c r="T18" s="690"/>
      <c r="U18" s="690"/>
      <c r="V18" s="714"/>
      <c r="W18" s="714"/>
      <c r="X18" s="714"/>
      <c r="Y18" s="391"/>
      <c r="Z18" s="391"/>
      <c r="AA18" s="420">
        <f t="shared" si="1"/>
        <v>17</v>
      </c>
      <c r="AB18" s="435" t="s">
        <v>59</v>
      </c>
      <c r="AC18" s="422" t="s">
        <v>394</v>
      </c>
      <c r="AD18" s="422" t="s">
        <v>326</v>
      </c>
      <c r="AE18" s="422">
        <v>15.8571428571429</v>
      </c>
      <c r="AF18" s="422">
        <f>'SSS1 ATTENDANCE '!FJ24</f>
        <v>128</v>
      </c>
      <c r="AG18" s="422">
        <f>'SSS1 ATTENDANCE '!FH24</f>
        <v>120</v>
      </c>
      <c r="AH18" s="422">
        <f>'SSS1 ATTENDANCE '!FI24</f>
        <v>8</v>
      </c>
      <c r="AI18" s="436" t="s">
        <v>590</v>
      </c>
      <c r="AJ18" s="437">
        <v>40754</v>
      </c>
      <c r="AK18" s="435" t="s">
        <v>396</v>
      </c>
      <c r="AL18" s="424">
        <v>25</v>
      </c>
      <c r="AM18" s="422">
        <v>33.25</v>
      </c>
      <c r="AN18" s="438">
        <v>4</v>
      </c>
      <c r="AO18" s="422" t="str">
        <f t="shared" si="64"/>
        <v>5</v>
      </c>
      <c r="AP18" s="438">
        <v>5</v>
      </c>
      <c r="AQ18" s="422">
        <v>4</v>
      </c>
      <c r="AR18" s="438">
        <v>4</v>
      </c>
      <c r="AS18" s="438">
        <v>4</v>
      </c>
      <c r="AT18" s="438">
        <v>4</v>
      </c>
      <c r="AU18" s="438">
        <v>3</v>
      </c>
      <c r="AV18" s="438">
        <v>4</v>
      </c>
      <c r="AW18" s="438">
        <v>4</v>
      </c>
      <c r="AX18" s="438">
        <v>3</v>
      </c>
      <c r="AY18" s="438">
        <v>4</v>
      </c>
      <c r="AZ18" s="438">
        <v>3</v>
      </c>
      <c r="BA18" s="438">
        <v>3</v>
      </c>
      <c r="BB18" s="438">
        <v>3</v>
      </c>
      <c r="BC18" s="438">
        <v>4</v>
      </c>
      <c r="BD18" s="438">
        <v>4</v>
      </c>
      <c r="BE18" s="438">
        <v>4</v>
      </c>
      <c r="BF18" s="438">
        <v>3</v>
      </c>
      <c r="BG18" s="438">
        <v>3</v>
      </c>
      <c r="BH18" s="438">
        <v>3</v>
      </c>
      <c r="BI18" s="438">
        <v>5</v>
      </c>
      <c r="BJ18" s="438">
        <v>4</v>
      </c>
      <c r="BK18" s="438">
        <v>3</v>
      </c>
      <c r="BL18" s="438">
        <v>5</v>
      </c>
      <c r="BM18" s="438">
        <v>3</v>
      </c>
      <c r="BN18" s="422" t="s">
        <v>416</v>
      </c>
      <c r="BO18" s="438">
        <v>28.75</v>
      </c>
      <c r="BP18" s="438">
        <v>-21.607142857142801</v>
      </c>
      <c r="BQ18" s="422">
        <f t="shared" si="129"/>
        <v>7.1428571428571992</v>
      </c>
      <c r="BR18" s="438" t="str">
        <f t="shared" si="130"/>
        <v>F9</v>
      </c>
      <c r="BS18" s="422">
        <v>28.75</v>
      </c>
      <c r="BT18" s="438">
        <v>-0.53571428571429203</v>
      </c>
      <c r="BU18" s="422">
        <f t="shared" si="131"/>
        <v>28.214285714285708</v>
      </c>
      <c r="BV18" s="438" t="str">
        <f t="shared" si="132"/>
        <v>F9</v>
      </c>
      <c r="BW18" s="422">
        <v>28.75</v>
      </c>
      <c r="BX18" s="422">
        <v>-3.3928571428571299</v>
      </c>
      <c r="BY18" s="422">
        <f t="shared" si="133"/>
        <v>25.357142857142868</v>
      </c>
      <c r="BZ18" s="438" t="str">
        <f t="shared" si="134"/>
        <v>F9</v>
      </c>
      <c r="CA18" s="422">
        <v>28.75</v>
      </c>
      <c r="CB18" s="422">
        <v>-7.4999999999999698</v>
      </c>
      <c r="CC18" s="422">
        <f t="shared" si="135"/>
        <v>21.250000000000028</v>
      </c>
      <c r="CD18" s="438" t="str">
        <f t="shared" si="136"/>
        <v>F9</v>
      </c>
      <c r="CE18" s="422">
        <v>35</v>
      </c>
      <c r="CF18" s="422">
        <v>-2.8571428571428799</v>
      </c>
      <c r="CG18" s="422">
        <f t="shared" si="137"/>
        <v>32.142857142857117</v>
      </c>
      <c r="CH18" s="438" t="str">
        <f t="shared" si="138"/>
        <v>F9</v>
      </c>
      <c r="CI18" s="422">
        <v>28.75</v>
      </c>
      <c r="CJ18" s="422">
        <v>16.321428571428601</v>
      </c>
      <c r="CK18" s="422">
        <f t="shared" si="139"/>
        <v>45.071428571428598</v>
      </c>
      <c r="CL18" s="438" t="str">
        <f t="shared" si="140"/>
        <v>D7</v>
      </c>
      <c r="CM18" s="422">
        <v>28.75</v>
      </c>
      <c r="CN18" s="422"/>
      <c r="CO18" s="422"/>
      <c r="CP18" s="422">
        <f t="shared" si="141"/>
        <v>28.75</v>
      </c>
      <c r="CQ18" s="422">
        <v>44.387931034482797</v>
      </c>
      <c r="CR18" s="422">
        <f t="shared" si="142"/>
        <v>73.13793103448279</v>
      </c>
      <c r="CS18" s="438" t="str">
        <f t="shared" si="143"/>
        <v>B2</v>
      </c>
      <c r="CT18" s="422">
        <v>24.736842105263101</v>
      </c>
      <c r="CU18" s="422">
        <v>-1.0526315789474401</v>
      </c>
      <c r="CV18" s="422">
        <f t="shared" si="144"/>
        <v>23.68421052631566</v>
      </c>
      <c r="CW18" s="438" t="str">
        <f t="shared" si="145"/>
        <v>F9</v>
      </c>
      <c r="CX18" s="422">
        <v>19.1666666666667</v>
      </c>
      <c r="CY18" s="422">
        <v>-7.4999999999999698</v>
      </c>
      <c r="CZ18" s="422">
        <f t="shared" si="146"/>
        <v>11.66666666666673</v>
      </c>
      <c r="DA18" s="438" t="str">
        <f t="shared" si="147"/>
        <v>F9</v>
      </c>
      <c r="DB18" s="422">
        <f t="shared" ref="DB18:DB22" si="164">CX18</f>
        <v>19.1666666666667</v>
      </c>
      <c r="DC18" s="422">
        <v>3.74999999999996</v>
      </c>
      <c r="DD18" s="422">
        <f t="shared" si="148"/>
        <v>22.916666666666661</v>
      </c>
      <c r="DE18" s="422" t="str">
        <f t="shared" si="149"/>
        <v>F9</v>
      </c>
      <c r="DF18" s="422">
        <f t="shared" si="150"/>
        <v>19.1666666666667</v>
      </c>
      <c r="DG18" s="422">
        <v>-7.4999999999999698</v>
      </c>
      <c r="DH18" s="422">
        <f t="shared" si="151"/>
        <v>11.66666666666673</v>
      </c>
      <c r="DI18" s="422" t="str">
        <f t="shared" si="152"/>
        <v>F9</v>
      </c>
      <c r="DJ18" s="422">
        <f t="shared" ref="DJ18:DJ22" si="165">DF18</f>
        <v>19.1666666666667</v>
      </c>
      <c r="DK18" s="422">
        <v>44.964285714285701</v>
      </c>
      <c r="DL18" s="422">
        <f t="shared" si="153"/>
        <v>64.130952380952408</v>
      </c>
      <c r="DM18" s="422" t="str">
        <f t="shared" si="154"/>
        <v>C4</v>
      </c>
      <c r="DN18" s="422">
        <f t="shared" ref="DN18:DN22" si="166">DJ18</f>
        <v>19.1666666666667</v>
      </c>
      <c r="DO18" s="422">
        <v>38.535714285714299</v>
      </c>
      <c r="DP18" s="422">
        <f t="shared" si="155"/>
        <v>57.702380952380999</v>
      </c>
      <c r="DQ18" s="438" t="str">
        <f t="shared" si="156"/>
        <v>C5</v>
      </c>
      <c r="DR18" s="422">
        <f t="shared" ref="DR18:DR22" si="167">DN18</f>
        <v>19.1666666666667</v>
      </c>
      <c r="DS18" s="422">
        <v>-1.8928571428571199</v>
      </c>
      <c r="DT18" s="422">
        <f t="shared" si="157"/>
        <v>17.273809523809579</v>
      </c>
      <c r="DU18" s="438" t="str">
        <f t="shared" si="158"/>
        <v>F9</v>
      </c>
      <c r="DV18" s="422">
        <f t="shared" ref="DV18:DV22" si="168">DR18</f>
        <v>19.1666666666667</v>
      </c>
      <c r="DW18" s="422">
        <v>46.214285714285701</v>
      </c>
      <c r="DX18" s="422">
        <f t="shared" si="159"/>
        <v>65.380952380952408</v>
      </c>
      <c r="DY18" s="438" t="str">
        <f t="shared" si="160"/>
        <v>B3</v>
      </c>
      <c r="DZ18" s="422">
        <f t="shared" si="161"/>
        <v>19.1666666666667</v>
      </c>
      <c r="EA18" s="422">
        <v>32.25</v>
      </c>
      <c r="EB18" s="422">
        <f t="shared" si="162"/>
        <v>51.4166666666667</v>
      </c>
      <c r="EC18" s="438" t="str">
        <f t="shared" si="163"/>
        <v>C6</v>
      </c>
      <c r="ED18" s="422">
        <f t="shared" si="63"/>
        <v>558.15547489413223</v>
      </c>
      <c r="EE18" s="422">
        <f t="shared" si="100"/>
        <v>34.884717180883264</v>
      </c>
      <c r="EF18" s="438" t="str">
        <f t="shared" si="101"/>
        <v>F9</v>
      </c>
      <c r="EG18" s="422" t="str">
        <f t="shared" si="102"/>
        <v>FAIL</v>
      </c>
      <c r="EH18" s="439">
        <v>1</v>
      </c>
      <c r="EI18" s="422">
        <f t="shared" si="103"/>
        <v>558.15547489413223</v>
      </c>
      <c r="EJ18" s="440">
        <f t="shared" si="104"/>
        <v>0.34884717180883262</v>
      </c>
      <c r="EK18" s="438" t="s">
        <v>573</v>
      </c>
      <c r="EL18" s="438" t="s">
        <v>762</v>
      </c>
    </row>
    <row r="19" spans="1:142" ht="24" customHeight="1" thickBot="1">
      <c r="A19" s="781"/>
      <c r="B19" s="803" t="s">
        <v>330</v>
      </c>
      <c r="C19" s="804"/>
      <c r="D19" s="805"/>
      <c r="E19" s="806"/>
      <c r="F19" s="806"/>
      <c r="G19" s="806"/>
      <c r="H19" s="806"/>
      <c r="I19" s="806"/>
      <c r="J19" s="806"/>
      <c r="K19" s="806"/>
      <c r="L19" s="806"/>
      <c r="M19" s="807"/>
      <c r="N19" s="374" t="s">
        <v>331</v>
      </c>
      <c r="O19" s="408" t="e">
        <f>VLOOKUP(D19,AB:EL,3,FALSE)</f>
        <v>#N/A</v>
      </c>
      <c r="P19" s="690"/>
      <c r="Q19" s="690"/>
      <c r="R19" s="690"/>
      <c r="S19" s="690"/>
      <c r="T19" s="690"/>
      <c r="U19" s="690"/>
      <c r="V19" s="714"/>
      <c r="W19" s="714"/>
      <c r="X19" s="714"/>
      <c r="Y19" s="391"/>
      <c r="Z19" s="391"/>
      <c r="AA19" s="420">
        <f t="shared" si="1"/>
        <v>18</v>
      </c>
      <c r="AB19" s="435" t="s">
        <v>60</v>
      </c>
      <c r="AC19" s="422" t="s">
        <v>394</v>
      </c>
      <c r="AD19" s="422" t="s">
        <v>326</v>
      </c>
      <c r="AE19" s="422">
        <v>16</v>
      </c>
      <c r="AF19" s="422">
        <f>'SSS1 ATTENDANCE '!FJ25</f>
        <v>128</v>
      </c>
      <c r="AG19" s="422">
        <f>'SSS1 ATTENDANCE '!FH25</f>
        <v>110</v>
      </c>
      <c r="AH19" s="422">
        <f>'SSS1 ATTENDANCE '!FI25</f>
        <v>18</v>
      </c>
      <c r="AI19" s="436" t="s">
        <v>591</v>
      </c>
      <c r="AJ19" s="437">
        <v>40900</v>
      </c>
      <c r="AK19" s="435" t="s">
        <v>396</v>
      </c>
      <c r="AL19" s="424">
        <v>25</v>
      </c>
      <c r="AM19" s="422">
        <v>33.785714285714299</v>
      </c>
      <c r="AN19" s="438">
        <v>4</v>
      </c>
      <c r="AO19" s="422" t="str">
        <f t="shared" si="64"/>
        <v>5</v>
      </c>
      <c r="AP19" s="438">
        <v>5</v>
      </c>
      <c r="AQ19" s="422">
        <v>4</v>
      </c>
      <c r="AR19" s="438">
        <v>4</v>
      </c>
      <c r="AS19" s="438">
        <v>4</v>
      </c>
      <c r="AT19" s="438">
        <v>4</v>
      </c>
      <c r="AU19" s="438">
        <v>3</v>
      </c>
      <c r="AV19" s="438">
        <v>4</v>
      </c>
      <c r="AW19" s="438">
        <v>4</v>
      </c>
      <c r="AX19" s="438">
        <v>3</v>
      </c>
      <c r="AY19" s="438">
        <v>4</v>
      </c>
      <c r="AZ19" s="438">
        <v>3</v>
      </c>
      <c r="BA19" s="438">
        <v>3</v>
      </c>
      <c r="BB19" s="438">
        <v>3</v>
      </c>
      <c r="BC19" s="438">
        <v>4</v>
      </c>
      <c r="BD19" s="438">
        <v>4</v>
      </c>
      <c r="BE19" s="438">
        <v>4</v>
      </c>
      <c r="BF19" s="438">
        <v>3</v>
      </c>
      <c r="BG19" s="438">
        <v>3</v>
      </c>
      <c r="BH19" s="438">
        <v>3</v>
      </c>
      <c r="BI19" s="438">
        <v>5</v>
      </c>
      <c r="BJ19" s="438">
        <v>4</v>
      </c>
      <c r="BK19" s="438">
        <v>3</v>
      </c>
      <c r="BL19" s="438">
        <v>5</v>
      </c>
      <c r="BM19" s="438">
        <v>3</v>
      </c>
      <c r="BN19" s="422" t="s">
        <v>417</v>
      </c>
      <c r="BO19" s="438">
        <v>28.214285714285701</v>
      </c>
      <c r="BP19" s="438">
        <v>-25.785714285714299</v>
      </c>
      <c r="BQ19" s="422">
        <f t="shared" si="129"/>
        <v>2.4285714285714022</v>
      </c>
      <c r="BR19" s="438" t="str">
        <f t="shared" si="130"/>
        <v>F9</v>
      </c>
      <c r="BS19" s="422">
        <v>28.214285714285701</v>
      </c>
      <c r="BT19" s="438">
        <v>-3.78571428571429</v>
      </c>
      <c r="BU19" s="422">
        <f t="shared" si="131"/>
        <v>24.428571428571409</v>
      </c>
      <c r="BV19" s="438" t="str">
        <f t="shared" si="132"/>
        <v>F9</v>
      </c>
      <c r="BW19" s="422">
        <v>28.214285714285701</v>
      </c>
      <c r="BX19" s="422">
        <v>-6.5000000000000302</v>
      </c>
      <c r="BY19" s="422">
        <f t="shared" si="133"/>
        <v>21.714285714285673</v>
      </c>
      <c r="BZ19" s="438" t="str">
        <f t="shared" si="134"/>
        <v>F9</v>
      </c>
      <c r="CA19" s="422">
        <v>28.214285714285701</v>
      </c>
      <c r="CB19" s="422">
        <v>-10.714285714285801</v>
      </c>
      <c r="CC19" s="422">
        <f t="shared" si="135"/>
        <v>17.499999999999901</v>
      </c>
      <c r="CD19" s="438" t="str">
        <f t="shared" si="136"/>
        <v>F9</v>
      </c>
      <c r="CE19" s="422">
        <v>35</v>
      </c>
      <c r="CF19" s="422">
        <v>-5.9999999999999796</v>
      </c>
      <c r="CG19" s="422">
        <f t="shared" si="137"/>
        <v>29.000000000000021</v>
      </c>
      <c r="CH19" s="438" t="str">
        <f t="shared" si="138"/>
        <v>F9</v>
      </c>
      <c r="CI19" s="422">
        <v>28.214285714285701</v>
      </c>
      <c r="CJ19" s="422">
        <v>14.5</v>
      </c>
      <c r="CK19" s="422">
        <f t="shared" si="139"/>
        <v>42.714285714285701</v>
      </c>
      <c r="CL19" s="438" t="str">
        <f t="shared" si="140"/>
        <v>E8</v>
      </c>
      <c r="CM19" s="422">
        <v>28.214285714285701</v>
      </c>
      <c r="CN19" s="422"/>
      <c r="CO19" s="422"/>
      <c r="CP19" s="422"/>
      <c r="CQ19" s="422">
        <v>44.1034482758621</v>
      </c>
      <c r="CR19" s="422">
        <f t="shared" si="142"/>
        <v>44.1034482758621</v>
      </c>
      <c r="CS19" s="438" t="str">
        <f t="shared" si="143"/>
        <v>E8</v>
      </c>
      <c r="CT19" s="422">
        <v>23.684210526315798</v>
      </c>
      <c r="CU19" s="422">
        <v>-5.2631578947368398</v>
      </c>
      <c r="CV19" s="422">
        <f t="shared" si="144"/>
        <v>18.421052631578959</v>
      </c>
      <c r="CW19" s="438" t="str">
        <f t="shared" si="145"/>
        <v>F9</v>
      </c>
      <c r="CX19" s="422">
        <f t="shared" ref="CX19" si="169">CT19</f>
        <v>23.684210526315798</v>
      </c>
      <c r="CY19" s="422">
        <v>-10.714285714285801</v>
      </c>
      <c r="CZ19" s="422">
        <f t="shared" si="146"/>
        <v>12.969924812029998</v>
      </c>
      <c r="DA19" s="438" t="str">
        <f t="shared" si="147"/>
        <v>F9</v>
      </c>
      <c r="DB19" s="422">
        <f t="shared" si="164"/>
        <v>23.684210526315798</v>
      </c>
      <c r="DC19" s="422">
        <v>1.0714285714285601</v>
      </c>
      <c r="DD19" s="422">
        <f t="shared" si="148"/>
        <v>24.755639097744357</v>
      </c>
      <c r="DE19" s="422" t="str">
        <f t="shared" si="149"/>
        <v>F9</v>
      </c>
      <c r="DF19" s="422">
        <f t="shared" si="150"/>
        <v>23.684210526315798</v>
      </c>
      <c r="DG19" s="422">
        <v>-10.714285714285801</v>
      </c>
      <c r="DH19" s="422">
        <f t="shared" si="151"/>
        <v>12.969924812029998</v>
      </c>
      <c r="DI19" s="422" t="str">
        <f t="shared" si="152"/>
        <v>F9</v>
      </c>
      <c r="DJ19" s="422">
        <f t="shared" si="165"/>
        <v>23.684210526315798</v>
      </c>
      <c r="DK19" s="422">
        <v>44.785714285714299</v>
      </c>
      <c r="DL19" s="422">
        <f t="shared" si="153"/>
        <v>68.469924812030101</v>
      </c>
      <c r="DM19" s="422" t="str">
        <f t="shared" si="154"/>
        <v>B3</v>
      </c>
      <c r="DN19" s="422">
        <f t="shared" si="166"/>
        <v>23.684210526315798</v>
      </c>
      <c r="DO19" s="422">
        <v>37.928571428571402</v>
      </c>
      <c r="DP19" s="422">
        <f t="shared" si="155"/>
        <v>61.612781954887197</v>
      </c>
      <c r="DQ19" s="438" t="str">
        <f t="shared" si="156"/>
        <v>C4</v>
      </c>
      <c r="DR19" s="422">
        <f t="shared" si="167"/>
        <v>23.684210526315798</v>
      </c>
      <c r="DS19" s="422">
        <v>-4.5000000000000204</v>
      </c>
      <c r="DT19" s="422">
        <f t="shared" si="157"/>
        <v>19.184210526315777</v>
      </c>
      <c r="DU19" s="438" t="str">
        <f t="shared" si="158"/>
        <v>F9</v>
      </c>
      <c r="DV19" s="422">
        <f t="shared" si="168"/>
        <v>23.684210526315798</v>
      </c>
      <c r="DW19" s="422">
        <v>46.142857142857103</v>
      </c>
      <c r="DX19" s="422">
        <f t="shared" si="159"/>
        <v>69.827067669172905</v>
      </c>
      <c r="DY19" s="438" t="str">
        <f t="shared" si="160"/>
        <v>B3</v>
      </c>
      <c r="DZ19" s="422">
        <f t="shared" si="161"/>
        <v>23.684210526315798</v>
      </c>
      <c r="EA19" s="422">
        <v>31.5</v>
      </c>
      <c r="EB19" s="422">
        <f t="shared" si="162"/>
        <v>55.184210526315795</v>
      </c>
      <c r="EC19" s="438" t="str">
        <f t="shared" si="163"/>
        <v>C5</v>
      </c>
      <c r="ED19" s="422">
        <f t="shared" si="63"/>
        <v>525.28389940368129</v>
      </c>
      <c r="EE19" s="422">
        <f t="shared" si="100"/>
        <v>32.830243712730081</v>
      </c>
      <c r="EF19" s="438" t="str">
        <f t="shared" si="101"/>
        <v>F9</v>
      </c>
      <c r="EG19" s="422" t="str">
        <f t="shared" si="102"/>
        <v>FAIL</v>
      </c>
      <c r="EH19" s="439">
        <v>1</v>
      </c>
      <c r="EI19" s="422">
        <f t="shared" si="103"/>
        <v>525.28389940368129</v>
      </c>
      <c r="EJ19" s="440">
        <f t="shared" si="104"/>
        <v>0.32830243712730078</v>
      </c>
      <c r="EK19" s="438" t="s">
        <v>573</v>
      </c>
      <c r="EL19" s="438" t="s">
        <v>762</v>
      </c>
    </row>
    <row r="20" spans="1:142" ht="24.75" customHeight="1" thickBot="1">
      <c r="A20" s="781"/>
      <c r="B20" s="808" t="s">
        <v>332</v>
      </c>
      <c r="C20" s="808"/>
      <c r="D20" s="782" t="e">
        <f>VLOOKUP(D19,AB:EL,8,FALSE)</f>
        <v>#N/A</v>
      </c>
      <c r="E20" s="783"/>
      <c r="F20" s="783"/>
      <c r="G20" s="783"/>
      <c r="H20" s="783"/>
      <c r="I20" s="784"/>
      <c r="J20" s="841" t="s">
        <v>355</v>
      </c>
      <c r="K20" s="843" t="e">
        <f>VLOOKUP(D19,AB:EL,9,FALSE)</f>
        <v>#N/A</v>
      </c>
      <c r="L20" s="844"/>
      <c r="M20" s="845"/>
      <c r="N20" s="375" t="s">
        <v>320</v>
      </c>
      <c r="O20" s="408" t="e">
        <f>VLOOKUP(D19,AB:EL,4,FALSE)</f>
        <v>#N/A</v>
      </c>
      <c r="P20" s="690"/>
      <c r="Q20" s="690"/>
      <c r="R20" s="690"/>
      <c r="S20" s="690"/>
      <c r="T20" s="690"/>
      <c r="U20" s="690"/>
      <c r="V20" s="714"/>
      <c r="W20" s="714"/>
      <c r="X20" s="714"/>
      <c r="Y20" s="391"/>
      <c r="Z20" s="391"/>
      <c r="AA20" s="420">
        <f t="shared" si="1"/>
        <v>19</v>
      </c>
      <c r="AB20" s="435" t="s">
        <v>61</v>
      </c>
      <c r="AC20" s="422" t="s">
        <v>394</v>
      </c>
      <c r="AD20" s="422" t="s">
        <v>326</v>
      </c>
      <c r="AE20" s="422">
        <v>16.1428571428571</v>
      </c>
      <c r="AF20" s="422">
        <f>'SSS1 ATTENDANCE '!FJ26</f>
        <v>128</v>
      </c>
      <c r="AG20" s="422">
        <f>'SSS1 ATTENDANCE '!FH26</f>
        <v>22</v>
      </c>
      <c r="AH20" s="422">
        <f>'SSS1 ATTENDANCE '!FI26</f>
        <v>106</v>
      </c>
      <c r="AI20" s="436" t="s">
        <v>592</v>
      </c>
      <c r="AJ20" s="437">
        <v>40368</v>
      </c>
      <c r="AK20" s="435" t="s">
        <v>396</v>
      </c>
      <c r="AL20" s="424">
        <v>25</v>
      </c>
      <c r="AM20" s="422">
        <v>34.321428571428598</v>
      </c>
      <c r="AN20" s="438">
        <v>4</v>
      </c>
      <c r="AO20" s="422" t="str">
        <f t="shared" si="64"/>
        <v>3</v>
      </c>
      <c r="AP20" s="438">
        <v>5</v>
      </c>
      <c r="AQ20" s="422">
        <v>4</v>
      </c>
      <c r="AR20" s="438">
        <v>4</v>
      </c>
      <c r="AS20" s="438">
        <v>4</v>
      </c>
      <c r="AT20" s="438">
        <v>4</v>
      </c>
      <c r="AU20" s="438">
        <v>3</v>
      </c>
      <c r="AV20" s="438">
        <v>4</v>
      </c>
      <c r="AW20" s="438">
        <v>4</v>
      </c>
      <c r="AX20" s="438">
        <v>3</v>
      </c>
      <c r="AY20" s="438">
        <v>4</v>
      </c>
      <c r="AZ20" s="438">
        <v>3</v>
      </c>
      <c r="BA20" s="438">
        <v>3</v>
      </c>
      <c r="BB20" s="438">
        <v>3</v>
      </c>
      <c r="BC20" s="438">
        <v>4</v>
      </c>
      <c r="BD20" s="438">
        <v>4</v>
      </c>
      <c r="BE20" s="438">
        <v>4</v>
      </c>
      <c r="BF20" s="438">
        <v>3</v>
      </c>
      <c r="BG20" s="438">
        <v>3</v>
      </c>
      <c r="BH20" s="438">
        <v>3</v>
      </c>
      <c r="BI20" s="438">
        <v>5</v>
      </c>
      <c r="BJ20" s="438">
        <v>4</v>
      </c>
      <c r="BK20" s="438">
        <v>3</v>
      </c>
      <c r="BL20" s="438">
        <v>5</v>
      </c>
      <c r="BM20" s="438">
        <v>3</v>
      </c>
      <c r="BN20" s="422" t="s">
        <v>418</v>
      </c>
      <c r="BO20" s="438">
        <v>27.678571428571399</v>
      </c>
      <c r="BP20" s="438">
        <v>-29.964285714285701</v>
      </c>
      <c r="BQ20" s="422">
        <f t="shared" si="129"/>
        <v>-2.2857142857143025</v>
      </c>
      <c r="BR20" s="438" t="str">
        <f t="shared" si="130"/>
        <v/>
      </c>
      <c r="BS20" s="422">
        <v>27.678571428571399</v>
      </c>
      <c r="BT20" s="438">
        <v>-7.03571428571429</v>
      </c>
      <c r="BU20" s="422">
        <f t="shared" si="131"/>
        <v>20.64285714285711</v>
      </c>
      <c r="BV20" s="438" t="str">
        <f t="shared" si="132"/>
        <v>F9</v>
      </c>
      <c r="BW20" s="422">
        <v>27.678571428571399</v>
      </c>
      <c r="BX20" s="422">
        <v>-9.6071428571428292</v>
      </c>
      <c r="BY20" s="422">
        <f t="shared" si="133"/>
        <v>18.071428571428569</v>
      </c>
      <c r="BZ20" s="438" t="str">
        <f t="shared" si="134"/>
        <v>F9</v>
      </c>
      <c r="CA20" s="422">
        <v>27.678571428571399</v>
      </c>
      <c r="CB20" s="422">
        <v>-13.9285714285715</v>
      </c>
      <c r="CC20" s="422">
        <f t="shared" si="135"/>
        <v>13.749999999999899</v>
      </c>
      <c r="CD20" s="438" t="str">
        <f t="shared" si="136"/>
        <v>F9</v>
      </c>
      <c r="CE20" s="422">
        <v>35</v>
      </c>
      <c r="CF20" s="422">
        <v>-9.1428571428571708</v>
      </c>
      <c r="CG20" s="422">
        <f t="shared" si="137"/>
        <v>25.857142857142829</v>
      </c>
      <c r="CH20" s="438" t="str">
        <f t="shared" si="138"/>
        <v>F9</v>
      </c>
      <c r="CI20" s="422">
        <v>27.678571428571399</v>
      </c>
      <c r="CJ20" s="422">
        <v>12.6785714285714</v>
      </c>
      <c r="CK20" s="422">
        <f t="shared" si="139"/>
        <v>40.357142857142797</v>
      </c>
      <c r="CL20" s="438" t="str">
        <f t="shared" si="140"/>
        <v>E8</v>
      </c>
      <c r="CM20" s="422">
        <v>27.678571428571399</v>
      </c>
      <c r="CN20" s="422"/>
      <c r="CO20" s="422"/>
      <c r="CP20" s="422">
        <f t="shared" ref="CP20" si="170">CM20</f>
        <v>27.678571428571399</v>
      </c>
      <c r="CQ20" s="422">
        <v>43.818965517241402</v>
      </c>
      <c r="CR20" s="422">
        <f t="shared" si="142"/>
        <v>71.497536945812797</v>
      </c>
      <c r="CS20" s="438" t="str">
        <f t="shared" si="143"/>
        <v>B2</v>
      </c>
      <c r="CT20" s="422">
        <v>22.6315789473684</v>
      </c>
      <c r="CU20" s="422">
        <v>-9.4736842105263399</v>
      </c>
      <c r="CV20" s="422">
        <f t="shared" si="144"/>
        <v>13.15789473684206</v>
      </c>
      <c r="CW20" s="438" t="str">
        <f t="shared" si="145"/>
        <v>F9</v>
      </c>
      <c r="CX20" s="422">
        <v>35</v>
      </c>
      <c r="CY20" s="422">
        <v>-13.9285714285715</v>
      </c>
      <c r="CZ20" s="422">
        <f t="shared" si="146"/>
        <v>21.071428571428498</v>
      </c>
      <c r="DA20" s="438" t="str">
        <f t="shared" si="147"/>
        <v>F9</v>
      </c>
      <c r="DB20" s="422">
        <f t="shared" si="164"/>
        <v>35</v>
      </c>
      <c r="DC20" s="422">
        <v>-1.6071428571428501</v>
      </c>
      <c r="DD20" s="422">
        <f t="shared" si="148"/>
        <v>33.392857142857153</v>
      </c>
      <c r="DE20" s="422" t="str">
        <f t="shared" si="149"/>
        <v>F9</v>
      </c>
      <c r="DF20" s="422">
        <f t="shared" si="150"/>
        <v>35</v>
      </c>
      <c r="DG20" s="422">
        <v>-13.9285714285715</v>
      </c>
      <c r="DH20" s="422">
        <f t="shared" si="151"/>
        <v>21.071428571428498</v>
      </c>
      <c r="DI20" s="422" t="str">
        <f t="shared" si="152"/>
        <v>F9</v>
      </c>
      <c r="DJ20" s="422">
        <f t="shared" si="165"/>
        <v>35</v>
      </c>
      <c r="DK20" s="422">
        <v>44.607142857142797</v>
      </c>
      <c r="DL20" s="422">
        <f t="shared" si="153"/>
        <v>79.607142857142804</v>
      </c>
      <c r="DM20" s="422" t="str">
        <f t="shared" si="154"/>
        <v>A</v>
      </c>
      <c r="DN20" s="422">
        <f t="shared" si="166"/>
        <v>35</v>
      </c>
      <c r="DO20" s="422">
        <v>37.321428571428598</v>
      </c>
      <c r="DP20" s="422">
        <f t="shared" si="155"/>
        <v>72.321428571428598</v>
      </c>
      <c r="DQ20" s="438" t="str">
        <f t="shared" si="156"/>
        <v>B2</v>
      </c>
      <c r="DR20" s="422">
        <f t="shared" si="167"/>
        <v>35</v>
      </c>
      <c r="DS20" s="422">
        <v>-7.1071428571428301</v>
      </c>
      <c r="DT20" s="422">
        <f t="shared" si="157"/>
        <v>27.892857142857171</v>
      </c>
      <c r="DU20" s="438" t="str">
        <f t="shared" si="158"/>
        <v>F9</v>
      </c>
      <c r="DV20" s="422">
        <f t="shared" si="168"/>
        <v>35</v>
      </c>
      <c r="DW20" s="422">
        <v>46.071428571428598</v>
      </c>
      <c r="DX20" s="422">
        <f t="shared" si="159"/>
        <v>81.071428571428598</v>
      </c>
      <c r="DY20" s="438" t="str">
        <f t="shared" si="160"/>
        <v>A1</v>
      </c>
      <c r="DZ20" s="422">
        <f t="shared" si="161"/>
        <v>35</v>
      </c>
      <c r="EA20" s="422">
        <v>30.75</v>
      </c>
      <c r="EB20" s="422">
        <f t="shared" si="162"/>
        <v>65.75</v>
      </c>
      <c r="EC20" s="438" t="str">
        <f t="shared" si="163"/>
        <v>B3</v>
      </c>
      <c r="ED20" s="422">
        <f t="shared" si="63"/>
        <v>603.22686025408302</v>
      </c>
      <c r="EE20" s="422">
        <f t="shared" si="100"/>
        <v>37.701678765880189</v>
      </c>
      <c r="EF20" s="438" t="str">
        <f t="shared" si="101"/>
        <v>F9</v>
      </c>
      <c r="EG20" s="422" t="str">
        <f t="shared" si="102"/>
        <v>FAIL</v>
      </c>
      <c r="EH20" s="439">
        <v>1</v>
      </c>
      <c r="EI20" s="422">
        <f t="shared" si="103"/>
        <v>603.22686025408302</v>
      </c>
      <c r="EJ20" s="440">
        <f t="shared" si="104"/>
        <v>0.37701678765880187</v>
      </c>
      <c r="EK20" s="438" t="s">
        <v>746</v>
      </c>
      <c r="EL20" s="438" t="s">
        <v>762</v>
      </c>
    </row>
    <row r="21" spans="1:142" ht="15" customHeight="1" thickBot="1">
      <c r="A21" s="781"/>
      <c r="B21" s="808"/>
      <c r="C21" s="808"/>
      <c r="D21" s="785"/>
      <c r="E21" s="786"/>
      <c r="F21" s="786"/>
      <c r="G21" s="786"/>
      <c r="H21" s="786"/>
      <c r="I21" s="787"/>
      <c r="J21" s="842"/>
      <c r="K21" s="690"/>
      <c r="L21" s="690"/>
      <c r="M21" s="690"/>
      <c r="N21" s="376"/>
      <c r="O21" s="376"/>
      <c r="P21" s="690"/>
      <c r="Q21" s="690"/>
      <c r="R21" s="690"/>
      <c r="S21" s="690"/>
      <c r="T21" s="690"/>
      <c r="U21" s="690"/>
      <c r="V21" s="714"/>
      <c r="W21" s="714"/>
      <c r="X21" s="714"/>
      <c r="Y21" s="391"/>
      <c r="Z21" s="391"/>
      <c r="AA21" s="420">
        <f t="shared" si="1"/>
        <v>20</v>
      </c>
      <c r="AB21" s="435" t="s">
        <v>62</v>
      </c>
      <c r="AC21" s="422" t="s">
        <v>394</v>
      </c>
      <c r="AD21" s="422" t="s">
        <v>326</v>
      </c>
      <c r="AE21" s="422">
        <v>16.285714285714299</v>
      </c>
      <c r="AF21" s="422">
        <f>'SSS1 ATTENDANCE '!FJ27</f>
        <v>128</v>
      </c>
      <c r="AG21" s="422">
        <f>'SSS1 ATTENDANCE '!FH27</f>
        <v>114</v>
      </c>
      <c r="AH21" s="422">
        <f>'SSS1 ATTENDANCE '!FI27</f>
        <v>14</v>
      </c>
      <c r="AI21" s="436" t="s">
        <v>593</v>
      </c>
      <c r="AJ21" s="437">
        <v>40852</v>
      </c>
      <c r="AK21" s="435" t="s">
        <v>396</v>
      </c>
      <c r="AL21" s="424">
        <v>25</v>
      </c>
      <c r="AM21" s="422">
        <v>34.857142857142797</v>
      </c>
      <c r="AN21" s="438">
        <v>4</v>
      </c>
      <c r="AO21" s="422" t="str">
        <f t="shared" si="64"/>
        <v>5</v>
      </c>
      <c r="AP21" s="438">
        <v>5</v>
      </c>
      <c r="AQ21" s="422">
        <v>4</v>
      </c>
      <c r="AR21" s="438">
        <v>4</v>
      </c>
      <c r="AS21" s="438">
        <v>4</v>
      </c>
      <c r="AT21" s="438">
        <v>4</v>
      </c>
      <c r="AU21" s="438">
        <v>3</v>
      </c>
      <c r="AV21" s="438">
        <v>4</v>
      </c>
      <c r="AW21" s="438">
        <v>4</v>
      </c>
      <c r="AX21" s="438">
        <v>3</v>
      </c>
      <c r="AY21" s="438">
        <v>4</v>
      </c>
      <c r="AZ21" s="438">
        <v>3</v>
      </c>
      <c r="BA21" s="438">
        <v>3</v>
      </c>
      <c r="BB21" s="438">
        <v>3</v>
      </c>
      <c r="BC21" s="438">
        <v>4</v>
      </c>
      <c r="BD21" s="438">
        <v>4</v>
      </c>
      <c r="BE21" s="438">
        <v>4</v>
      </c>
      <c r="BF21" s="438">
        <v>3</v>
      </c>
      <c r="BG21" s="438">
        <v>3</v>
      </c>
      <c r="BH21" s="438">
        <v>3</v>
      </c>
      <c r="BI21" s="438">
        <v>5</v>
      </c>
      <c r="BJ21" s="438">
        <v>4</v>
      </c>
      <c r="BK21" s="438">
        <v>3</v>
      </c>
      <c r="BL21" s="438">
        <v>5</v>
      </c>
      <c r="BM21" s="438">
        <v>3</v>
      </c>
      <c r="BN21" s="422" t="s">
        <v>419</v>
      </c>
      <c r="BO21" s="438">
        <v>27.142857142857199</v>
      </c>
      <c r="BP21" s="438">
        <v>-34.142857142857103</v>
      </c>
      <c r="BQ21" s="422">
        <f t="shared" si="129"/>
        <v>-6.9999999999999041</v>
      </c>
      <c r="BR21" s="438" t="str">
        <f t="shared" si="130"/>
        <v/>
      </c>
      <c r="BS21" s="422">
        <v>27.142857142857199</v>
      </c>
      <c r="BT21" s="438">
        <v>-10.285714285714301</v>
      </c>
      <c r="BU21" s="422">
        <f t="shared" si="131"/>
        <v>16.857142857142897</v>
      </c>
      <c r="BV21" s="438" t="str">
        <f t="shared" si="132"/>
        <v>F9</v>
      </c>
      <c r="BW21" s="422">
        <v>27.142857142857199</v>
      </c>
      <c r="BX21" s="422">
        <v>-12.714285714285699</v>
      </c>
      <c r="BY21" s="422">
        <f t="shared" si="133"/>
        <v>14.4285714285715</v>
      </c>
      <c r="BZ21" s="438" t="str">
        <f t="shared" si="134"/>
        <v>F9</v>
      </c>
      <c r="CA21" s="422">
        <v>27.142857142857199</v>
      </c>
      <c r="CB21" s="422">
        <v>-17.142857142857199</v>
      </c>
      <c r="CC21" s="422">
        <f t="shared" si="135"/>
        <v>10</v>
      </c>
      <c r="CD21" s="438" t="str">
        <f t="shared" si="136"/>
        <v>F9</v>
      </c>
      <c r="CE21" s="422">
        <v>35</v>
      </c>
      <c r="CF21" s="422">
        <v>-12.285714285714301</v>
      </c>
      <c r="CG21" s="422">
        <f t="shared" si="137"/>
        <v>22.714285714285701</v>
      </c>
      <c r="CH21" s="438" t="str">
        <f t="shared" si="138"/>
        <v>F9</v>
      </c>
      <c r="CI21" s="422">
        <v>27.142857142857199</v>
      </c>
      <c r="CJ21" s="422">
        <v>10.857142857142801</v>
      </c>
      <c r="CK21" s="422">
        <f t="shared" si="139"/>
        <v>38</v>
      </c>
      <c r="CL21" s="438" t="str">
        <f t="shared" si="140"/>
        <v>F9</v>
      </c>
      <c r="CM21" s="422">
        <v>27.142857142857199</v>
      </c>
      <c r="CN21" s="422"/>
      <c r="CO21" s="422"/>
      <c r="CP21" s="422"/>
      <c r="CQ21" s="422">
        <v>43.534482758620697</v>
      </c>
      <c r="CR21" s="422">
        <f t="shared" si="142"/>
        <v>43.534482758620697</v>
      </c>
      <c r="CS21" s="438" t="str">
        <f t="shared" si="143"/>
        <v>E8</v>
      </c>
      <c r="CT21" s="422">
        <v>21.578947368421002</v>
      </c>
      <c r="CU21" s="422">
        <v>-13.6842105263158</v>
      </c>
      <c r="CV21" s="422">
        <f t="shared" si="144"/>
        <v>7.8947368421052015</v>
      </c>
      <c r="CW21" s="438" t="str">
        <f t="shared" si="145"/>
        <v>F9</v>
      </c>
      <c r="CX21" s="422">
        <f t="shared" ref="CX21" si="171">CT21</f>
        <v>21.578947368421002</v>
      </c>
      <c r="CY21" s="422">
        <v>-17.142857142857199</v>
      </c>
      <c r="CZ21" s="422">
        <f t="shared" si="146"/>
        <v>4.4360902255638024</v>
      </c>
      <c r="DA21" s="438" t="str">
        <f t="shared" si="147"/>
        <v>F9</v>
      </c>
      <c r="DB21" s="422">
        <f t="shared" si="164"/>
        <v>21.578947368421002</v>
      </c>
      <c r="DC21" s="422">
        <v>-4.2857142857143504</v>
      </c>
      <c r="DD21" s="422">
        <f t="shared" si="148"/>
        <v>17.293233082706649</v>
      </c>
      <c r="DE21" s="422" t="str">
        <f t="shared" si="149"/>
        <v>F9</v>
      </c>
      <c r="DF21" s="422">
        <f t="shared" si="150"/>
        <v>21.578947368421002</v>
      </c>
      <c r="DG21" s="422">
        <v>-17.142857142857199</v>
      </c>
      <c r="DH21" s="422">
        <f t="shared" si="151"/>
        <v>4.4360902255638024</v>
      </c>
      <c r="DI21" s="422" t="str">
        <f t="shared" si="152"/>
        <v>F9</v>
      </c>
      <c r="DJ21" s="422">
        <f t="shared" si="165"/>
        <v>21.578947368421002</v>
      </c>
      <c r="DK21" s="422">
        <v>44.428571428571402</v>
      </c>
      <c r="DL21" s="422">
        <f t="shared" si="153"/>
        <v>66.0075187969924</v>
      </c>
      <c r="DM21" s="422" t="str">
        <f t="shared" si="154"/>
        <v>B3</v>
      </c>
      <c r="DN21" s="422">
        <f t="shared" si="166"/>
        <v>21.578947368421002</v>
      </c>
      <c r="DO21" s="422">
        <v>36.714285714285701</v>
      </c>
      <c r="DP21" s="422">
        <f t="shared" si="155"/>
        <v>58.293233082706706</v>
      </c>
      <c r="DQ21" s="438" t="str">
        <f t="shared" si="156"/>
        <v>C5</v>
      </c>
      <c r="DR21" s="422">
        <f t="shared" si="167"/>
        <v>21.578947368421002</v>
      </c>
      <c r="DS21" s="422">
        <v>-9.7142857142857206</v>
      </c>
      <c r="DT21" s="422">
        <f t="shared" si="157"/>
        <v>11.864661654135281</v>
      </c>
      <c r="DU21" s="438" t="str">
        <f t="shared" si="158"/>
        <v>F9</v>
      </c>
      <c r="DV21" s="422">
        <f t="shared" si="168"/>
        <v>21.578947368421002</v>
      </c>
      <c r="DW21" s="422">
        <v>46</v>
      </c>
      <c r="DX21" s="422">
        <f t="shared" si="159"/>
        <v>67.578947368420998</v>
      </c>
      <c r="DY21" s="438" t="str">
        <f t="shared" si="160"/>
        <v>B3</v>
      </c>
      <c r="DZ21" s="422">
        <f t="shared" si="161"/>
        <v>21.578947368421002</v>
      </c>
      <c r="EA21" s="422">
        <v>30</v>
      </c>
      <c r="EB21" s="422">
        <f t="shared" si="162"/>
        <v>51.578947368420998</v>
      </c>
      <c r="EC21" s="438" t="str">
        <f t="shared" si="163"/>
        <v>C6</v>
      </c>
      <c r="ED21" s="422">
        <f t="shared" si="63"/>
        <v>427.91794140523666</v>
      </c>
      <c r="EE21" s="422">
        <f t="shared" si="100"/>
        <v>26.744871337827291</v>
      </c>
      <c r="EF21" s="438" t="str">
        <f t="shared" si="101"/>
        <v>F9</v>
      </c>
      <c r="EG21" s="422" t="str">
        <f t="shared" si="102"/>
        <v>FAIL</v>
      </c>
      <c r="EH21" s="439">
        <v>1</v>
      </c>
      <c r="EI21" s="422">
        <f t="shared" si="103"/>
        <v>427.91794140523666</v>
      </c>
      <c r="EJ21" s="440">
        <f t="shared" si="104"/>
        <v>0.26744871337827292</v>
      </c>
      <c r="EK21" s="438" t="s">
        <v>747</v>
      </c>
      <c r="EL21" s="438" t="s">
        <v>762</v>
      </c>
    </row>
    <row r="22" spans="1:142" ht="24" customHeight="1" thickBot="1">
      <c r="A22" s="781"/>
      <c r="B22" s="847" t="s">
        <v>371</v>
      </c>
      <c r="C22" s="848"/>
      <c r="D22" s="782" t="e">
        <f>VLOOKUP(D19,AB:EL,2,FALSE)</f>
        <v>#N/A</v>
      </c>
      <c r="E22" s="784"/>
      <c r="F22" s="809"/>
      <c r="G22" s="690"/>
      <c r="H22" s="690"/>
      <c r="I22" s="690"/>
      <c r="J22" s="846" t="s">
        <v>333</v>
      </c>
      <c r="K22" s="846"/>
      <c r="L22" s="846"/>
      <c r="M22" s="846"/>
      <c r="N22" s="849" t="e">
        <f>VLOOKUP(D19,AB:EL,5,FALSE)</f>
        <v>#N/A</v>
      </c>
      <c r="O22" s="807"/>
      <c r="P22" s="850" t="s">
        <v>334</v>
      </c>
      <c r="Q22" s="846"/>
      <c r="R22" s="846"/>
      <c r="S22" s="851" t="e">
        <f>VLOOKUP(D19,AB:EL,39,FALSE)</f>
        <v>#N/A</v>
      </c>
      <c r="T22" s="852"/>
      <c r="U22" s="853"/>
      <c r="V22" s="714"/>
      <c r="W22" s="714"/>
      <c r="X22" s="714"/>
      <c r="Y22" s="391"/>
      <c r="Z22" s="391"/>
      <c r="AA22" s="420">
        <f t="shared" si="1"/>
        <v>21</v>
      </c>
      <c r="AB22" s="435" t="s">
        <v>63</v>
      </c>
      <c r="AC22" s="422" t="s">
        <v>394</v>
      </c>
      <c r="AD22" s="422" t="s">
        <v>326</v>
      </c>
      <c r="AE22" s="422">
        <v>16.428571428571399</v>
      </c>
      <c r="AF22" s="422">
        <f>'SSS1 ATTENDANCE '!FJ28</f>
        <v>128</v>
      </c>
      <c r="AG22" s="422">
        <f>'SSS1 ATTENDANCE '!FH28</f>
        <v>126</v>
      </c>
      <c r="AH22" s="422">
        <f>'SSS1 ATTENDANCE '!FI28</f>
        <v>2</v>
      </c>
      <c r="AI22" s="436" t="s">
        <v>594</v>
      </c>
      <c r="AJ22" s="437">
        <v>40881</v>
      </c>
      <c r="AK22" s="435" t="s">
        <v>396</v>
      </c>
      <c r="AL22" s="424">
        <v>25</v>
      </c>
      <c r="AM22" s="422">
        <v>35.392857142857103</v>
      </c>
      <c r="AN22" s="438">
        <v>4</v>
      </c>
      <c r="AO22" s="422" t="str">
        <f t="shared" si="64"/>
        <v>5</v>
      </c>
      <c r="AP22" s="438">
        <v>5</v>
      </c>
      <c r="AQ22" s="422">
        <v>4</v>
      </c>
      <c r="AR22" s="438">
        <v>4</v>
      </c>
      <c r="AS22" s="438">
        <v>4</v>
      </c>
      <c r="AT22" s="438">
        <v>4</v>
      </c>
      <c r="AU22" s="438">
        <v>3</v>
      </c>
      <c r="AV22" s="438">
        <v>4</v>
      </c>
      <c r="AW22" s="438">
        <v>4</v>
      </c>
      <c r="AX22" s="438">
        <v>3</v>
      </c>
      <c r="AY22" s="438">
        <v>4</v>
      </c>
      <c r="AZ22" s="438">
        <v>3</v>
      </c>
      <c r="BA22" s="438">
        <v>3</v>
      </c>
      <c r="BB22" s="438">
        <v>3</v>
      </c>
      <c r="BC22" s="438">
        <v>4</v>
      </c>
      <c r="BD22" s="438">
        <v>4</v>
      </c>
      <c r="BE22" s="438">
        <v>4</v>
      </c>
      <c r="BF22" s="438">
        <v>3</v>
      </c>
      <c r="BG22" s="438">
        <v>3</v>
      </c>
      <c r="BH22" s="438">
        <v>3</v>
      </c>
      <c r="BI22" s="438">
        <v>5</v>
      </c>
      <c r="BJ22" s="438">
        <v>4</v>
      </c>
      <c r="BK22" s="438">
        <v>3</v>
      </c>
      <c r="BL22" s="438">
        <v>5</v>
      </c>
      <c r="BM22" s="438">
        <v>3</v>
      </c>
      <c r="BN22" s="422" t="s">
        <v>420</v>
      </c>
      <c r="BO22" s="438">
        <v>26.6071428571429</v>
      </c>
      <c r="BP22" s="438">
        <v>-38.321428571428498</v>
      </c>
      <c r="BQ22" s="422">
        <f t="shared" si="129"/>
        <v>-11.714285714285598</v>
      </c>
      <c r="BR22" s="438" t="str">
        <f t="shared" si="130"/>
        <v/>
      </c>
      <c r="BS22" s="422">
        <v>26.6071428571429</v>
      </c>
      <c r="BT22" s="438">
        <v>-13.535714285714301</v>
      </c>
      <c r="BU22" s="422">
        <f t="shared" si="131"/>
        <v>13.0714285714286</v>
      </c>
      <c r="BV22" s="438" t="str">
        <f t="shared" si="132"/>
        <v>F9</v>
      </c>
      <c r="BW22" s="422">
        <v>26.6071428571429</v>
      </c>
      <c r="BX22" s="422">
        <v>-15.8214285714285</v>
      </c>
      <c r="BY22" s="422">
        <f t="shared" si="133"/>
        <v>10.7857142857144</v>
      </c>
      <c r="BZ22" s="438" t="str">
        <f t="shared" si="134"/>
        <v>F9</v>
      </c>
      <c r="CA22" s="422">
        <v>26.6071428571429</v>
      </c>
      <c r="CB22" s="422">
        <v>-20.3571428571429</v>
      </c>
      <c r="CC22" s="422">
        <f t="shared" si="135"/>
        <v>6.25</v>
      </c>
      <c r="CD22" s="438" t="str">
        <f t="shared" si="136"/>
        <v>F9</v>
      </c>
      <c r="CE22" s="422">
        <v>35</v>
      </c>
      <c r="CF22" s="422">
        <v>-15.4285714285715</v>
      </c>
      <c r="CG22" s="422">
        <f t="shared" si="137"/>
        <v>19.571428571428498</v>
      </c>
      <c r="CH22" s="438" t="str">
        <f t="shared" si="138"/>
        <v>F9</v>
      </c>
      <c r="CI22" s="422">
        <v>26.6071428571429</v>
      </c>
      <c r="CJ22" s="422">
        <v>9.0357142857143096</v>
      </c>
      <c r="CK22" s="422">
        <f t="shared" si="139"/>
        <v>35.64285714285721</v>
      </c>
      <c r="CL22" s="438" t="str">
        <f t="shared" si="140"/>
        <v>F9</v>
      </c>
      <c r="CM22" s="422">
        <v>26.6071428571429</v>
      </c>
      <c r="CN22" s="422"/>
      <c r="CO22" s="422"/>
      <c r="CP22" s="422">
        <f t="shared" ref="CP22" si="172">CM22</f>
        <v>26.6071428571429</v>
      </c>
      <c r="CQ22" s="422">
        <v>43.25</v>
      </c>
      <c r="CR22" s="422">
        <f t="shared" si="142"/>
        <v>69.857142857142904</v>
      </c>
      <c r="CS22" s="438" t="str">
        <f t="shared" si="143"/>
        <v>B3</v>
      </c>
      <c r="CT22" s="422"/>
      <c r="CU22" s="422"/>
      <c r="CV22" s="422">
        <f t="shared" si="144"/>
        <v>0</v>
      </c>
      <c r="CW22" s="438" t="str">
        <f t="shared" si="145"/>
        <v/>
      </c>
      <c r="CX22" s="422">
        <v>35</v>
      </c>
      <c r="CY22" s="422">
        <v>-20.3571428571429</v>
      </c>
      <c r="CZ22" s="422">
        <f t="shared" si="146"/>
        <v>14.6428571428571</v>
      </c>
      <c r="DA22" s="438" t="str">
        <f t="shared" si="147"/>
        <v>F9</v>
      </c>
      <c r="DB22" s="422">
        <f t="shared" si="164"/>
        <v>35</v>
      </c>
      <c r="DC22" s="422">
        <v>-6.9642857142857402</v>
      </c>
      <c r="DD22" s="422">
        <f t="shared" si="148"/>
        <v>28.03571428571426</v>
      </c>
      <c r="DE22" s="422" t="str">
        <f t="shared" si="149"/>
        <v>F9</v>
      </c>
      <c r="DF22" s="422">
        <f t="shared" si="150"/>
        <v>35</v>
      </c>
      <c r="DG22" s="422">
        <v>-20.3571428571429</v>
      </c>
      <c r="DH22" s="422">
        <f t="shared" si="151"/>
        <v>14.6428571428571</v>
      </c>
      <c r="DI22" s="422" t="str">
        <f t="shared" si="152"/>
        <v>F9</v>
      </c>
      <c r="DJ22" s="422">
        <f t="shared" si="165"/>
        <v>35</v>
      </c>
      <c r="DK22" s="422">
        <v>44.25</v>
      </c>
      <c r="DL22" s="422">
        <f t="shared" si="153"/>
        <v>79.25</v>
      </c>
      <c r="DM22" s="422" t="str">
        <f t="shared" si="154"/>
        <v>A</v>
      </c>
      <c r="DN22" s="422">
        <f t="shared" si="166"/>
        <v>35</v>
      </c>
      <c r="DO22" s="422">
        <v>36.107142857142897</v>
      </c>
      <c r="DP22" s="422">
        <f t="shared" si="155"/>
        <v>71.10714285714289</v>
      </c>
      <c r="DQ22" s="438" t="str">
        <f t="shared" si="156"/>
        <v>B2</v>
      </c>
      <c r="DR22" s="422">
        <f t="shared" si="167"/>
        <v>35</v>
      </c>
      <c r="DS22" s="422">
        <v>-12.3214285714285</v>
      </c>
      <c r="DT22" s="422">
        <f t="shared" si="157"/>
        <v>22.678571428571502</v>
      </c>
      <c r="DU22" s="438" t="str">
        <f t="shared" si="158"/>
        <v>F9</v>
      </c>
      <c r="DV22" s="422">
        <f t="shared" si="168"/>
        <v>35</v>
      </c>
      <c r="DW22" s="422">
        <v>45.928571428571402</v>
      </c>
      <c r="DX22" s="422">
        <f t="shared" si="159"/>
        <v>80.928571428571402</v>
      </c>
      <c r="DY22" s="438" t="str">
        <f t="shared" si="160"/>
        <v>A1</v>
      </c>
      <c r="DZ22" s="422">
        <f t="shared" si="161"/>
        <v>35</v>
      </c>
      <c r="EA22" s="422">
        <v>29.25</v>
      </c>
      <c r="EB22" s="422">
        <f t="shared" si="162"/>
        <v>64.25</v>
      </c>
      <c r="EC22" s="438" t="str">
        <f t="shared" si="163"/>
        <v>C4</v>
      </c>
      <c r="ED22" s="422">
        <f t="shared" si="63"/>
        <v>519.00000000000023</v>
      </c>
      <c r="EE22" s="422">
        <f t="shared" si="100"/>
        <v>32.437500000000014</v>
      </c>
      <c r="EF22" s="438" t="str">
        <f t="shared" si="101"/>
        <v>F9</v>
      </c>
      <c r="EG22" s="422" t="str">
        <f t="shared" si="102"/>
        <v>FAIL</v>
      </c>
      <c r="EH22" s="439">
        <v>1</v>
      </c>
      <c r="EI22" s="422">
        <f t="shared" si="103"/>
        <v>519.00000000000023</v>
      </c>
      <c r="EJ22" s="440">
        <f t="shared" si="104"/>
        <v>0.32437500000000014</v>
      </c>
      <c r="EK22" s="438" t="s">
        <v>573</v>
      </c>
      <c r="EL22" s="438" t="s">
        <v>762</v>
      </c>
    </row>
    <row r="23" spans="1:142" ht="27.75" customHeight="1" thickBot="1">
      <c r="A23" s="781"/>
      <c r="B23" s="794" t="s">
        <v>375</v>
      </c>
      <c r="C23" s="795"/>
      <c r="D23" s="849" t="e">
        <f>VLOOKUP(D19,AB:EL,3,FALSE)</f>
        <v>#N/A</v>
      </c>
      <c r="E23" s="806"/>
      <c r="F23" s="806"/>
      <c r="G23" s="807"/>
      <c r="H23" s="809"/>
      <c r="I23" s="690"/>
      <c r="J23" s="846" t="s">
        <v>335</v>
      </c>
      <c r="K23" s="846"/>
      <c r="L23" s="846"/>
      <c r="M23" s="846"/>
      <c r="N23" s="849" t="e">
        <f>VLOOKUP(D19,AB:EL,6,FALSE)</f>
        <v>#N/A</v>
      </c>
      <c r="O23" s="807"/>
      <c r="P23" s="809"/>
      <c r="Q23" s="690"/>
      <c r="R23" s="690"/>
      <c r="S23" s="690"/>
      <c r="T23" s="690"/>
      <c r="U23" s="690"/>
      <c r="V23" s="714"/>
      <c r="W23" s="714"/>
      <c r="X23" s="714"/>
      <c r="Y23" s="391"/>
      <c r="Z23" s="391"/>
      <c r="AA23" s="420">
        <f t="shared" si="1"/>
        <v>22</v>
      </c>
      <c r="AB23" s="435" t="s">
        <v>57</v>
      </c>
      <c r="AC23" s="422" t="s">
        <v>394</v>
      </c>
      <c r="AD23" s="422" t="s">
        <v>326</v>
      </c>
      <c r="AE23" s="422">
        <v>16.571428571428601</v>
      </c>
      <c r="AF23" s="422">
        <f>'SSS1 ATTENDANCE '!FJ29</f>
        <v>128</v>
      </c>
      <c r="AG23" s="422">
        <f>'SSS1 ATTENDANCE '!FH29</f>
        <v>118</v>
      </c>
      <c r="AH23" s="422">
        <f>'SSS1 ATTENDANCE '!FI29</f>
        <v>10</v>
      </c>
      <c r="AI23" s="436" t="s">
        <v>595</v>
      </c>
      <c r="AJ23" s="437">
        <v>41122</v>
      </c>
      <c r="AK23" s="435" t="s">
        <v>396</v>
      </c>
      <c r="AL23" s="424">
        <v>25</v>
      </c>
      <c r="AM23" s="422">
        <v>35.928571428571402</v>
      </c>
      <c r="AN23" s="438">
        <v>4</v>
      </c>
      <c r="AO23" s="422" t="str">
        <f t="shared" si="64"/>
        <v>5</v>
      </c>
      <c r="AP23" s="438">
        <v>5</v>
      </c>
      <c r="AQ23" s="422">
        <v>4</v>
      </c>
      <c r="AR23" s="438">
        <v>4</v>
      </c>
      <c r="AS23" s="438">
        <v>4</v>
      </c>
      <c r="AT23" s="438">
        <v>4</v>
      </c>
      <c r="AU23" s="438">
        <v>3</v>
      </c>
      <c r="AV23" s="438">
        <v>4</v>
      </c>
      <c r="AW23" s="438">
        <v>4</v>
      </c>
      <c r="AX23" s="438">
        <v>3</v>
      </c>
      <c r="AY23" s="438">
        <v>4</v>
      </c>
      <c r="AZ23" s="438">
        <v>3</v>
      </c>
      <c r="BA23" s="438">
        <v>3</v>
      </c>
      <c r="BB23" s="438">
        <v>3</v>
      </c>
      <c r="BC23" s="438">
        <v>4</v>
      </c>
      <c r="BD23" s="438">
        <v>4</v>
      </c>
      <c r="BE23" s="438">
        <v>4</v>
      </c>
      <c r="BF23" s="438">
        <v>3</v>
      </c>
      <c r="BG23" s="438">
        <v>3</v>
      </c>
      <c r="BH23" s="438">
        <v>3</v>
      </c>
      <c r="BI23" s="438">
        <v>5</v>
      </c>
      <c r="BJ23" s="438">
        <v>4</v>
      </c>
      <c r="BK23" s="438">
        <v>3</v>
      </c>
      <c r="BL23" s="438">
        <v>5</v>
      </c>
      <c r="BM23" s="438">
        <v>3</v>
      </c>
      <c r="BN23" s="422" t="s">
        <v>421</v>
      </c>
      <c r="BO23" s="422">
        <v>26.071428571428601</v>
      </c>
      <c r="BP23" s="422">
        <v>-42.5</v>
      </c>
      <c r="BQ23" s="422">
        <v>100</v>
      </c>
      <c r="BR23" s="438" t="s">
        <v>749</v>
      </c>
      <c r="BS23" s="422">
        <v>26.071428571428601</v>
      </c>
      <c r="BT23" s="422">
        <v>-16.785714285714299</v>
      </c>
      <c r="BU23" s="422">
        <v>100</v>
      </c>
      <c r="BV23" s="438" t="s">
        <v>749</v>
      </c>
      <c r="BW23" s="422">
        <v>26.071428571428601</v>
      </c>
      <c r="BX23" s="422">
        <v>-18.928571428571399</v>
      </c>
      <c r="BY23" s="422">
        <v>100</v>
      </c>
      <c r="BZ23" s="422" t="str">
        <f t="shared" ref="BZ23" si="173">BV23</f>
        <v>Grades</v>
      </c>
      <c r="CA23" s="422">
        <v>26.071428571428601</v>
      </c>
      <c r="CB23" s="422">
        <v>-23.571428571428601</v>
      </c>
      <c r="CC23" s="422">
        <v>100</v>
      </c>
      <c r="CD23" s="422" t="str">
        <f t="shared" ref="CD23" si="174">BZ23</f>
        <v>Grades</v>
      </c>
      <c r="CE23" s="422">
        <f t="shared" ref="CE23" si="175">CA23</f>
        <v>26.071428571428601</v>
      </c>
      <c r="CF23" s="422">
        <v>-18.571428571428601</v>
      </c>
      <c r="CG23" s="422">
        <v>100</v>
      </c>
      <c r="CH23" s="422" t="str">
        <f t="shared" ref="CH23" si="176">CD23</f>
        <v>Grades</v>
      </c>
      <c r="CI23" s="422">
        <v>26.071428571428601</v>
      </c>
      <c r="CJ23" s="422">
        <v>7.2142857142857197</v>
      </c>
      <c r="CK23" s="422">
        <v>100</v>
      </c>
      <c r="CL23" s="422" t="str">
        <f t="shared" ref="CL23" si="177">CH23</f>
        <v>Grades</v>
      </c>
      <c r="CM23" s="422">
        <v>26.071428571428601</v>
      </c>
      <c r="CN23" s="422">
        <v>60</v>
      </c>
      <c r="CO23" s="422"/>
      <c r="CP23" s="422">
        <v>40</v>
      </c>
      <c r="CQ23" s="422">
        <v>42.965517241379303</v>
      </c>
      <c r="CR23" s="422">
        <v>100</v>
      </c>
      <c r="CS23" s="438" t="str">
        <f t="shared" ref="CS23" si="178">CL23</f>
        <v>Grades</v>
      </c>
      <c r="CT23" s="422">
        <v>20.526315789473699</v>
      </c>
      <c r="CU23" s="422">
        <v>-17.894736842105299</v>
      </c>
      <c r="CV23" s="422">
        <v>100</v>
      </c>
      <c r="CW23" s="438" t="str">
        <f t="shared" ref="CW23" si="179">CS23</f>
        <v>Grades</v>
      </c>
      <c r="CX23" s="422">
        <v>16.6666666666667</v>
      </c>
      <c r="CY23" s="422">
        <v>-23.571428571428601</v>
      </c>
      <c r="CZ23" s="422">
        <v>100</v>
      </c>
      <c r="DA23" s="438" t="str">
        <f t="shared" ref="DA23" si="180">CW23</f>
        <v>Grades</v>
      </c>
      <c r="DB23" s="422">
        <v>-20</v>
      </c>
      <c r="DC23" s="422">
        <v>-9.6428571428571495</v>
      </c>
      <c r="DD23" s="422">
        <v>100</v>
      </c>
      <c r="DE23" s="422" t="str">
        <f t="shared" ref="DE23" si="181">DA23</f>
        <v>Grades</v>
      </c>
      <c r="DF23" s="422">
        <v>40</v>
      </c>
      <c r="DG23" s="422">
        <v>-23.571428571428601</v>
      </c>
      <c r="DH23" s="422">
        <v>100</v>
      </c>
      <c r="DI23" s="422" t="str">
        <f t="shared" ref="DI23" si="182">DE23</f>
        <v>Grades</v>
      </c>
      <c r="DJ23" s="422">
        <v>10</v>
      </c>
      <c r="DK23" s="422">
        <v>44.071428571428598</v>
      </c>
      <c r="DL23" s="422">
        <v>100</v>
      </c>
      <c r="DM23" s="422" t="str">
        <f t="shared" ref="DM23" si="183">DI23</f>
        <v>Grades</v>
      </c>
      <c r="DN23" s="422">
        <v>10</v>
      </c>
      <c r="DO23" s="422">
        <v>35.5</v>
      </c>
      <c r="DP23" s="422">
        <v>100</v>
      </c>
      <c r="DQ23" s="438" t="str">
        <f t="shared" ref="DQ23" si="184">DM23</f>
        <v>Grades</v>
      </c>
      <c r="DR23" s="422">
        <v>-50</v>
      </c>
      <c r="DS23" s="422">
        <v>-14.9285714285714</v>
      </c>
      <c r="DT23" s="422">
        <v>100</v>
      </c>
      <c r="DU23" s="438" t="str">
        <f t="shared" ref="DU23" si="185">DQ23</f>
        <v>Grades</v>
      </c>
      <c r="DV23" s="422">
        <v>10</v>
      </c>
      <c r="DW23" s="422">
        <v>45.857142857142897</v>
      </c>
      <c r="DX23" s="422">
        <v>100</v>
      </c>
      <c r="DY23" s="438" t="str">
        <f t="shared" ref="DY23" si="186">DU23</f>
        <v>Grades</v>
      </c>
      <c r="DZ23" s="422">
        <v>40</v>
      </c>
      <c r="EA23" s="422">
        <v>28.5</v>
      </c>
      <c r="EB23" s="422">
        <v>100</v>
      </c>
      <c r="EC23" s="438" t="str">
        <f t="shared" ref="EC23" si="187">DY23</f>
        <v>Grades</v>
      </c>
      <c r="ED23" s="422">
        <f t="shared" si="63"/>
        <v>1600</v>
      </c>
      <c r="EE23" s="422">
        <f t="shared" si="100"/>
        <v>100</v>
      </c>
      <c r="EF23" s="438" t="str">
        <f t="shared" si="101"/>
        <v>A1</v>
      </c>
      <c r="EG23" s="422" t="str">
        <f t="shared" si="102"/>
        <v>DISTINTION</v>
      </c>
      <c r="EH23" s="439">
        <v>1</v>
      </c>
      <c r="EI23" s="422">
        <f t="shared" si="103"/>
        <v>1600</v>
      </c>
      <c r="EJ23" s="440">
        <f t="shared" si="104"/>
        <v>1</v>
      </c>
      <c r="EK23" s="438" t="s">
        <v>573</v>
      </c>
      <c r="EL23" s="438" t="s">
        <v>762</v>
      </c>
    </row>
    <row r="24" spans="1:142" ht="21" customHeight="1" thickBot="1">
      <c r="A24" s="781"/>
      <c r="B24" s="803" t="s">
        <v>336</v>
      </c>
      <c r="C24" s="803"/>
      <c r="D24" s="803"/>
      <c r="E24" s="804"/>
      <c r="F24" s="854" t="e">
        <f>VLOOKUP(D19,AB:EL,11,FALSE)</f>
        <v>#N/A</v>
      </c>
      <c r="G24" s="855"/>
      <c r="H24" s="809"/>
      <c r="I24" s="690"/>
      <c r="J24" s="690"/>
      <c r="K24" s="690"/>
      <c r="L24" s="690"/>
      <c r="M24" s="690"/>
      <c r="N24" s="690"/>
      <c r="O24" s="690"/>
      <c r="P24" s="690"/>
      <c r="Q24" s="690"/>
      <c r="R24" s="690"/>
      <c r="S24" s="690"/>
      <c r="T24" s="690"/>
      <c r="U24" s="690"/>
      <c r="V24" s="714"/>
      <c r="W24" s="714"/>
      <c r="X24" s="714"/>
      <c r="Y24" s="391"/>
      <c r="Z24" s="391"/>
      <c r="AA24" s="420">
        <f t="shared" si="1"/>
        <v>23</v>
      </c>
      <c r="AB24" s="435" t="s">
        <v>58</v>
      </c>
      <c r="AC24" s="422" t="s">
        <v>394</v>
      </c>
      <c r="AD24" s="422" t="s">
        <v>326</v>
      </c>
      <c r="AE24" s="422">
        <v>16.714285714285701</v>
      </c>
      <c r="AF24" s="422">
        <f>'SSS1 ATTENDANCE '!FJ30</f>
        <v>128</v>
      </c>
      <c r="AG24" s="422">
        <f>'SSS1 ATTENDANCE '!FH30</f>
        <v>118</v>
      </c>
      <c r="AH24" s="422">
        <f>'SSS1 ATTENDANCE '!FI30</f>
        <v>10</v>
      </c>
      <c r="AI24" s="436" t="s">
        <v>596</v>
      </c>
      <c r="AJ24" s="437">
        <v>40844</v>
      </c>
      <c r="AK24" s="435" t="s">
        <v>396</v>
      </c>
      <c r="AL24" s="424">
        <v>25</v>
      </c>
      <c r="AM24" s="422">
        <v>36.464285714285701</v>
      </c>
      <c r="AN24" s="438">
        <v>4</v>
      </c>
      <c r="AO24" s="422" t="str">
        <f t="shared" si="64"/>
        <v>5</v>
      </c>
      <c r="AP24" s="438">
        <v>5</v>
      </c>
      <c r="AQ24" s="422">
        <v>4</v>
      </c>
      <c r="AR24" s="438">
        <v>4</v>
      </c>
      <c r="AS24" s="438">
        <v>4</v>
      </c>
      <c r="AT24" s="438">
        <v>4</v>
      </c>
      <c r="AU24" s="438">
        <v>3</v>
      </c>
      <c r="AV24" s="438">
        <v>4</v>
      </c>
      <c r="AW24" s="438">
        <v>4</v>
      </c>
      <c r="AX24" s="438">
        <v>3</v>
      </c>
      <c r="AY24" s="438">
        <v>4</v>
      </c>
      <c r="AZ24" s="438">
        <v>3</v>
      </c>
      <c r="BA24" s="438">
        <v>3</v>
      </c>
      <c r="BB24" s="438">
        <v>3</v>
      </c>
      <c r="BC24" s="438">
        <v>4</v>
      </c>
      <c r="BD24" s="438">
        <v>4</v>
      </c>
      <c r="BE24" s="438">
        <v>4</v>
      </c>
      <c r="BF24" s="438">
        <v>3</v>
      </c>
      <c r="BG24" s="438">
        <v>3</v>
      </c>
      <c r="BH24" s="438">
        <v>3</v>
      </c>
      <c r="BI24" s="438">
        <v>5</v>
      </c>
      <c r="BJ24" s="438">
        <v>4</v>
      </c>
      <c r="BK24" s="438">
        <v>3</v>
      </c>
      <c r="BL24" s="438">
        <v>5</v>
      </c>
      <c r="BM24" s="438">
        <v>3</v>
      </c>
      <c r="BN24" s="422" t="s">
        <v>422</v>
      </c>
      <c r="BO24" s="438">
        <v>25.535714285714299</v>
      </c>
      <c r="BP24" s="438">
        <v>-46.678571428571402</v>
      </c>
      <c r="BQ24" s="422">
        <f t="shared" ref="BQ24:BQ29" si="188">SUM(BO24:BP24)</f>
        <v>-21.142857142857103</v>
      </c>
      <c r="BR24" s="438" t="str">
        <f t="shared" ref="BR24:BR29" si="189">IF(BQ24&gt;=80,"A1",
IF(BQ24&gt;=75,"A",
IF(BQ24&gt;=70,"B2",
IF(BQ24&gt;=65,"B3",
IF(BQ24&gt;=60,"C4",
IF(BQ24&gt;=55,"C5",
IF(BQ24&gt;=50,"C6",
IF(BQ24&gt;=45,"D7",
IF(BQ24&gt;=40,"E8",
IF(BQ24&gt;=1,"F9",""))))))))))</f>
        <v/>
      </c>
      <c r="BS24" s="422">
        <v>25.535714285714299</v>
      </c>
      <c r="BT24" s="438">
        <v>-20.035714285714299</v>
      </c>
      <c r="BU24" s="422">
        <f t="shared" ref="BU24:BU29" si="190">SUM(BS24:BT24)</f>
        <v>5.5</v>
      </c>
      <c r="BV24" s="438" t="str">
        <f t="shared" ref="BV24:BV29" si="191">IF(BU24&gt;=80,"A1",
IF(BU24&gt;=75,"A",
IF(BU24&gt;=70,"B2",
IF(BU24&gt;=65,"B3",
IF(BU24&gt;=60,"C4",
IF(BU24&gt;=55,"C5",
IF(BU24&gt;=50,"C6",
IF(BU24&gt;=45,"D7",
IF(BU24&gt;=40,"E8",
IF(BU24&gt;=1,"F9",""))))))))))</f>
        <v>F9</v>
      </c>
      <c r="BW24" s="422">
        <v>25.535714285714299</v>
      </c>
      <c r="BX24" s="422">
        <v>-22.035714285714199</v>
      </c>
      <c r="BY24" s="422">
        <f t="shared" ref="BY24:BY29" si="192">SUM(BW24:BX24)</f>
        <v>3.5000000000000995</v>
      </c>
      <c r="BZ24" s="438" t="str">
        <f t="shared" ref="BZ24:BZ29" si="193">IF(BY24&gt;=80,"A1",
IF(BY24&gt;=75,"A",
IF(BY24&gt;=70,"B2",
IF(BY24&gt;=65,"B3",
IF(BY24&gt;=60,"C4",
IF(BY24&gt;=55,"C5",
IF(BY24&gt;=50,"C6",
IF(BY24&gt;=45,"D7",
IF(BY24&gt;=40,"E8",
IF(BY24&gt;=1,"F9",""))))))))))</f>
        <v>F9</v>
      </c>
      <c r="CA24" s="422">
        <v>25.535714285714299</v>
      </c>
      <c r="CB24" s="422">
        <v>-26.785714285714299</v>
      </c>
      <c r="CC24" s="422">
        <f t="shared" ref="CC24:CC29" si="194">SUM(CA24:CB24)</f>
        <v>-1.25</v>
      </c>
      <c r="CD24" s="438" t="str">
        <f t="shared" ref="CD24:CD29" si="195">IF(CC24&gt;=80,"A1",
IF(CC24&gt;=75,"A",
IF(CC24&gt;=70,"B2",
IF(CC24&gt;=65,"B3",
IF(CC24&gt;=60,"C4",
IF(CC24&gt;=55,"C5",
IF(CC24&gt;=50,"C6",
IF(CC24&gt;=45,"D7",
IF(CC24&gt;=40,"E8",
IF(CC24&gt;=1,"F9",""))))))))))</f>
        <v/>
      </c>
      <c r="CE24" s="422">
        <v>35</v>
      </c>
      <c r="CF24" s="422">
        <v>-21.714285714285801</v>
      </c>
      <c r="CG24" s="422">
        <f t="shared" ref="CG24:CG29" si="196">SUM(CE24:CF24)</f>
        <v>13.285714285714199</v>
      </c>
      <c r="CH24" s="438" t="str">
        <f t="shared" ref="CH24:CH29" si="197">IF(CG24&gt;=80,"A1",
IF(CG24&gt;=75,"A",
IF(CG24&gt;=70,"B2",
IF(CG24&gt;=65,"B3",
IF(CG24&gt;=60,"C4",
IF(CG24&gt;=55,"C5",
IF(CG24&gt;=50,"C6",
IF(CG24&gt;=45,"D7",
IF(CG24&gt;=40,"E8",
IF(CG24&gt;=1,"F9",""))))))))))</f>
        <v>F9</v>
      </c>
      <c r="CI24" s="422">
        <v>25.535714285714299</v>
      </c>
      <c r="CJ24" s="422">
        <v>5.3928571428571201</v>
      </c>
      <c r="CK24" s="422">
        <f t="shared" ref="CK24:CK29" si="198">SUM(CI24:CJ24)</f>
        <v>30.92857142857142</v>
      </c>
      <c r="CL24" s="438" t="str">
        <f t="shared" ref="CL24:CL29" si="199">IF(CK24&gt;=80,"A1",
IF(CK24&gt;=75,"A",
IF(CK24&gt;=70,"B2",
IF(CK24&gt;=65,"B3",
IF(CK24&gt;=60,"C4",
IF(CK24&gt;=55,"C5",
IF(CK24&gt;=50,"C6",
IF(CK24&gt;=45,"D7",
IF(CK24&gt;=40,"E8",
IF(CK24&gt;=1,"F9",""))))))))))</f>
        <v>F9</v>
      </c>
      <c r="CM24" s="422">
        <v>25.535714285714299</v>
      </c>
      <c r="CN24" s="422"/>
      <c r="CO24" s="422"/>
      <c r="CP24" s="422">
        <f t="shared" ref="CP24:CP25" si="200">CM24</f>
        <v>25.535714285714299</v>
      </c>
      <c r="CQ24" s="422">
        <v>42.681034482758598</v>
      </c>
      <c r="CR24" s="422">
        <f t="shared" ref="CR24:CR29" si="201">SUM(CP24:CQ24)</f>
        <v>68.216748768472897</v>
      </c>
      <c r="CS24" s="438" t="str">
        <f t="shared" ref="CS24:CS29" si="202">IF(CR24&gt;=80,"A1",
IF(CR24&gt;=75,"A",
IF(CR24&gt;=70,"B2",
IF(CR24&gt;=65,"B3",
IF(CR24&gt;=60,"C4",
IF(CR24&gt;=55,"C5",
IF(CR24&gt;=50,"C6",
IF(CR24&gt;=45,"D7",
IF(CR24&gt;=40,"E8",
IF(CR24&gt;=1,"F9",""))))))))))</f>
        <v>B3</v>
      </c>
      <c r="CT24" s="422">
        <v>19.473684210526301</v>
      </c>
      <c r="CU24" s="422">
        <v>-22.105263157894701</v>
      </c>
      <c r="CV24" s="422">
        <f t="shared" ref="CV24:CV29" si="203">SUM(CT24:CU24)</f>
        <v>-2.6315789473683999</v>
      </c>
      <c r="CW24" s="438" t="str">
        <f t="shared" ref="CW24:CW29" si="204">IF(CV24&gt;=80,"A1",
IF(CV24&gt;=75,"A",
IF(CV24&gt;=70,"B2",
IF(CV24&gt;=65,"B3",
IF(CV24&gt;=60,"C4",
IF(CV24&gt;=55,"C5",
IF(CV24&gt;=50,"C6",
IF(CV24&gt;=45,"D7",
IF(CV24&gt;=40,"E8",
IF(CV24&gt;=1,"F9",""))))))))))</f>
        <v/>
      </c>
      <c r="CX24" s="422">
        <v>14.1666666666667</v>
      </c>
      <c r="CY24" s="422">
        <v>-26.785714285714299</v>
      </c>
      <c r="CZ24" s="422">
        <f t="shared" ref="CZ24:CZ29" si="205">SUM(CX24:CY24)</f>
        <v>-12.619047619047599</v>
      </c>
      <c r="DA24" s="438" t="str">
        <f t="shared" ref="DA24:DA29" si="206">IF(CZ24&gt;=80,"A1",
IF(CZ24&gt;=75,"A",
IF(CZ24&gt;=70,"B2",
IF(CZ24&gt;=65,"B3",
IF(CZ24&gt;=60,"C4",
IF(CZ24&gt;=55,"C5",
IF(CZ24&gt;=50,"C6",
IF(CZ24&gt;=45,"D7",
IF(CZ24&gt;=40,"E8",
IF(CZ24&gt;=1,"F9",""))))))))))</f>
        <v/>
      </c>
      <c r="DB24" s="422">
        <v>-30</v>
      </c>
      <c r="DC24" s="422">
        <v>-12.3214285714285</v>
      </c>
      <c r="DD24" s="422">
        <f t="shared" ref="DD24:DD29" si="207">SUM(DB24:DC24)</f>
        <v>-42.321428571428498</v>
      </c>
      <c r="DE24" s="422" t="str">
        <f t="shared" ref="DE24:DE29" si="208">IF(DD24&gt;=80,"A1",
IF(DD24&gt;=75,"A",
IF(DD24&gt;=70,"B2",
IF(DD24&gt;=65,"B3",
IF(DD24&gt;=60,"C4",
IF(DD24&gt;=55,"C5",
IF(DD24&gt;=50,"C6",
IF(DD24&gt;=45,"D7",
IF(DD24&gt;=40,"E8",
IF(DD24&gt;=1,"F9",""))))))))))</f>
        <v/>
      </c>
      <c r="DF24" s="422">
        <f t="shared" ref="DF24:DF29" si="209">DB24</f>
        <v>-30</v>
      </c>
      <c r="DG24" s="422">
        <v>-26.785714285714299</v>
      </c>
      <c r="DH24" s="422">
        <f t="shared" ref="DH24:DH29" si="210">SUM(DF24:DG24)</f>
        <v>-56.785714285714299</v>
      </c>
      <c r="DI24" s="422" t="str">
        <f t="shared" ref="DI24:DI29" si="211">IF(DH24&gt;=80,"A1",
IF(DH24&gt;=75,"A",
IF(DH24&gt;=70,"B2",
IF(DH24&gt;=65,"B3",
IF(DH24&gt;=60,"C4",
IF(DH24&gt;=55,"C5",
IF(DH24&gt;=50,"C6",
IF(DH24&gt;=45,"D7",
IF(DH24&gt;=40,"E8",
IF(DH24&gt;=1,"F9",""))))))))))</f>
        <v/>
      </c>
      <c r="DJ24" s="422">
        <v>5</v>
      </c>
      <c r="DK24" s="422">
        <v>43.892857142857103</v>
      </c>
      <c r="DL24" s="422">
        <f t="shared" ref="DL24:DL29" si="212">SUM(DJ24:DK24)</f>
        <v>48.892857142857103</v>
      </c>
      <c r="DM24" s="422" t="str">
        <f t="shared" ref="DM24:DM29" si="213">IF(DL24&gt;=80,"A1",
IF(DL24&gt;=75,"A",
IF(DL24&gt;=70,"B2",
IF(DL24&gt;=65,"B3",
IF(DL24&gt;=60,"C4",
IF(DL24&gt;=55,"C5",
IF(DL24&gt;=50,"C6",
IF(DL24&gt;=45,"D7",
IF(DL24&gt;=40,"E8",
IF(DL24&gt;=1,"F9",""))))))))))</f>
        <v>D7</v>
      </c>
      <c r="DN24" s="422">
        <v>5</v>
      </c>
      <c r="DO24" s="422">
        <v>34.892857142857103</v>
      </c>
      <c r="DP24" s="422">
        <f t="shared" ref="DP24:DP29" si="214">SUM(DN24:DO24)</f>
        <v>39.892857142857103</v>
      </c>
      <c r="DQ24" s="438" t="str">
        <f t="shared" ref="DQ24:DQ29" si="215">IF(DP24&gt;=80,"A1",
IF(DP24&gt;=75,"A",
IF(DP24&gt;=70,"B2",
IF(DP24&gt;=65,"B3",
IF(DP24&gt;=60,"C4",
IF(DP24&gt;=55,"C5",
IF(DP24&gt;=50,"C6",
IF(DP24&gt;=45,"D7",
IF(DP24&gt;=40,"E8",
IF(DP24&gt;=1,"F9",""))))))))))</f>
        <v>F9</v>
      </c>
      <c r="DR24" s="422">
        <v>-65</v>
      </c>
      <c r="DS24" s="422">
        <v>-17.535714285714299</v>
      </c>
      <c r="DT24" s="422">
        <f t="shared" ref="DT24:DT29" si="216">SUM(DR24:DS24)</f>
        <v>-82.535714285714306</v>
      </c>
      <c r="DU24" s="438" t="str">
        <f t="shared" ref="DU24:DU29" si="217">IF(DT24&gt;=80,"A1",
IF(DT24&gt;=75,"A",
IF(DT24&gt;=70,"B2",
IF(DT24&gt;=65,"B3",
IF(DT24&gt;=60,"C4",
IF(DT24&gt;=55,"C5",
IF(DT24&gt;=50,"C6",
IF(DT24&gt;=45,"D7",
IF(DT24&gt;=40,"E8",
IF(DT24&gt;=1,"F9",""))))))))))</f>
        <v/>
      </c>
      <c r="DV24" s="422">
        <v>5</v>
      </c>
      <c r="DW24" s="422">
        <v>45.785714285714299</v>
      </c>
      <c r="DX24" s="422">
        <f t="shared" ref="DX24:DX29" si="218">SUM(DV24:DW24)</f>
        <v>50.785714285714299</v>
      </c>
      <c r="DY24" s="438" t="str">
        <f t="shared" ref="DY24:DY29" si="219">IF(DX24&gt;=80,"A1",
IF(DX24&gt;=75,"A",
IF(DX24&gt;=70,"B2",
IF(DX24&gt;=65,"B3",
IF(DX24&gt;=60,"C4",
IF(DX24&gt;=55,"C5",
IF(DX24&gt;=50,"C6",
IF(DX24&gt;=45,"D7",
IF(DX24&gt;=40,"E8",
IF(DX24&gt;=1,"F9",""))))))))))</f>
        <v>C6</v>
      </c>
      <c r="DZ24" s="422">
        <f t="shared" ref="DZ24:DZ29" si="220">DV24</f>
        <v>5</v>
      </c>
      <c r="EA24" s="422">
        <v>27.75</v>
      </c>
      <c r="EB24" s="422">
        <f t="shared" ref="EB24:EB29" si="221">SUM(DZ24:EA24)</f>
        <v>32.75</v>
      </c>
      <c r="EC24" s="438" t="str">
        <f t="shared" ref="EC24:EC29" si="222">IF(EB24&gt;=80,"A1",
IF(EB24&gt;=75,"A",
IF(EB24&gt;=70,"B2",
IF(EB24&gt;=65,"B3",
IF(EB24&gt;=60,"C4",
IF(EB24&gt;=55,"C5",
IF(EB24&gt;=50,"C6",
IF(EB24&gt;=45,"D7",
IF(EB24&gt;=40,"E8",
IF(EB24&gt;=1,"F9",""))))))))))</f>
        <v>F9</v>
      </c>
      <c r="ED24" s="422">
        <f t="shared" si="63"/>
        <v>74.466122202056937</v>
      </c>
      <c r="EE24" s="422">
        <f t="shared" si="100"/>
        <v>4.6541326376285586</v>
      </c>
      <c r="EF24" s="438" t="str">
        <f t="shared" si="101"/>
        <v>F9</v>
      </c>
      <c r="EG24" s="422" t="str">
        <f t="shared" si="102"/>
        <v>FAIL</v>
      </c>
      <c r="EH24" s="439">
        <v>1</v>
      </c>
      <c r="EI24" s="422">
        <f t="shared" si="103"/>
        <v>74.466122202056937</v>
      </c>
      <c r="EJ24" s="440">
        <f t="shared" si="104"/>
        <v>4.6541326376285587E-2</v>
      </c>
      <c r="EK24" s="438" t="s">
        <v>573</v>
      </c>
      <c r="EL24" s="438" t="s">
        <v>762</v>
      </c>
    </row>
    <row r="25" spans="1:142" ht="24" customHeight="1" thickBot="1">
      <c r="A25" s="781"/>
      <c r="B25" s="803" t="s">
        <v>337</v>
      </c>
      <c r="C25" s="803"/>
      <c r="D25" s="803"/>
      <c r="E25" s="804"/>
      <c r="F25" s="856" t="e">
        <f>VLOOKUP(D19,AB:EL,12,FALSE)</f>
        <v>#N/A</v>
      </c>
      <c r="G25" s="857"/>
      <c r="H25" s="809"/>
      <c r="I25" s="690"/>
      <c r="J25" s="690"/>
      <c r="K25" s="690"/>
      <c r="L25" s="690"/>
      <c r="M25" s="690"/>
      <c r="N25" s="690"/>
      <c r="O25" s="690"/>
      <c r="P25" s="690"/>
      <c r="Q25" s="690"/>
      <c r="R25" s="690"/>
      <c r="S25" s="690"/>
      <c r="T25" s="690"/>
      <c r="U25" s="690"/>
      <c r="V25" s="714"/>
      <c r="W25" s="714"/>
      <c r="X25" s="714"/>
      <c r="Y25" s="391"/>
      <c r="Z25" s="391"/>
      <c r="AA25" s="420">
        <f t="shared" si="1"/>
        <v>24</v>
      </c>
      <c r="AB25" s="435" t="s">
        <v>59</v>
      </c>
      <c r="AC25" s="422" t="s">
        <v>394</v>
      </c>
      <c r="AD25" s="422" t="s">
        <v>326</v>
      </c>
      <c r="AE25" s="422">
        <v>16.8571428571429</v>
      </c>
      <c r="AF25" s="422">
        <f>'SSS1 ATTENDANCE '!FJ31</f>
        <v>128</v>
      </c>
      <c r="AG25" s="422">
        <f>'SSS1 ATTENDANCE '!FH31</f>
        <v>126</v>
      </c>
      <c r="AH25" s="422">
        <f>'SSS1 ATTENDANCE '!FI31</f>
        <v>2</v>
      </c>
      <c r="AI25" s="436" t="s">
        <v>597</v>
      </c>
      <c r="AJ25" s="437">
        <v>40754</v>
      </c>
      <c r="AK25" s="435" t="s">
        <v>396</v>
      </c>
      <c r="AL25" s="424">
        <v>25</v>
      </c>
      <c r="AM25" s="422">
        <v>37</v>
      </c>
      <c r="AN25" s="438">
        <v>4</v>
      </c>
      <c r="AO25" s="422" t="str">
        <f t="shared" si="64"/>
        <v>5</v>
      </c>
      <c r="AP25" s="438">
        <v>5</v>
      </c>
      <c r="AQ25" s="422">
        <v>4</v>
      </c>
      <c r="AR25" s="438">
        <v>4</v>
      </c>
      <c r="AS25" s="438">
        <v>4</v>
      </c>
      <c r="AT25" s="438">
        <v>4</v>
      </c>
      <c r="AU25" s="438">
        <v>3</v>
      </c>
      <c r="AV25" s="438">
        <v>4</v>
      </c>
      <c r="AW25" s="438">
        <v>4</v>
      </c>
      <c r="AX25" s="438">
        <v>3</v>
      </c>
      <c r="AY25" s="438">
        <v>4</v>
      </c>
      <c r="AZ25" s="438">
        <v>3</v>
      </c>
      <c r="BA25" s="438">
        <v>3</v>
      </c>
      <c r="BB25" s="438">
        <v>3</v>
      </c>
      <c r="BC25" s="438">
        <v>4</v>
      </c>
      <c r="BD25" s="438">
        <v>4</v>
      </c>
      <c r="BE25" s="438">
        <v>4</v>
      </c>
      <c r="BF25" s="438">
        <v>3</v>
      </c>
      <c r="BG25" s="438">
        <v>3</v>
      </c>
      <c r="BH25" s="438">
        <v>3</v>
      </c>
      <c r="BI25" s="438">
        <v>5</v>
      </c>
      <c r="BJ25" s="438">
        <v>4</v>
      </c>
      <c r="BK25" s="438">
        <v>3</v>
      </c>
      <c r="BL25" s="438">
        <v>5</v>
      </c>
      <c r="BM25" s="438">
        <v>3</v>
      </c>
      <c r="BN25" s="422" t="s">
        <v>423</v>
      </c>
      <c r="BO25" s="438">
        <v>25</v>
      </c>
      <c r="BP25" s="438">
        <v>-50.857142857142797</v>
      </c>
      <c r="BQ25" s="422">
        <f t="shared" si="188"/>
        <v>-25.857142857142797</v>
      </c>
      <c r="BR25" s="438" t="str">
        <f t="shared" si="189"/>
        <v/>
      </c>
      <c r="BS25" s="422">
        <v>25</v>
      </c>
      <c r="BT25" s="438">
        <v>-23.285714285714299</v>
      </c>
      <c r="BU25" s="422">
        <f t="shared" si="190"/>
        <v>1.7142857142857011</v>
      </c>
      <c r="BV25" s="438" t="str">
        <f t="shared" si="191"/>
        <v>F9</v>
      </c>
      <c r="BW25" s="422">
        <v>25</v>
      </c>
      <c r="BX25" s="422">
        <v>-25.1428571428571</v>
      </c>
      <c r="BY25" s="422">
        <f t="shared" si="192"/>
        <v>-0.14285714285709972</v>
      </c>
      <c r="BZ25" s="438" t="str">
        <f t="shared" si="193"/>
        <v/>
      </c>
      <c r="CA25" s="422">
        <v>25</v>
      </c>
      <c r="CB25" s="422">
        <v>-30</v>
      </c>
      <c r="CC25" s="422">
        <f t="shared" si="194"/>
        <v>-5</v>
      </c>
      <c r="CD25" s="438" t="str">
        <f t="shared" si="195"/>
        <v/>
      </c>
      <c r="CE25" s="422">
        <v>35</v>
      </c>
      <c r="CF25" s="422">
        <v>-24.8571428571429</v>
      </c>
      <c r="CG25" s="422">
        <f t="shared" si="196"/>
        <v>10.1428571428571</v>
      </c>
      <c r="CH25" s="438" t="str">
        <f t="shared" si="197"/>
        <v>F9</v>
      </c>
      <c r="CI25" s="422">
        <v>25</v>
      </c>
      <c r="CJ25" s="422">
        <v>3.5714285714285099</v>
      </c>
      <c r="CK25" s="422">
        <f t="shared" si="198"/>
        <v>28.571428571428509</v>
      </c>
      <c r="CL25" s="438" t="str">
        <f t="shared" si="199"/>
        <v>F9</v>
      </c>
      <c r="CM25" s="422">
        <v>25</v>
      </c>
      <c r="CN25" s="422"/>
      <c r="CO25" s="422"/>
      <c r="CP25" s="422">
        <f t="shared" si="200"/>
        <v>25</v>
      </c>
      <c r="CQ25" s="422">
        <v>42.396551724138</v>
      </c>
      <c r="CR25" s="422">
        <f t="shared" si="201"/>
        <v>67.396551724137993</v>
      </c>
      <c r="CS25" s="438" t="str">
        <f t="shared" si="202"/>
        <v>B3</v>
      </c>
      <c r="CT25" s="422">
        <v>18.421052631578899</v>
      </c>
      <c r="CU25" s="422">
        <v>-26.315789473684202</v>
      </c>
      <c r="CV25" s="422">
        <f t="shared" si="203"/>
        <v>-7.8947368421053028</v>
      </c>
      <c r="CW25" s="438" t="str">
        <f t="shared" si="204"/>
        <v/>
      </c>
      <c r="CX25" s="422">
        <v>11.6666666666667</v>
      </c>
      <c r="CY25" s="422">
        <v>-30</v>
      </c>
      <c r="CZ25" s="422">
        <f t="shared" si="205"/>
        <v>-18.3333333333333</v>
      </c>
      <c r="DA25" s="438" t="str">
        <f t="shared" si="206"/>
        <v/>
      </c>
      <c r="DB25" s="422">
        <f t="shared" ref="DB25:DB29" si="223">CX25</f>
        <v>11.6666666666667</v>
      </c>
      <c r="DC25" s="422">
        <v>-15</v>
      </c>
      <c r="DD25" s="422">
        <f t="shared" si="207"/>
        <v>-3.3333333333333002</v>
      </c>
      <c r="DE25" s="422" t="str">
        <f t="shared" si="208"/>
        <v/>
      </c>
      <c r="DF25" s="422">
        <f t="shared" si="209"/>
        <v>11.6666666666667</v>
      </c>
      <c r="DG25" s="422">
        <v>-30</v>
      </c>
      <c r="DH25" s="422">
        <f t="shared" si="210"/>
        <v>-18.3333333333333</v>
      </c>
      <c r="DI25" s="422" t="str">
        <f t="shared" si="211"/>
        <v/>
      </c>
      <c r="DJ25" s="422">
        <f t="shared" ref="DJ25:DJ29" si="224">DF25</f>
        <v>11.6666666666667</v>
      </c>
      <c r="DK25" s="422">
        <v>43.714285714285701</v>
      </c>
      <c r="DL25" s="422">
        <f t="shared" si="212"/>
        <v>55.380952380952401</v>
      </c>
      <c r="DM25" s="422" t="str">
        <f t="shared" si="213"/>
        <v>C5</v>
      </c>
      <c r="DN25" s="422">
        <f t="shared" ref="DN25:DN29" si="225">DJ25</f>
        <v>11.6666666666667</v>
      </c>
      <c r="DO25" s="422">
        <v>34.285714285714299</v>
      </c>
      <c r="DP25" s="422">
        <f t="shared" si="214"/>
        <v>45.952380952380999</v>
      </c>
      <c r="DQ25" s="438" t="str">
        <f t="shared" si="215"/>
        <v>D7</v>
      </c>
      <c r="DR25" s="422">
        <f t="shared" ref="DR25:DR29" si="226">DN25</f>
        <v>11.6666666666667</v>
      </c>
      <c r="DS25" s="422">
        <v>-20.1428571428571</v>
      </c>
      <c r="DT25" s="422">
        <f t="shared" si="216"/>
        <v>-8.4761904761903999</v>
      </c>
      <c r="DU25" s="438" t="str">
        <f t="shared" si="217"/>
        <v/>
      </c>
      <c r="DV25" s="422">
        <f t="shared" ref="DV25:DV29" si="227">DR25</f>
        <v>11.6666666666667</v>
      </c>
      <c r="DW25" s="422">
        <v>45.714285714285701</v>
      </c>
      <c r="DX25" s="422">
        <f t="shared" si="218"/>
        <v>57.380952380952401</v>
      </c>
      <c r="DY25" s="438" t="str">
        <f t="shared" si="219"/>
        <v>C5</v>
      </c>
      <c r="DZ25" s="422">
        <f t="shared" si="220"/>
        <v>11.6666666666667</v>
      </c>
      <c r="EA25" s="422">
        <v>27</v>
      </c>
      <c r="EB25" s="422">
        <f t="shared" si="221"/>
        <v>38.6666666666667</v>
      </c>
      <c r="EC25" s="438" t="str">
        <f t="shared" si="222"/>
        <v>F9</v>
      </c>
      <c r="ED25" s="422">
        <f t="shared" si="63"/>
        <v>217.8351482153663</v>
      </c>
      <c r="EE25" s="422">
        <f t="shared" si="100"/>
        <v>13.614696763460394</v>
      </c>
      <c r="EF25" s="438" t="str">
        <f t="shared" si="101"/>
        <v>F9</v>
      </c>
      <c r="EG25" s="422" t="str">
        <f t="shared" si="102"/>
        <v>FAIL</v>
      </c>
      <c r="EH25" s="439">
        <v>1</v>
      </c>
      <c r="EI25" s="422">
        <f t="shared" si="103"/>
        <v>217.8351482153663</v>
      </c>
      <c r="EJ25" s="440">
        <f t="shared" si="104"/>
        <v>0.13614696763460393</v>
      </c>
      <c r="EK25" s="438" t="s">
        <v>573</v>
      </c>
      <c r="EL25" s="438" t="s">
        <v>762</v>
      </c>
    </row>
    <row r="26" spans="1:142" ht="30.75" thickBot="1">
      <c r="A26" s="781"/>
      <c r="B26" s="690"/>
      <c r="C26" s="690"/>
      <c r="D26" s="690"/>
      <c r="E26" s="690"/>
      <c r="F26" s="690"/>
      <c r="G26" s="690"/>
      <c r="H26" s="690"/>
      <c r="I26" s="690"/>
      <c r="J26" s="690"/>
      <c r="K26" s="690"/>
      <c r="L26" s="690"/>
      <c r="M26" s="690"/>
      <c r="N26" s="810" t="s">
        <v>378</v>
      </c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391"/>
      <c r="Z26" s="391"/>
      <c r="AA26" s="420">
        <f t="shared" si="1"/>
        <v>25</v>
      </c>
      <c r="AB26" s="435" t="s">
        <v>60</v>
      </c>
      <c r="AC26" s="422" t="s">
        <v>394</v>
      </c>
      <c r="AD26" s="422" t="s">
        <v>326</v>
      </c>
      <c r="AE26" s="422">
        <v>17</v>
      </c>
      <c r="AF26" s="422">
        <f>'SSS1 ATTENDANCE '!FJ32</f>
        <v>128</v>
      </c>
      <c r="AG26" s="422">
        <f>'SSS1 ATTENDANCE '!FH32</f>
        <v>96</v>
      </c>
      <c r="AH26" s="422">
        <f>'SSS1 ATTENDANCE '!FI32</f>
        <v>32</v>
      </c>
      <c r="AI26" s="436" t="s">
        <v>598</v>
      </c>
      <c r="AJ26" s="437">
        <v>40900</v>
      </c>
      <c r="AK26" s="435" t="s">
        <v>396</v>
      </c>
      <c r="AL26" s="424">
        <v>25</v>
      </c>
      <c r="AM26" s="422">
        <v>37.535714285714299</v>
      </c>
      <c r="AN26" s="438">
        <v>4</v>
      </c>
      <c r="AO26" s="422" t="str">
        <f t="shared" si="64"/>
        <v>4</v>
      </c>
      <c r="AP26" s="438">
        <v>5</v>
      </c>
      <c r="AQ26" s="422">
        <v>4</v>
      </c>
      <c r="AR26" s="438">
        <v>4</v>
      </c>
      <c r="AS26" s="438">
        <v>4</v>
      </c>
      <c r="AT26" s="438">
        <v>4</v>
      </c>
      <c r="AU26" s="438">
        <v>3</v>
      </c>
      <c r="AV26" s="438">
        <v>4</v>
      </c>
      <c r="AW26" s="438">
        <v>4</v>
      </c>
      <c r="AX26" s="438">
        <v>3</v>
      </c>
      <c r="AY26" s="438">
        <v>4</v>
      </c>
      <c r="AZ26" s="438">
        <v>3</v>
      </c>
      <c r="BA26" s="438">
        <v>3</v>
      </c>
      <c r="BB26" s="438">
        <v>3</v>
      </c>
      <c r="BC26" s="438">
        <v>4</v>
      </c>
      <c r="BD26" s="438">
        <v>4</v>
      </c>
      <c r="BE26" s="438">
        <v>4</v>
      </c>
      <c r="BF26" s="438">
        <v>3</v>
      </c>
      <c r="BG26" s="438">
        <v>3</v>
      </c>
      <c r="BH26" s="438">
        <v>3</v>
      </c>
      <c r="BI26" s="438">
        <v>5</v>
      </c>
      <c r="BJ26" s="438">
        <v>4</v>
      </c>
      <c r="BK26" s="438">
        <v>3</v>
      </c>
      <c r="BL26" s="438">
        <v>5</v>
      </c>
      <c r="BM26" s="438">
        <v>3</v>
      </c>
      <c r="BN26" s="422" t="s">
        <v>424</v>
      </c>
      <c r="BO26" s="438">
        <v>24.464285714285701</v>
      </c>
      <c r="BP26" s="438">
        <v>-55.035714285714</v>
      </c>
      <c r="BQ26" s="422">
        <f t="shared" si="188"/>
        <v>-30.571428571428299</v>
      </c>
      <c r="BR26" s="438" t="str">
        <f t="shared" si="189"/>
        <v/>
      </c>
      <c r="BS26" s="422">
        <v>24.464285714285701</v>
      </c>
      <c r="BT26" s="438">
        <v>-26.535714285714299</v>
      </c>
      <c r="BU26" s="422">
        <f t="shared" si="190"/>
        <v>-2.0714285714285978</v>
      </c>
      <c r="BV26" s="438" t="str">
        <f t="shared" si="191"/>
        <v/>
      </c>
      <c r="BW26" s="422">
        <v>24.464285714285701</v>
      </c>
      <c r="BX26" s="422">
        <v>-28.25</v>
      </c>
      <c r="BY26" s="422">
        <f t="shared" si="192"/>
        <v>-3.7857142857142989</v>
      </c>
      <c r="BZ26" s="438" t="str">
        <f t="shared" si="193"/>
        <v/>
      </c>
      <c r="CA26" s="422">
        <v>24.464285714285701</v>
      </c>
      <c r="CB26" s="422">
        <v>-33.214285714285801</v>
      </c>
      <c r="CC26" s="422">
        <f t="shared" si="194"/>
        <v>-8.7500000000000995</v>
      </c>
      <c r="CD26" s="438" t="str">
        <f t="shared" si="195"/>
        <v/>
      </c>
      <c r="CE26" s="422">
        <v>35</v>
      </c>
      <c r="CF26" s="422">
        <v>-28</v>
      </c>
      <c r="CG26" s="422">
        <f t="shared" si="196"/>
        <v>7</v>
      </c>
      <c r="CH26" s="438" t="str">
        <f t="shared" si="197"/>
        <v>F9</v>
      </c>
      <c r="CI26" s="422">
        <v>24.464285714285701</v>
      </c>
      <c r="CJ26" s="422">
        <v>1.75000000000001</v>
      </c>
      <c r="CK26" s="422">
        <f t="shared" si="198"/>
        <v>26.214285714285712</v>
      </c>
      <c r="CL26" s="438" t="str">
        <f t="shared" si="199"/>
        <v>F9</v>
      </c>
      <c r="CM26" s="422">
        <v>24.464285714285701</v>
      </c>
      <c r="CN26" s="422"/>
      <c r="CO26" s="422"/>
      <c r="CP26" s="422"/>
      <c r="CQ26" s="422">
        <v>42.112068965517302</v>
      </c>
      <c r="CR26" s="422">
        <f t="shared" si="201"/>
        <v>42.112068965517302</v>
      </c>
      <c r="CS26" s="438" t="str">
        <f t="shared" si="202"/>
        <v>E8</v>
      </c>
      <c r="CT26" s="422">
        <v>17.368421052631501</v>
      </c>
      <c r="CU26" s="422">
        <v>-30.526315789473699</v>
      </c>
      <c r="CV26" s="422">
        <f t="shared" si="203"/>
        <v>-13.157894736842199</v>
      </c>
      <c r="CW26" s="438" t="str">
        <f t="shared" si="204"/>
        <v/>
      </c>
      <c r="CX26" s="422">
        <f t="shared" ref="CX26" si="228">CT26</f>
        <v>17.368421052631501</v>
      </c>
      <c r="CY26" s="422">
        <v>-33.214285714285801</v>
      </c>
      <c r="CZ26" s="422">
        <f t="shared" si="205"/>
        <v>-15.8458646616543</v>
      </c>
      <c r="DA26" s="438" t="str">
        <f t="shared" si="206"/>
        <v/>
      </c>
      <c r="DB26" s="422">
        <f t="shared" si="223"/>
        <v>17.368421052631501</v>
      </c>
      <c r="DC26" s="422">
        <v>-17.678571428571502</v>
      </c>
      <c r="DD26" s="422">
        <f t="shared" si="207"/>
        <v>-0.31015037594000106</v>
      </c>
      <c r="DE26" s="422" t="str">
        <f t="shared" si="208"/>
        <v/>
      </c>
      <c r="DF26" s="422">
        <f t="shared" si="209"/>
        <v>17.368421052631501</v>
      </c>
      <c r="DG26" s="422">
        <v>-33.214285714285801</v>
      </c>
      <c r="DH26" s="422">
        <f t="shared" si="210"/>
        <v>-15.8458646616543</v>
      </c>
      <c r="DI26" s="422" t="str">
        <f t="shared" si="211"/>
        <v/>
      </c>
      <c r="DJ26" s="422">
        <f t="shared" si="224"/>
        <v>17.368421052631501</v>
      </c>
      <c r="DK26" s="422">
        <v>43.535714285714299</v>
      </c>
      <c r="DL26" s="422">
        <f t="shared" si="212"/>
        <v>60.904135338345796</v>
      </c>
      <c r="DM26" s="422" t="str">
        <f t="shared" si="213"/>
        <v>C4</v>
      </c>
      <c r="DN26" s="422">
        <f t="shared" si="225"/>
        <v>17.368421052631501</v>
      </c>
      <c r="DO26" s="422">
        <v>33.678571428571402</v>
      </c>
      <c r="DP26" s="422">
        <f t="shared" si="214"/>
        <v>51.046992481202906</v>
      </c>
      <c r="DQ26" s="438" t="str">
        <f t="shared" si="215"/>
        <v>C6</v>
      </c>
      <c r="DR26" s="422">
        <f t="shared" si="226"/>
        <v>17.368421052631501</v>
      </c>
      <c r="DS26" s="422">
        <v>-22.75</v>
      </c>
      <c r="DT26" s="422">
        <f t="shared" si="216"/>
        <v>-5.3815789473684994</v>
      </c>
      <c r="DU26" s="438" t="str">
        <f t="shared" si="217"/>
        <v/>
      </c>
      <c r="DV26" s="422">
        <f t="shared" si="227"/>
        <v>17.368421052631501</v>
      </c>
      <c r="DW26" s="422">
        <v>45.642857142857103</v>
      </c>
      <c r="DX26" s="422">
        <f t="shared" si="218"/>
        <v>63.0112781954886</v>
      </c>
      <c r="DY26" s="438" t="str">
        <f t="shared" si="219"/>
        <v>C4</v>
      </c>
      <c r="DZ26" s="422">
        <f t="shared" si="220"/>
        <v>17.368421052631501</v>
      </c>
      <c r="EA26" s="422">
        <v>26.25</v>
      </c>
      <c r="EB26" s="422">
        <f t="shared" si="221"/>
        <v>43.618421052631504</v>
      </c>
      <c r="EC26" s="438" t="str">
        <f t="shared" si="222"/>
        <v>E8</v>
      </c>
      <c r="ED26" s="422">
        <f t="shared" si="63"/>
        <v>198.18725693544121</v>
      </c>
      <c r="EE26" s="422">
        <f t="shared" si="100"/>
        <v>12.386703558465076</v>
      </c>
      <c r="EF26" s="438" t="str">
        <f t="shared" si="101"/>
        <v>F9</v>
      </c>
      <c r="EG26" s="422" t="str">
        <f t="shared" si="102"/>
        <v>FAIL</v>
      </c>
      <c r="EH26" s="439">
        <v>1</v>
      </c>
      <c r="EI26" s="422">
        <f t="shared" si="103"/>
        <v>198.18725693544121</v>
      </c>
      <c r="EJ26" s="440">
        <f t="shared" si="104"/>
        <v>0.12386703558465076</v>
      </c>
      <c r="EK26" s="438" t="s">
        <v>573</v>
      </c>
      <c r="EL26" s="438" t="s">
        <v>762</v>
      </c>
    </row>
    <row r="27" spans="1:142" ht="30.75">
      <c r="A27" s="781"/>
      <c r="B27" s="386"/>
      <c r="C27" s="387"/>
      <c r="D27" s="388"/>
      <c r="E27" s="811" t="s">
        <v>338</v>
      </c>
      <c r="F27" s="813" t="s">
        <v>339</v>
      </c>
      <c r="G27" s="788" t="s">
        <v>370</v>
      </c>
      <c r="H27" s="788" t="s">
        <v>372</v>
      </c>
      <c r="I27" s="790" t="s">
        <v>373</v>
      </c>
      <c r="J27" s="792" t="s">
        <v>374</v>
      </c>
      <c r="K27" s="815" t="s">
        <v>340</v>
      </c>
      <c r="L27" s="815" t="s">
        <v>341</v>
      </c>
      <c r="M27" s="382"/>
      <c r="N27" s="714"/>
      <c r="O27" s="714"/>
      <c r="P27" s="714"/>
      <c r="Q27" s="714"/>
      <c r="R27" s="714"/>
      <c r="S27" s="714"/>
      <c r="T27" s="714"/>
      <c r="U27" s="714"/>
      <c r="V27" s="714"/>
      <c r="W27" s="714"/>
      <c r="X27" s="714"/>
      <c r="Y27" s="391"/>
      <c r="Z27" s="391"/>
      <c r="AA27" s="420">
        <f t="shared" si="1"/>
        <v>26</v>
      </c>
      <c r="AB27" s="435" t="s">
        <v>61</v>
      </c>
      <c r="AC27" s="422" t="s">
        <v>394</v>
      </c>
      <c r="AD27" s="422" t="s">
        <v>326</v>
      </c>
      <c r="AE27" s="422">
        <v>17.1428571428571</v>
      </c>
      <c r="AF27" s="422">
        <f>'SSS1 ATTENDANCE '!FJ33</f>
        <v>128</v>
      </c>
      <c r="AG27" s="422">
        <f>'SSS1 ATTENDANCE '!FH33</f>
        <v>90</v>
      </c>
      <c r="AH27" s="422">
        <f>'SSS1 ATTENDANCE '!FI33</f>
        <v>38</v>
      </c>
      <c r="AI27" s="436" t="s">
        <v>599</v>
      </c>
      <c r="AJ27" s="437">
        <v>40368</v>
      </c>
      <c r="AK27" s="435" t="s">
        <v>396</v>
      </c>
      <c r="AL27" s="424">
        <v>25</v>
      </c>
      <c r="AM27" s="422">
        <v>38.071428571428498</v>
      </c>
      <c r="AN27" s="438">
        <v>4</v>
      </c>
      <c r="AO27" s="422" t="str">
        <f t="shared" si="64"/>
        <v>4</v>
      </c>
      <c r="AP27" s="438">
        <v>5</v>
      </c>
      <c r="AQ27" s="422">
        <v>4</v>
      </c>
      <c r="AR27" s="438">
        <v>4</v>
      </c>
      <c r="AS27" s="438">
        <v>4</v>
      </c>
      <c r="AT27" s="438">
        <v>4</v>
      </c>
      <c r="AU27" s="438">
        <v>3</v>
      </c>
      <c r="AV27" s="438">
        <v>4</v>
      </c>
      <c r="AW27" s="438">
        <v>4</v>
      </c>
      <c r="AX27" s="438">
        <v>3</v>
      </c>
      <c r="AY27" s="438">
        <v>4</v>
      </c>
      <c r="AZ27" s="438">
        <v>3</v>
      </c>
      <c r="BA27" s="438">
        <v>3</v>
      </c>
      <c r="BB27" s="438">
        <v>3</v>
      </c>
      <c r="BC27" s="438">
        <v>4</v>
      </c>
      <c r="BD27" s="438">
        <v>4</v>
      </c>
      <c r="BE27" s="438">
        <v>4</v>
      </c>
      <c r="BF27" s="438">
        <v>3</v>
      </c>
      <c r="BG27" s="438">
        <v>3</v>
      </c>
      <c r="BH27" s="438">
        <v>3</v>
      </c>
      <c r="BI27" s="438">
        <v>5</v>
      </c>
      <c r="BJ27" s="438">
        <v>4</v>
      </c>
      <c r="BK27" s="438">
        <v>3</v>
      </c>
      <c r="BL27" s="438">
        <v>5</v>
      </c>
      <c r="BM27" s="438">
        <v>3</v>
      </c>
      <c r="BN27" s="422" t="s">
        <v>425</v>
      </c>
      <c r="BO27" s="438">
        <v>23.928571428571502</v>
      </c>
      <c r="BP27" s="438">
        <v>-59.214285714286</v>
      </c>
      <c r="BQ27" s="422">
        <f t="shared" si="188"/>
        <v>-35.285714285714498</v>
      </c>
      <c r="BR27" s="438" t="str">
        <f t="shared" si="189"/>
        <v/>
      </c>
      <c r="BS27" s="422">
        <v>23.928571428571502</v>
      </c>
      <c r="BT27" s="438">
        <v>-29.785714285714299</v>
      </c>
      <c r="BU27" s="422">
        <f t="shared" si="190"/>
        <v>-5.8571428571427973</v>
      </c>
      <c r="BV27" s="438" t="str">
        <f t="shared" si="191"/>
        <v/>
      </c>
      <c r="BW27" s="422">
        <v>23.928571428571502</v>
      </c>
      <c r="BX27" s="422">
        <v>-31.357142857142801</v>
      </c>
      <c r="BY27" s="422">
        <f t="shared" si="192"/>
        <v>-7.4285714285712992</v>
      </c>
      <c r="BZ27" s="438" t="str">
        <f t="shared" si="193"/>
        <v/>
      </c>
      <c r="CA27" s="422">
        <v>23.928571428571502</v>
      </c>
      <c r="CB27" s="422">
        <v>-36.428571428571502</v>
      </c>
      <c r="CC27" s="422">
        <f t="shared" si="194"/>
        <v>-12.5</v>
      </c>
      <c r="CD27" s="438" t="str">
        <f t="shared" si="195"/>
        <v/>
      </c>
      <c r="CE27" s="422">
        <v>35</v>
      </c>
      <c r="CF27" s="422">
        <v>-31.142857142857199</v>
      </c>
      <c r="CG27" s="422">
        <f t="shared" si="196"/>
        <v>3.8571428571428008</v>
      </c>
      <c r="CH27" s="438" t="str">
        <f t="shared" si="197"/>
        <v>F9</v>
      </c>
      <c r="CI27" s="422">
        <v>23.928571428571502</v>
      </c>
      <c r="CJ27" s="422">
        <v>-7.1428571428583595E-2</v>
      </c>
      <c r="CK27" s="422">
        <f t="shared" si="198"/>
        <v>23.857142857142918</v>
      </c>
      <c r="CL27" s="438" t="str">
        <f t="shared" si="199"/>
        <v>F9</v>
      </c>
      <c r="CM27" s="422">
        <v>23.928571428571502</v>
      </c>
      <c r="CN27" s="422"/>
      <c r="CO27" s="422"/>
      <c r="CP27" s="422">
        <f t="shared" ref="CP27" si="229">CM27</f>
        <v>23.928571428571502</v>
      </c>
      <c r="CQ27" s="422">
        <v>41.827586206896598</v>
      </c>
      <c r="CR27" s="422">
        <f t="shared" si="201"/>
        <v>65.756157635468099</v>
      </c>
      <c r="CS27" s="438" t="str">
        <f t="shared" si="202"/>
        <v>B3</v>
      </c>
      <c r="CT27" s="422">
        <v>16.315789473684202</v>
      </c>
      <c r="CU27" s="422">
        <v>-34.7368421052632</v>
      </c>
      <c r="CV27" s="422">
        <f t="shared" si="203"/>
        <v>-18.421052631578998</v>
      </c>
      <c r="CW27" s="438" t="str">
        <f t="shared" si="204"/>
        <v/>
      </c>
      <c r="CX27" s="422">
        <v>35</v>
      </c>
      <c r="CY27" s="422">
        <v>-36.428571428571502</v>
      </c>
      <c r="CZ27" s="422">
        <f t="shared" si="205"/>
        <v>-1.4285714285715017</v>
      </c>
      <c r="DA27" s="438" t="str">
        <f t="shared" si="206"/>
        <v/>
      </c>
      <c r="DB27" s="422">
        <f t="shared" si="223"/>
        <v>35</v>
      </c>
      <c r="DC27" s="422">
        <v>-20.357142857142801</v>
      </c>
      <c r="DD27" s="422">
        <f t="shared" si="207"/>
        <v>14.642857142857199</v>
      </c>
      <c r="DE27" s="422" t="str">
        <f t="shared" si="208"/>
        <v>F9</v>
      </c>
      <c r="DF27" s="422">
        <f t="shared" si="209"/>
        <v>35</v>
      </c>
      <c r="DG27" s="422">
        <v>-36.428571428571502</v>
      </c>
      <c r="DH27" s="422">
        <f t="shared" si="210"/>
        <v>-1.4285714285715017</v>
      </c>
      <c r="DI27" s="422" t="str">
        <f t="shared" si="211"/>
        <v/>
      </c>
      <c r="DJ27" s="422">
        <f t="shared" si="224"/>
        <v>35</v>
      </c>
      <c r="DK27" s="422">
        <v>43.357142857142797</v>
      </c>
      <c r="DL27" s="422">
        <f t="shared" si="212"/>
        <v>78.357142857142804</v>
      </c>
      <c r="DM27" s="422" t="str">
        <f t="shared" si="213"/>
        <v>A</v>
      </c>
      <c r="DN27" s="422">
        <f t="shared" si="225"/>
        <v>35</v>
      </c>
      <c r="DO27" s="422">
        <v>33.071428571428598</v>
      </c>
      <c r="DP27" s="422">
        <f t="shared" si="214"/>
        <v>68.071428571428598</v>
      </c>
      <c r="DQ27" s="438" t="str">
        <f t="shared" si="215"/>
        <v>B3</v>
      </c>
      <c r="DR27" s="422">
        <f t="shared" si="226"/>
        <v>35</v>
      </c>
      <c r="DS27" s="422">
        <v>-25.357142857142801</v>
      </c>
      <c r="DT27" s="422">
        <f t="shared" si="216"/>
        <v>9.6428571428571992</v>
      </c>
      <c r="DU27" s="438" t="str">
        <f t="shared" si="217"/>
        <v>F9</v>
      </c>
      <c r="DV27" s="422">
        <f t="shared" si="227"/>
        <v>35</v>
      </c>
      <c r="DW27" s="422">
        <v>45.571428571428598</v>
      </c>
      <c r="DX27" s="422">
        <f t="shared" si="218"/>
        <v>80.571428571428598</v>
      </c>
      <c r="DY27" s="438" t="str">
        <f t="shared" si="219"/>
        <v>A1</v>
      </c>
      <c r="DZ27" s="422">
        <f t="shared" si="220"/>
        <v>35</v>
      </c>
      <c r="EA27" s="422">
        <v>25.5</v>
      </c>
      <c r="EB27" s="422">
        <f t="shared" si="221"/>
        <v>60.5</v>
      </c>
      <c r="EC27" s="438" t="str">
        <f t="shared" si="222"/>
        <v>C4</v>
      </c>
      <c r="ED27" s="422">
        <f t="shared" si="63"/>
        <v>322.90653357531761</v>
      </c>
      <c r="EE27" s="422">
        <f t="shared" si="100"/>
        <v>20.181658348457351</v>
      </c>
      <c r="EF27" s="438" t="str">
        <f t="shared" si="101"/>
        <v>F9</v>
      </c>
      <c r="EG27" s="422" t="str">
        <f t="shared" si="102"/>
        <v>FAIL</v>
      </c>
      <c r="EH27" s="439">
        <v>1</v>
      </c>
      <c r="EI27" s="422">
        <f t="shared" si="103"/>
        <v>322.90653357531761</v>
      </c>
      <c r="EJ27" s="440">
        <f t="shared" si="104"/>
        <v>0.20181658348457351</v>
      </c>
      <c r="EK27" s="438" t="s">
        <v>746</v>
      </c>
      <c r="EL27" s="438" t="s">
        <v>762</v>
      </c>
    </row>
    <row r="28" spans="1:142" ht="33" thickBot="1">
      <c r="A28" s="781"/>
      <c r="B28" s="383"/>
      <c r="C28" s="384"/>
      <c r="D28" s="385"/>
      <c r="E28" s="812"/>
      <c r="F28" s="814"/>
      <c r="G28" s="789"/>
      <c r="H28" s="789"/>
      <c r="I28" s="791"/>
      <c r="J28" s="793"/>
      <c r="K28" s="816"/>
      <c r="L28" s="816"/>
      <c r="M28" s="714"/>
      <c r="N28" s="766" t="s">
        <v>379</v>
      </c>
      <c r="O28" s="767"/>
      <c r="P28" s="817" t="s">
        <v>751</v>
      </c>
      <c r="Q28" s="818"/>
      <c r="R28" s="817" t="s">
        <v>752</v>
      </c>
      <c r="S28" s="820"/>
      <c r="T28" s="819"/>
      <c r="U28" s="819"/>
      <c r="V28" s="714"/>
      <c r="W28" s="714"/>
      <c r="X28" s="714"/>
      <c r="Y28" s="391"/>
      <c r="Z28" s="391"/>
      <c r="AA28" s="420">
        <f t="shared" si="1"/>
        <v>27</v>
      </c>
      <c r="AB28" s="435" t="s">
        <v>62</v>
      </c>
      <c r="AC28" s="422" t="s">
        <v>394</v>
      </c>
      <c r="AD28" s="422" t="s">
        <v>326</v>
      </c>
      <c r="AE28" s="422">
        <v>17.285714285714299</v>
      </c>
      <c r="AF28" s="422">
        <f>'SSS1 ATTENDANCE '!FJ34</f>
        <v>128</v>
      </c>
      <c r="AG28" s="422">
        <f>'SSS1 ATTENDANCE '!FH34</f>
        <v>96</v>
      </c>
      <c r="AH28" s="422">
        <f>'SSS1 ATTENDANCE '!FI34</f>
        <v>32</v>
      </c>
      <c r="AI28" s="436" t="s">
        <v>600</v>
      </c>
      <c r="AJ28" s="437">
        <v>40852</v>
      </c>
      <c r="AK28" s="435" t="s">
        <v>396</v>
      </c>
      <c r="AL28" s="424">
        <v>25</v>
      </c>
      <c r="AM28" s="422">
        <v>38.607142857142797</v>
      </c>
      <c r="AN28" s="438">
        <v>4</v>
      </c>
      <c r="AO28" s="422" t="str">
        <f t="shared" si="64"/>
        <v>4</v>
      </c>
      <c r="AP28" s="438">
        <v>5</v>
      </c>
      <c r="AQ28" s="422">
        <v>4</v>
      </c>
      <c r="AR28" s="438">
        <v>4</v>
      </c>
      <c r="AS28" s="438">
        <v>4</v>
      </c>
      <c r="AT28" s="438">
        <v>4</v>
      </c>
      <c r="AU28" s="438">
        <v>3</v>
      </c>
      <c r="AV28" s="438">
        <v>4</v>
      </c>
      <c r="AW28" s="438">
        <v>4</v>
      </c>
      <c r="AX28" s="438">
        <v>3</v>
      </c>
      <c r="AY28" s="438">
        <v>4</v>
      </c>
      <c r="AZ28" s="438">
        <v>3</v>
      </c>
      <c r="BA28" s="438">
        <v>3</v>
      </c>
      <c r="BB28" s="438">
        <v>3</v>
      </c>
      <c r="BC28" s="438">
        <v>4</v>
      </c>
      <c r="BD28" s="438">
        <v>4</v>
      </c>
      <c r="BE28" s="438">
        <v>4</v>
      </c>
      <c r="BF28" s="438">
        <v>3</v>
      </c>
      <c r="BG28" s="438">
        <v>3</v>
      </c>
      <c r="BH28" s="438">
        <v>3</v>
      </c>
      <c r="BI28" s="438">
        <v>5</v>
      </c>
      <c r="BJ28" s="438">
        <v>4</v>
      </c>
      <c r="BK28" s="438">
        <v>3</v>
      </c>
      <c r="BL28" s="438">
        <v>5</v>
      </c>
      <c r="BM28" s="438">
        <v>3</v>
      </c>
      <c r="BN28" s="422" t="s">
        <v>426</v>
      </c>
      <c r="BO28" s="438">
        <v>23.392857142857199</v>
      </c>
      <c r="BP28" s="438">
        <v>-63.392857142856997</v>
      </c>
      <c r="BQ28" s="422">
        <f t="shared" si="188"/>
        <v>-39.999999999999801</v>
      </c>
      <c r="BR28" s="438" t="str">
        <f t="shared" si="189"/>
        <v/>
      </c>
      <c r="BS28" s="422">
        <v>23.392857142857199</v>
      </c>
      <c r="BT28" s="438">
        <v>-33.035714285714299</v>
      </c>
      <c r="BU28" s="422">
        <f t="shared" si="190"/>
        <v>-9.6428571428570997</v>
      </c>
      <c r="BV28" s="438" t="str">
        <f t="shared" si="191"/>
        <v/>
      </c>
      <c r="BW28" s="422">
        <v>23.392857142857199</v>
      </c>
      <c r="BX28" s="422">
        <v>-34.464285714285701</v>
      </c>
      <c r="BY28" s="422">
        <f t="shared" si="192"/>
        <v>-11.071428571428502</v>
      </c>
      <c r="BZ28" s="438" t="str">
        <f t="shared" si="193"/>
        <v/>
      </c>
      <c r="CA28" s="422">
        <v>23.392857142857199</v>
      </c>
      <c r="CB28" s="422">
        <v>-39.642857142857203</v>
      </c>
      <c r="CC28" s="422">
        <f t="shared" si="194"/>
        <v>-16.250000000000004</v>
      </c>
      <c r="CD28" s="438" t="str">
        <f t="shared" si="195"/>
        <v/>
      </c>
      <c r="CE28" s="422">
        <v>35</v>
      </c>
      <c r="CF28" s="422">
        <v>-34.285714285714299</v>
      </c>
      <c r="CG28" s="422">
        <f t="shared" si="196"/>
        <v>0.71428571428570109</v>
      </c>
      <c r="CH28" s="438" t="str">
        <f t="shared" si="197"/>
        <v/>
      </c>
      <c r="CI28" s="422">
        <v>23.392857142857199</v>
      </c>
      <c r="CJ28" s="422">
        <v>-1.8928571428571801</v>
      </c>
      <c r="CK28" s="422">
        <f t="shared" si="198"/>
        <v>21.500000000000018</v>
      </c>
      <c r="CL28" s="438" t="str">
        <f t="shared" si="199"/>
        <v>F9</v>
      </c>
      <c r="CM28" s="422">
        <v>23.392857142857199</v>
      </c>
      <c r="CN28" s="422"/>
      <c r="CO28" s="422"/>
      <c r="CP28" s="422"/>
      <c r="CQ28" s="422">
        <v>41.5431034482759</v>
      </c>
      <c r="CR28" s="422">
        <f t="shared" si="201"/>
        <v>41.5431034482759</v>
      </c>
      <c r="CS28" s="438" t="str">
        <f t="shared" si="202"/>
        <v>E8</v>
      </c>
      <c r="CT28" s="422">
        <v>15.2631578947368</v>
      </c>
      <c r="CU28" s="422">
        <v>-38.947368421052602</v>
      </c>
      <c r="CV28" s="422">
        <f t="shared" si="203"/>
        <v>-23.684210526315802</v>
      </c>
      <c r="CW28" s="438" t="str">
        <f t="shared" si="204"/>
        <v/>
      </c>
      <c r="CX28" s="422">
        <f t="shared" ref="CX28" si="230">CT28</f>
        <v>15.2631578947368</v>
      </c>
      <c r="CY28" s="422">
        <v>-39.642857142857203</v>
      </c>
      <c r="CZ28" s="422">
        <f t="shared" si="205"/>
        <v>-24.379699248120403</v>
      </c>
      <c r="DA28" s="438" t="str">
        <f t="shared" si="206"/>
        <v/>
      </c>
      <c r="DB28" s="422">
        <f t="shared" si="223"/>
        <v>15.2631578947368</v>
      </c>
      <c r="DC28" s="422">
        <v>-23.035714285714299</v>
      </c>
      <c r="DD28" s="422">
        <f t="shared" si="207"/>
        <v>-7.7725563909774991</v>
      </c>
      <c r="DE28" s="422" t="str">
        <f t="shared" si="208"/>
        <v/>
      </c>
      <c r="DF28" s="422">
        <f t="shared" si="209"/>
        <v>15.2631578947368</v>
      </c>
      <c r="DG28" s="422">
        <v>-39.642857142857203</v>
      </c>
      <c r="DH28" s="422">
        <f t="shared" si="210"/>
        <v>-24.379699248120403</v>
      </c>
      <c r="DI28" s="422" t="str">
        <f t="shared" si="211"/>
        <v/>
      </c>
      <c r="DJ28" s="422">
        <f t="shared" si="224"/>
        <v>15.2631578947368</v>
      </c>
      <c r="DK28" s="422">
        <v>43.178571428571402</v>
      </c>
      <c r="DL28" s="422">
        <f t="shared" si="212"/>
        <v>58.441729323308202</v>
      </c>
      <c r="DM28" s="422" t="str">
        <f t="shared" si="213"/>
        <v>C5</v>
      </c>
      <c r="DN28" s="422">
        <f t="shared" si="225"/>
        <v>15.2631578947368</v>
      </c>
      <c r="DO28" s="422">
        <v>32.464285714285701</v>
      </c>
      <c r="DP28" s="422">
        <f t="shared" si="214"/>
        <v>47.727443609022501</v>
      </c>
      <c r="DQ28" s="438" t="str">
        <f t="shared" si="215"/>
        <v>D7</v>
      </c>
      <c r="DR28" s="422">
        <f t="shared" si="226"/>
        <v>15.2631578947368</v>
      </c>
      <c r="DS28" s="422">
        <v>-27.964285714285701</v>
      </c>
      <c r="DT28" s="422">
        <f t="shared" si="216"/>
        <v>-12.701127819548901</v>
      </c>
      <c r="DU28" s="438" t="str">
        <f t="shared" si="217"/>
        <v/>
      </c>
      <c r="DV28" s="422">
        <f t="shared" si="227"/>
        <v>15.2631578947368</v>
      </c>
      <c r="DW28" s="422">
        <v>45.5</v>
      </c>
      <c r="DX28" s="422">
        <f t="shared" si="218"/>
        <v>60.7631578947368</v>
      </c>
      <c r="DY28" s="438" t="str">
        <f t="shared" si="219"/>
        <v>C4</v>
      </c>
      <c r="DZ28" s="422">
        <f t="shared" si="220"/>
        <v>15.2631578947368</v>
      </c>
      <c r="EA28" s="422">
        <v>24.75</v>
      </c>
      <c r="EB28" s="422">
        <f t="shared" si="221"/>
        <v>40.0131578947368</v>
      </c>
      <c r="EC28" s="438" t="str">
        <f t="shared" si="222"/>
        <v>E8</v>
      </c>
      <c r="ED28" s="422">
        <f t="shared" si="63"/>
        <v>100.82129893699752</v>
      </c>
      <c r="EE28" s="422">
        <f t="shared" si="100"/>
        <v>6.3013311835623451</v>
      </c>
      <c r="EF28" s="438" t="str">
        <f t="shared" si="101"/>
        <v>F9</v>
      </c>
      <c r="EG28" s="422" t="str">
        <f t="shared" si="102"/>
        <v>FAIL</v>
      </c>
      <c r="EH28" s="439">
        <v>1</v>
      </c>
      <c r="EI28" s="422">
        <f t="shared" si="103"/>
        <v>100.82129893699752</v>
      </c>
      <c r="EJ28" s="440">
        <f t="shared" si="104"/>
        <v>6.3013311835623448E-2</v>
      </c>
      <c r="EK28" s="438" t="s">
        <v>747</v>
      </c>
      <c r="EL28" s="438" t="s">
        <v>762</v>
      </c>
    </row>
    <row r="29" spans="1:142" ht="31.5" thickBot="1">
      <c r="A29" s="781"/>
      <c r="B29" s="377" t="s">
        <v>342</v>
      </c>
      <c r="C29" s="378"/>
      <c r="D29" s="378"/>
      <c r="E29" s="381">
        <v>40</v>
      </c>
      <c r="F29" s="381">
        <v>60</v>
      </c>
      <c r="G29" s="381">
        <v>100</v>
      </c>
      <c r="H29" s="381">
        <v>100</v>
      </c>
      <c r="I29" s="381">
        <v>100</v>
      </c>
      <c r="J29" s="389"/>
      <c r="K29" s="389"/>
      <c r="L29" s="393"/>
      <c r="M29" s="714"/>
      <c r="N29" s="873" t="s">
        <v>376</v>
      </c>
      <c r="O29" s="874"/>
      <c r="P29" s="674" t="e">
        <f>VLOOKUP(D19,AB:EL,13,FALSE)</f>
        <v>#N/A</v>
      </c>
      <c r="Q29" s="680"/>
      <c r="R29" s="674" t="e">
        <f>IF(P29&gt;=6,"A1",
IF(P29&gt;=6,"A",
IF(P29&gt;=5,"EXCELLENT",
IF(P29&gt;=4,"V.GOOD",
IF(P29&gt;=3,"POOR",
IF(P29&gt;=2,"POOR",
IF(P29&gt;=2,"POOR",
IF(P29&gt;=1,"POOR",
IF(P29&gt;=0,"POOR",
IF(P29&gt;=1,"POOR",""))))))))))</f>
        <v>#N/A</v>
      </c>
      <c r="S29" s="675"/>
      <c r="T29" s="390"/>
      <c r="U29" s="390"/>
      <c r="V29" s="714"/>
      <c r="W29" s="714"/>
      <c r="X29" s="714"/>
      <c r="Y29" s="391"/>
      <c r="Z29" s="391"/>
      <c r="AA29" s="420">
        <f t="shared" si="1"/>
        <v>28</v>
      </c>
      <c r="AB29" s="435" t="s">
        <v>63</v>
      </c>
      <c r="AC29" s="422" t="s">
        <v>394</v>
      </c>
      <c r="AD29" s="422" t="s">
        <v>326</v>
      </c>
      <c r="AE29" s="422">
        <v>17.428571428571399</v>
      </c>
      <c r="AF29" s="422">
        <f>'SSS1 ATTENDANCE '!FJ35</f>
        <v>128</v>
      </c>
      <c r="AG29" s="422">
        <f>'SSS1 ATTENDANCE '!FH35</f>
        <v>112</v>
      </c>
      <c r="AH29" s="422">
        <f>'SSS1 ATTENDANCE '!FI35</f>
        <v>16</v>
      </c>
      <c r="AI29" s="436" t="s">
        <v>601</v>
      </c>
      <c r="AJ29" s="437">
        <v>40881</v>
      </c>
      <c r="AK29" s="435" t="s">
        <v>396</v>
      </c>
      <c r="AL29" s="424">
        <v>25</v>
      </c>
      <c r="AM29" s="422">
        <v>39.142857142857103</v>
      </c>
      <c r="AN29" s="438">
        <v>4</v>
      </c>
      <c r="AO29" s="422" t="str">
        <f t="shared" si="64"/>
        <v>5</v>
      </c>
      <c r="AP29" s="438">
        <v>5</v>
      </c>
      <c r="AQ29" s="422">
        <v>4</v>
      </c>
      <c r="AR29" s="438">
        <v>4</v>
      </c>
      <c r="AS29" s="438">
        <v>4</v>
      </c>
      <c r="AT29" s="438">
        <v>4</v>
      </c>
      <c r="AU29" s="438">
        <v>3</v>
      </c>
      <c r="AV29" s="438">
        <v>4</v>
      </c>
      <c r="AW29" s="438">
        <v>4</v>
      </c>
      <c r="AX29" s="438">
        <v>3</v>
      </c>
      <c r="AY29" s="438">
        <v>4</v>
      </c>
      <c r="AZ29" s="438">
        <v>3</v>
      </c>
      <c r="BA29" s="438">
        <v>3</v>
      </c>
      <c r="BB29" s="438">
        <v>3</v>
      </c>
      <c r="BC29" s="438">
        <v>4</v>
      </c>
      <c r="BD29" s="438">
        <v>4</v>
      </c>
      <c r="BE29" s="438">
        <v>4</v>
      </c>
      <c r="BF29" s="438">
        <v>3</v>
      </c>
      <c r="BG29" s="438">
        <v>3</v>
      </c>
      <c r="BH29" s="438">
        <v>3</v>
      </c>
      <c r="BI29" s="438">
        <v>5</v>
      </c>
      <c r="BJ29" s="438">
        <v>4</v>
      </c>
      <c r="BK29" s="438">
        <v>3</v>
      </c>
      <c r="BL29" s="438">
        <v>5</v>
      </c>
      <c r="BM29" s="438">
        <v>3</v>
      </c>
      <c r="BN29" s="422" t="s">
        <v>427</v>
      </c>
      <c r="BO29" s="438">
        <v>22.8571428571429</v>
      </c>
      <c r="BP29" s="438">
        <v>-67.571428571428996</v>
      </c>
      <c r="BQ29" s="422">
        <f t="shared" si="188"/>
        <v>-44.714285714286092</v>
      </c>
      <c r="BR29" s="438" t="str">
        <f t="shared" si="189"/>
        <v/>
      </c>
      <c r="BS29" s="422">
        <v>22.8571428571429</v>
      </c>
      <c r="BT29" s="438">
        <v>-36.285714285714299</v>
      </c>
      <c r="BU29" s="422">
        <f t="shared" si="190"/>
        <v>-13.428571428571399</v>
      </c>
      <c r="BV29" s="438" t="str">
        <f t="shared" si="191"/>
        <v/>
      </c>
      <c r="BW29" s="422">
        <v>22.8571428571429</v>
      </c>
      <c r="BX29" s="422">
        <v>-37.571428571428498</v>
      </c>
      <c r="BY29" s="422">
        <f t="shared" si="192"/>
        <v>-14.714285714285598</v>
      </c>
      <c r="BZ29" s="438" t="str">
        <f t="shared" si="193"/>
        <v/>
      </c>
      <c r="CA29" s="422">
        <v>22.8571428571429</v>
      </c>
      <c r="CB29" s="422">
        <v>-42.857142857142897</v>
      </c>
      <c r="CC29" s="422">
        <f t="shared" si="194"/>
        <v>-19.999999999999996</v>
      </c>
      <c r="CD29" s="438" t="str">
        <f t="shared" si="195"/>
        <v/>
      </c>
      <c r="CE29" s="422">
        <v>35</v>
      </c>
      <c r="CF29" s="422">
        <v>-37.428571428571502</v>
      </c>
      <c r="CG29" s="422">
        <f t="shared" si="196"/>
        <v>-2.4285714285715017</v>
      </c>
      <c r="CH29" s="438" t="str">
        <f t="shared" si="197"/>
        <v/>
      </c>
      <c r="CI29" s="422">
        <v>22.8571428571429</v>
      </c>
      <c r="CJ29" s="422">
        <v>-3.71428571428569</v>
      </c>
      <c r="CK29" s="422">
        <f t="shared" si="198"/>
        <v>19.14285714285721</v>
      </c>
      <c r="CL29" s="438" t="str">
        <f t="shared" si="199"/>
        <v>F9</v>
      </c>
      <c r="CM29" s="422">
        <v>22.8571428571429</v>
      </c>
      <c r="CN29" s="422"/>
      <c r="CO29" s="422"/>
      <c r="CP29" s="422">
        <f t="shared" ref="CP29" si="231">CM29</f>
        <v>22.8571428571429</v>
      </c>
      <c r="CQ29" s="422">
        <v>41.258620689655203</v>
      </c>
      <c r="CR29" s="422">
        <f t="shared" si="201"/>
        <v>64.115763546798107</v>
      </c>
      <c r="CS29" s="438" t="str">
        <f t="shared" si="202"/>
        <v>C4</v>
      </c>
      <c r="CT29" s="422"/>
      <c r="CU29" s="422"/>
      <c r="CV29" s="422">
        <f t="shared" si="203"/>
        <v>0</v>
      </c>
      <c r="CW29" s="438" t="str">
        <f t="shared" si="204"/>
        <v/>
      </c>
      <c r="CX29" s="422">
        <v>35</v>
      </c>
      <c r="CY29" s="422">
        <v>-42.857142857142897</v>
      </c>
      <c r="CZ29" s="422">
        <f t="shared" si="205"/>
        <v>-7.8571428571428967</v>
      </c>
      <c r="DA29" s="438" t="str">
        <f t="shared" si="206"/>
        <v/>
      </c>
      <c r="DB29" s="422">
        <f t="shared" si="223"/>
        <v>35</v>
      </c>
      <c r="DC29" s="422">
        <v>-25.714285714285701</v>
      </c>
      <c r="DD29" s="422">
        <f t="shared" si="207"/>
        <v>9.2857142857142989</v>
      </c>
      <c r="DE29" s="422" t="str">
        <f t="shared" si="208"/>
        <v>F9</v>
      </c>
      <c r="DF29" s="422">
        <f t="shared" si="209"/>
        <v>35</v>
      </c>
      <c r="DG29" s="422">
        <v>-42.857142857142897</v>
      </c>
      <c r="DH29" s="422">
        <f t="shared" si="210"/>
        <v>-7.8571428571428967</v>
      </c>
      <c r="DI29" s="422" t="str">
        <f t="shared" si="211"/>
        <v/>
      </c>
      <c r="DJ29" s="422">
        <f t="shared" si="224"/>
        <v>35</v>
      </c>
      <c r="DK29" s="422">
        <v>43</v>
      </c>
      <c r="DL29" s="422">
        <f t="shared" si="212"/>
        <v>78</v>
      </c>
      <c r="DM29" s="422" t="str">
        <f t="shared" si="213"/>
        <v>A</v>
      </c>
      <c r="DN29" s="422">
        <f t="shared" si="225"/>
        <v>35</v>
      </c>
      <c r="DO29" s="422">
        <v>31.8571428571429</v>
      </c>
      <c r="DP29" s="422">
        <f t="shared" si="214"/>
        <v>66.857142857142904</v>
      </c>
      <c r="DQ29" s="438" t="str">
        <f t="shared" si="215"/>
        <v>B3</v>
      </c>
      <c r="DR29" s="422">
        <f t="shared" si="226"/>
        <v>35</v>
      </c>
      <c r="DS29" s="422">
        <v>-30.571428571428498</v>
      </c>
      <c r="DT29" s="422">
        <f t="shared" si="216"/>
        <v>4.4285714285715017</v>
      </c>
      <c r="DU29" s="438" t="str">
        <f t="shared" si="217"/>
        <v>F9</v>
      </c>
      <c r="DV29" s="422">
        <f t="shared" si="227"/>
        <v>35</v>
      </c>
      <c r="DW29" s="422">
        <v>45.428571428571402</v>
      </c>
      <c r="DX29" s="422">
        <f t="shared" si="218"/>
        <v>80.428571428571402</v>
      </c>
      <c r="DY29" s="438" t="str">
        <f t="shared" si="219"/>
        <v>A1</v>
      </c>
      <c r="DZ29" s="422">
        <f t="shared" si="220"/>
        <v>35</v>
      </c>
      <c r="EA29" s="422">
        <v>24</v>
      </c>
      <c r="EB29" s="422">
        <f t="shared" si="221"/>
        <v>59</v>
      </c>
      <c r="EC29" s="438" t="str">
        <f t="shared" si="222"/>
        <v>C5</v>
      </c>
      <c r="ED29" s="422">
        <f t="shared" si="63"/>
        <v>270.25862068965506</v>
      </c>
      <c r="EE29" s="422">
        <f t="shared" si="100"/>
        <v>16.891163793103441</v>
      </c>
      <c r="EF29" s="438" t="str">
        <f t="shared" si="101"/>
        <v>F9</v>
      </c>
      <c r="EG29" s="422" t="str">
        <f t="shared" si="102"/>
        <v>FAIL</v>
      </c>
      <c r="EH29" s="439">
        <v>1</v>
      </c>
      <c r="EI29" s="422">
        <f t="shared" si="103"/>
        <v>270.25862068965506</v>
      </c>
      <c r="EJ29" s="440">
        <f t="shared" si="104"/>
        <v>0.16891163793103442</v>
      </c>
      <c r="EK29" s="438" t="s">
        <v>573</v>
      </c>
      <c r="EL29" s="438" t="s">
        <v>762</v>
      </c>
    </row>
    <row r="30" spans="1:142" ht="30.75" thickBot="1">
      <c r="A30" s="781"/>
      <c r="B30" s="798" t="s">
        <v>343</v>
      </c>
      <c r="C30" s="800"/>
      <c r="D30" s="800"/>
      <c r="E30" s="413" t="e">
        <f>VLOOKUP(D19,AB:EL,48,FALSE)</f>
        <v>#N/A</v>
      </c>
      <c r="F30" s="413" t="e">
        <f>VLOOKUP(D19,AB:EL,49,FALSE)</f>
        <v>#N/A</v>
      </c>
      <c r="G30" s="413" t="e">
        <f>VLOOKUP(D19,AB:EL,50,FALSE)</f>
        <v>#N/A</v>
      </c>
      <c r="H30" s="379"/>
      <c r="I30" s="379"/>
      <c r="J30" s="379"/>
      <c r="K30" s="413" t="e">
        <f>VLOOKUP(D19,AB:EL,51,FALSE)</f>
        <v>#N/A</v>
      </c>
      <c r="L30" s="412" t="e">
        <f>IF(K30="F9","FAIL",
IF(OR(K30="E8",K30="D7"),"PASS",
IF(OR(K30="C6",K30="C5"),"GOOD",
IF(OR(K30="C4",K30="B3",K30="B2"),"V.GOOD",
IF(OR(K30="A",K30="A1"),"EXCELLENT","")))))</f>
        <v>#N/A</v>
      </c>
      <c r="M30" s="714"/>
      <c r="N30" s="779" t="s">
        <v>266</v>
      </c>
      <c r="O30" s="780"/>
      <c r="P30" s="674" t="e">
        <f>VLOOKUP(D19,AB:EL,14,FALSE)</f>
        <v>#N/A</v>
      </c>
      <c r="Q30" s="680"/>
      <c r="R30" s="674" t="e">
        <f>IF(P30&gt;=6,"EXCELLENT",
IF(P30&gt;=6,"EXCELLENT",
IF(P30&gt;=5,"EXCELLENT",
IF(P30&gt;=4,"V.GOOD",
IF(P30&gt;=3,"POOR",
IF(P30&gt;=2,"POOR",
IF(P30&gt;=2,"POOR",
IF(P30&gt;=1,"POOR",
IF(P30&gt;=0,"POOR",
IF(P30&gt;=1,"POOR",""))))))))))</f>
        <v>#N/A</v>
      </c>
      <c r="S30" s="675"/>
      <c r="T30" s="390"/>
      <c r="U30" s="390"/>
      <c r="V30" s="714"/>
      <c r="W30" s="714"/>
      <c r="X30" s="714"/>
      <c r="Y30" s="391"/>
      <c r="Z30" s="391"/>
      <c r="AA30" s="420">
        <f t="shared" si="1"/>
        <v>29</v>
      </c>
      <c r="AB30" s="435" t="s">
        <v>57</v>
      </c>
      <c r="AC30" s="422" t="s">
        <v>394</v>
      </c>
      <c r="AD30" s="422" t="s">
        <v>326</v>
      </c>
      <c r="AE30" s="422">
        <v>17.571428571428601</v>
      </c>
      <c r="AF30" s="422">
        <f>'SSS1 ATTENDANCE '!FJ36</f>
        <v>128</v>
      </c>
      <c r="AG30" s="422">
        <f>'SSS1 ATTENDANCE '!FH36</f>
        <v>110</v>
      </c>
      <c r="AH30" s="422">
        <f>'SSS1 ATTENDANCE '!FI36</f>
        <v>18</v>
      </c>
      <c r="AI30" s="436" t="s">
        <v>602</v>
      </c>
      <c r="AJ30" s="437">
        <v>41122</v>
      </c>
      <c r="AK30" s="435" t="s">
        <v>396</v>
      </c>
      <c r="AL30" s="424">
        <v>25</v>
      </c>
      <c r="AM30" s="422">
        <v>39.678571428571402</v>
      </c>
      <c r="AN30" s="438">
        <v>4</v>
      </c>
      <c r="AO30" s="422" t="str">
        <f t="shared" si="64"/>
        <v>5</v>
      </c>
      <c r="AP30" s="438">
        <v>5</v>
      </c>
      <c r="AQ30" s="422">
        <v>4</v>
      </c>
      <c r="AR30" s="438">
        <v>4</v>
      </c>
      <c r="AS30" s="438">
        <v>4</v>
      </c>
      <c r="AT30" s="438">
        <v>4</v>
      </c>
      <c r="AU30" s="438">
        <v>3</v>
      </c>
      <c r="AV30" s="438">
        <v>4</v>
      </c>
      <c r="AW30" s="438">
        <v>4</v>
      </c>
      <c r="AX30" s="438">
        <v>3</v>
      </c>
      <c r="AY30" s="438">
        <v>4</v>
      </c>
      <c r="AZ30" s="438">
        <v>3</v>
      </c>
      <c r="BA30" s="438">
        <v>3</v>
      </c>
      <c r="BB30" s="438">
        <v>3</v>
      </c>
      <c r="BC30" s="438">
        <v>4</v>
      </c>
      <c r="BD30" s="438">
        <v>4</v>
      </c>
      <c r="BE30" s="438">
        <v>4</v>
      </c>
      <c r="BF30" s="438">
        <v>3</v>
      </c>
      <c r="BG30" s="438">
        <v>3</v>
      </c>
      <c r="BH30" s="438">
        <v>3</v>
      </c>
      <c r="BI30" s="438">
        <v>5</v>
      </c>
      <c r="BJ30" s="438">
        <v>4</v>
      </c>
      <c r="BK30" s="438">
        <v>3</v>
      </c>
      <c r="BL30" s="438">
        <v>5</v>
      </c>
      <c r="BM30" s="438">
        <v>3</v>
      </c>
      <c r="BN30" s="422" t="s">
        <v>428</v>
      </c>
      <c r="BO30" s="422">
        <v>22.321428571428601</v>
      </c>
      <c r="BP30" s="422">
        <v>-71.75</v>
      </c>
      <c r="BQ30" s="422">
        <v>100</v>
      </c>
      <c r="BR30" s="438" t="s">
        <v>749</v>
      </c>
      <c r="BS30" s="422">
        <v>22.321428571428601</v>
      </c>
      <c r="BT30" s="422">
        <v>-39.535714285714299</v>
      </c>
      <c r="BU30" s="422">
        <v>100</v>
      </c>
      <c r="BV30" s="438" t="s">
        <v>749</v>
      </c>
      <c r="BW30" s="422">
        <v>22.321428571428601</v>
      </c>
      <c r="BX30" s="422">
        <v>-40.678571428571402</v>
      </c>
      <c r="BY30" s="422">
        <v>100</v>
      </c>
      <c r="BZ30" s="422" t="str">
        <f t="shared" ref="BZ30" si="232">BV30</f>
        <v>Grades</v>
      </c>
      <c r="CA30" s="422">
        <v>22.321428571428601</v>
      </c>
      <c r="CB30" s="422">
        <v>-46.071428571428598</v>
      </c>
      <c r="CC30" s="422">
        <v>100</v>
      </c>
      <c r="CD30" s="422" t="str">
        <f t="shared" ref="CD30" si="233">BZ30</f>
        <v>Grades</v>
      </c>
      <c r="CE30" s="422">
        <f t="shared" ref="CE30" si="234">CA30</f>
        <v>22.321428571428601</v>
      </c>
      <c r="CF30" s="422">
        <v>-40.571428571428598</v>
      </c>
      <c r="CG30" s="422">
        <v>100</v>
      </c>
      <c r="CH30" s="422" t="str">
        <f t="shared" ref="CH30" si="235">CD30</f>
        <v>Grades</v>
      </c>
      <c r="CI30" s="422">
        <v>22.321428571428601</v>
      </c>
      <c r="CJ30" s="422">
        <v>-5.5357142857142803</v>
      </c>
      <c r="CK30" s="422">
        <v>100</v>
      </c>
      <c r="CL30" s="422" t="str">
        <f t="shared" ref="CL30" si="236">CH30</f>
        <v>Grades</v>
      </c>
      <c r="CM30" s="422">
        <v>22.321428571428601</v>
      </c>
      <c r="CN30" s="422">
        <v>60</v>
      </c>
      <c r="CO30" s="422"/>
      <c r="CP30" s="422">
        <v>40</v>
      </c>
      <c r="CQ30" s="422">
        <v>40.974137931034498</v>
      </c>
      <c r="CR30" s="422">
        <v>100</v>
      </c>
      <c r="CS30" s="438" t="str">
        <f t="shared" ref="CS30" si="237">CL30</f>
        <v>Grades</v>
      </c>
      <c r="CT30" s="422">
        <v>14.2105263157894</v>
      </c>
      <c r="CU30" s="422">
        <v>-43.157894736841698</v>
      </c>
      <c r="CV30" s="422">
        <v>100</v>
      </c>
      <c r="CW30" s="438" t="str">
        <f t="shared" ref="CW30" si="238">CS30</f>
        <v>Grades</v>
      </c>
      <c r="CX30" s="422">
        <v>9.1666666666666607</v>
      </c>
      <c r="CY30" s="422">
        <v>-46.071428571428598</v>
      </c>
      <c r="CZ30" s="422">
        <v>100</v>
      </c>
      <c r="DA30" s="438" t="str">
        <f t="shared" ref="DA30" si="239">CW30</f>
        <v>Grades</v>
      </c>
      <c r="DB30" s="422">
        <v>-40</v>
      </c>
      <c r="DC30" s="422">
        <v>-28.3928571428571</v>
      </c>
      <c r="DD30" s="422">
        <v>100</v>
      </c>
      <c r="DE30" s="422" t="str">
        <f t="shared" ref="DE30" si="240">DA30</f>
        <v>Grades</v>
      </c>
      <c r="DF30" s="422">
        <v>40</v>
      </c>
      <c r="DG30" s="422">
        <v>-46.071428571428598</v>
      </c>
      <c r="DH30" s="422">
        <v>100</v>
      </c>
      <c r="DI30" s="422" t="str">
        <f t="shared" ref="DI30" si="241">DE30</f>
        <v>Grades</v>
      </c>
      <c r="DJ30" s="422">
        <v>0</v>
      </c>
      <c r="DK30" s="422">
        <v>42.821428571428498</v>
      </c>
      <c r="DL30" s="422">
        <v>100</v>
      </c>
      <c r="DM30" s="422" t="str">
        <f t="shared" ref="DM30" si="242">DI30</f>
        <v>Grades</v>
      </c>
      <c r="DN30" s="422">
        <v>0</v>
      </c>
      <c r="DO30" s="422">
        <v>31.25</v>
      </c>
      <c r="DP30" s="422">
        <v>100</v>
      </c>
      <c r="DQ30" s="438" t="str">
        <f t="shared" ref="DQ30" si="243">DM30</f>
        <v>Grades</v>
      </c>
      <c r="DR30" s="422">
        <v>-80</v>
      </c>
      <c r="DS30" s="422">
        <v>-33.178571428571402</v>
      </c>
      <c r="DT30" s="422">
        <v>100</v>
      </c>
      <c r="DU30" s="438" t="str">
        <f t="shared" ref="DU30" si="244">DQ30</f>
        <v>Grades</v>
      </c>
      <c r="DV30" s="422">
        <v>0</v>
      </c>
      <c r="DW30" s="422">
        <v>45.357142857142797</v>
      </c>
      <c r="DX30" s="422">
        <v>100</v>
      </c>
      <c r="DY30" s="438" t="str">
        <f t="shared" ref="DY30" si="245">DU30</f>
        <v>Grades</v>
      </c>
      <c r="DZ30" s="422">
        <v>40</v>
      </c>
      <c r="EA30" s="422">
        <v>23.25</v>
      </c>
      <c r="EB30" s="422">
        <v>100</v>
      </c>
      <c r="EC30" s="438" t="str">
        <f t="shared" ref="EC30" si="246">DY30</f>
        <v>Grades</v>
      </c>
      <c r="ED30" s="422">
        <f t="shared" si="63"/>
        <v>1600</v>
      </c>
      <c r="EE30" s="422">
        <f t="shared" si="100"/>
        <v>100</v>
      </c>
      <c r="EF30" s="438" t="str">
        <f t="shared" si="101"/>
        <v>A1</v>
      </c>
      <c r="EG30" s="422" t="str">
        <f t="shared" si="102"/>
        <v>DISTINTION</v>
      </c>
      <c r="EH30" s="439">
        <v>1</v>
      </c>
      <c r="EI30" s="422">
        <f t="shared" si="103"/>
        <v>1600</v>
      </c>
      <c r="EJ30" s="440">
        <f t="shared" si="104"/>
        <v>1</v>
      </c>
      <c r="EK30" s="438" t="s">
        <v>573</v>
      </c>
      <c r="EL30" s="438" t="s">
        <v>762</v>
      </c>
    </row>
    <row r="31" spans="1:142" ht="30.75" thickBot="1">
      <c r="A31" s="781"/>
      <c r="B31" s="798" t="s">
        <v>344</v>
      </c>
      <c r="C31" s="799"/>
      <c r="D31" s="799"/>
      <c r="E31" s="413" t="e">
        <f>VLOOKUP(D19,AB:EL,52,FALSE)</f>
        <v>#N/A</v>
      </c>
      <c r="F31" s="413" t="e">
        <f>VLOOKUP(D19,AB:EL,53,FALSE)</f>
        <v>#N/A</v>
      </c>
      <c r="G31" s="413" t="e">
        <f>VLOOKUP(D19,AB:EL,54,FALSE)</f>
        <v>#N/A</v>
      </c>
      <c r="H31" s="379"/>
      <c r="I31" s="379"/>
      <c r="J31" s="379"/>
      <c r="K31" s="413" t="e">
        <f>VLOOKUP(D19,AB:EL,55,FALSE)</f>
        <v>#N/A</v>
      </c>
      <c r="L31" s="415" t="e">
        <f t="shared" ref="L31:L46" si="247">IF(K31="F9","FAIL",
IF(OR(K31="E8",K31="D7"),"PASS",
IF(OR(K31="C6",K31="C5"),"GOOD",
IF(OR(K31="C4",K31="B3",K31="B2"),"V.GOOD",
IF(OR(K31="A",K31="A1"),"EXCELLENT","")))))</f>
        <v>#N/A</v>
      </c>
      <c r="M31" s="714"/>
      <c r="N31" s="779" t="s">
        <v>377</v>
      </c>
      <c r="O31" s="780"/>
      <c r="P31" s="674" t="e">
        <f>VLOOKUP(D19,AB:EL,16,FALSE)</f>
        <v>#N/A</v>
      </c>
      <c r="Q31" s="680"/>
      <c r="R31" s="674" t="e">
        <f>IF(P31&gt;=6,"EXCELLENT",
IF(P31&gt;=6,"EXCELLENT",
IF(P31&gt;=5,"EXCELLENT",
IF(P31&gt;=4,"V.GOOD",
IF(P31&gt;=3,"POOR",
IF(P31&gt;=2,"POOR",
IF(P31&gt;=2,"POOR",
IF(P31&gt;=1,"POOR",
IF(P31&gt;=0,"POOR",
IF(P31&gt;=1,"POOR",""))))))))))</f>
        <v>#N/A</v>
      </c>
      <c r="S31" s="675"/>
      <c r="T31" s="390"/>
      <c r="U31" s="390"/>
      <c r="V31" s="714"/>
      <c r="W31" s="714"/>
      <c r="X31" s="714"/>
      <c r="Y31" s="391"/>
      <c r="Z31" s="391"/>
      <c r="AA31" s="420">
        <f t="shared" si="1"/>
        <v>30</v>
      </c>
      <c r="AB31" s="435" t="s">
        <v>58</v>
      </c>
      <c r="AC31" s="422" t="s">
        <v>394</v>
      </c>
      <c r="AD31" s="422" t="s">
        <v>326</v>
      </c>
      <c r="AE31" s="422">
        <v>17.714285714285701</v>
      </c>
      <c r="AF31" s="422">
        <f>'SSS1 ATTENDANCE '!FJ37</f>
        <v>128</v>
      </c>
      <c r="AG31" s="422">
        <f>'SSS1 ATTENDANCE '!FH37</f>
        <v>98</v>
      </c>
      <c r="AH31" s="422">
        <f>'SSS1 ATTENDANCE '!FI37</f>
        <v>30</v>
      </c>
      <c r="AI31" s="436" t="s">
        <v>603</v>
      </c>
      <c r="AJ31" s="437">
        <v>40844</v>
      </c>
      <c r="AK31" s="435" t="s">
        <v>396</v>
      </c>
      <c r="AL31" s="424">
        <v>25</v>
      </c>
      <c r="AM31" s="422">
        <v>40.214285714285701</v>
      </c>
      <c r="AN31" s="438">
        <v>4</v>
      </c>
      <c r="AO31" s="422" t="str">
        <f t="shared" si="64"/>
        <v>5</v>
      </c>
      <c r="AP31" s="438">
        <v>5</v>
      </c>
      <c r="AQ31" s="422">
        <v>4</v>
      </c>
      <c r="AR31" s="438">
        <v>4</v>
      </c>
      <c r="AS31" s="438">
        <v>4</v>
      </c>
      <c r="AT31" s="438">
        <v>4</v>
      </c>
      <c r="AU31" s="438">
        <v>3</v>
      </c>
      <c r="AV31" s="438">
        <v>4</v>
      </c>
      <c r="AW31" s="438">
        <v>4</v>
      </c>
      <c r="AX31" s="438">
        <v>3</v>
      </c>
      <c r="AY31" s="438">
        <v>4</v>
      </c>
      <c r="AZ31" s="438">
        <v>3</v>
      </c>
      <c r="BA31" s="438">
        <v>3</v>
      </c>
      <c r="BB31" s="438">
        <v>3</v>
      </c>
      <c r="BC31" s="438">
        <v>4</v>
      </c>
      <c r="BD31" s="438">
        <v>4</v>
      </c>
      <c r="BE31" s="438">
        <v>4</v>
      </c>
      <c r="BF31" s="438">
        <v>3</v>
      </c>
      <c r="BG31" s="438">
        <v>3</v>
      </c>
      <c r="BH31" s="438">
        <v>3</v>
      </c>
      <c r="BI31" s="438">
        <v>5</v>
      </c>
      <c r="BJ31" s="438">
        <v>4</v>
      </c>
      <c r="BK31" s="438">
        <v>3</v>
      </c>
      <c r="BL31" s="438">
        <v>5</v>
      </c>
      <c r="BM31" s="438">
        <v>3</v>
      </c>
      <c r="BN31" s="422" t="s">
        <v>429</v>
      </c>
      <c r="BO31" s="438">
        <v>21.785714285714299</v>
      </c>
      <c r="BP31" s="438">
        <v>-75.928571428571004</v>
      </c>
      <c r="BQ31" s="422">
        <f t="shared" ref="BQ31:BQ36" si="248">SUM(BO31:BP31)</f>
        <v>-54.142857142856705</v>
      </c>
      <c r="BR31" s="438" t="str">
        <f t="shared" ref="BR31:BR36" si="249">IF(BQ31&gt;=80,"A1",
IF(BQ31&gt;=75,"A",
IF(BQ31&gt;=70,"B2",
IF(BQ31&gt;=65,"B3",
IF(BQ31&gt;=60,"C4",
IF(BQ31&gt;=55,"C5",
IF(BQ31&gt;=50,"C6",
IF(BQ31&gt;=45,"D7",
IF(BQ31&gt;=40,"E8",
IF(BQ31&gt;=1,"F9",""))))))))))</f>
        <v/>
      </c>
      <c r="BS31" s="422">
        <v>21.785714285714299</v>
      </c>
      <c r="BT31" s="438">
        <v>-42.785714285714299</v>
      </c>
      <c r="BU31" s="422">
        <f t="shared" ref="BU31:BU36" si="250">SUM(BS31:BT31)</f>
        <v>-21</v>
      </c>
      <c r="BV31" s="438" t="str">
        <f t="shared" ref="BV31:BV36" si="251">IF(BU31&gt;=80,"A1",
IF(BU31&gt;=75,"A",
IF(BU31&gt;=70,"B2",
IF(BU31&gt;=65,"B3",
IF(BU31&gt;=60,"C4",
IF(BU31&gt;=55,"C5",
IF(BU31&gt;=50,"C6",
IF(BU31&gt;=45,"D7",
IF(BU31&gt;=40,"E8",
IF(BU31&gt;=1,"F9",""))))))))))</f>
        <v/>
      </c>
      <c r="BW31" s="422">
        <v>21.785714285714299</v>
      </c>
      <c r="BX31" s="422">
        <v>-43.785714285714199</v>
      </c>
      <c r="BY31" s="422">
        <f t="shared" ref="BY31:BY36" si="252">SUM(BW31:BX31)</f>
        <v>-21.999999999999901</v>
      </c>
      <c r="BZ31" s="438" t="str">
        <f t="shared" ref="BZ31:BZ36" si="253">IF(BY31&gt;=80,"A1",
IF(BY31&gt;=75,"A",
IF(BY31&gt;=70,"B2",
IF(BY31&gt;=65,"B3",
IF(BY31&gt;=60,"C4",
IF(BY31&gt;=55,"C5",
IF(BY31&gt;=50,"C6",
IF(BY31&gt;=45,"D7",
IF(BY31&gt;=40,"E8",
IF(BY31&gt;=1,"F9",""))))))))))</f>
        <v/>
      </c>
      <c r="CA31" s="422">
        <v>21.785714285714299</v>
      </c>
      <c r="CB31" s="422">
        <v>-49.285714285714398</v>
      </c>
      <c r="CC31" s="422">
        <f t="shared" ref="CC31:CC36" si="254">SUM(CA31:CB31)</f>
        <v>-27.500000000000099</v>
      </c>
      <c r="CD31" s="438" t="str">
        <f t="shared" ref="CD31:CD36" si="255">IF(CC31&gt;=80,"A1",
IF(CC31&gt;=75,"A",
IF(CC31&gt;=70,"B2",
IF(CC31&gt;=65,"B3",
IF(CC31&gt;=60,"C4",
IF(CC31&gt;=55,"C5",
IF(CC31&gt;=50,"C6",
IF(CC31&gt;=45,"D7",
IF(CC31&gt;=40,"E8",
IF(CC31&gt;=1,"F9",""))))))))))</f>
        <v/>
      </c>
      <c r="CE31" s="422">
        <v>35</v>
      </c>
      <c r="CF31" s="422">
        <v>-43.714285714285801</v>
      </c>
      <c r="CG31" s="422">
        <f t="shared" ref="CG31:CG36" si="256">SUM(CE31:CF31)</f>
        <v>-8.7142857142858006</v>
      </c>
      <c r="CH31" s="438" t="str">
        <f t="shared" ref="CH31:CH36" si="257">IF(CG31&gt;=80,"A1",
IF(CG31&gt;=75,"A",
IF(CG31&gt;=70,"B2",
IF(CG31&gt;=65,"B3",
IF(CG31&gt;=60,"C4",
IF(CG31&gt;=55,"C5",
IF(CG31&gt;=50,"C6",
IF(CG31&gt;=45,"D7",
IF(CG31&gt;=40,"E8",
IF(CG31&gt;=1,"F9",""))))))))))</f>
        <v/>
      </c>
      <c r="CI31" s="422">
        <v>21.785714285714299</v>
      </c>
      <c r="CJ31" s="422">
        <v>-7.3571428571428799</v>
      </c>
      <c r="CK31" s="422">
        <f t="shared" ref="CK31:CK36" si="258">SUM(CI31:CJ31)</f>
        <v>14.42857142857142</v>
      </c>
      <c r="CL31" s="438" t="str">
        <f t="shared" ref="CL31:CL36" si="259">IF(CK31&gt;=80,"A1",
IF(CK31&gt;=75,"A",
IF(CK31&gt;=70,"B2",
IF(CK31&gt;=65,"B3",
IF(CK31&gt;=60,"C4",
IF(CK31&gt;=55,"C5",
IF(CK31&gt;=50,"C6",
IF(CK31&gt;=45,"D7",
IF(CK31&gt;=40,"E8",
IF(CK31&gt;=1,"F9",""))))))))))</f>
        <v>F9</v>
      </c>
      <c r="CM31" s="422">
        <v>21.785714285714299</v>
      </c>
      <c r="CN31" s="422"/>
      <c r="CO31" s="422"/>
      <c r="CP31" s="422">
        <f t="shared" ref="CP31:CP32" si="260">CM31</f>
        <v>21.785714285714299</v>
      </c>
      <c r="CQ31" s="422">
        <v>40.689655172413801</v>
      </c>
      <c r="CR31" s="422">
        <f t="shared" ref="CR31:CR36" si="261">SUM(CP31:CQ31)</f>
        <v>62.4753694581281</v>
      </c>
      <c r="CS31" s="438" t="str">
        <f t="shared" ref="CS31:CS36" si="262">IF(CR31&gt;=80,"A1",
IF(CR31&gt;=75,"A",
IF(CR31&gt;=70,"B2",
IF(CR31&gt;=65,"B3",
IF(CR31&gt;=60,"C4",
IF(CR31&gt;=55,"C5",
IF(CR31&gt;=50,"C6",
IF(CR31&gt;=45,"D7",
IF(CR31&gt;=40,"E8",
IF(CR31&gt;=1,"F9",""))))))))))</f>
        <v>C4</v>
      </c>
      <c r="CT31" s="422">
        <v>13.157894736842101</v>
      </c>
      <c r="CU31" s="422">
        <v>-47.368421052631703</v>
      </c>
      <c r="CV31" s="422">
        <f t="shared" ref="CV31:CV36" si="263">SUM(CT31:CU31)</f>
        <v>-34.2105263157896</v>
      </c>
      <c r="CW31" s="438" t="str">
        <f t="shared" ref="CW31:CW36" si="264">IF(CV31&gt;=80,"A1",
IF(CV31&gt;=75,"A",
IF(CV31&gt;=70,"B2",
IF(CV31&gt;=65,"B3",
IF(CV31&gt;=60,"C4",
IF(CV31&gt;=55,"C5",
IF(CV31&gt;=50,"C6",
IF(CV31&gt;=45,"D7",
IF(CV31&gt;=40,"E8",
IF(CV31&gt;=1,"F9",""))))))))))</f>
        <v/>
      </c>
      <c r="CX31" s="422">
        <v>6.6666666666666599</v>
      </c>
      <c r="CY31" s="422">
        <v>-49.285714285714398</v>
      </c>
      <c r="CZ31" s="422">
        <f t="shared" ref="CZ31:CZ36" si="265">SUM(CX31:CY31)</f>
        <v>-42.619047619047741</v>
      </c>
      <c r="DA31" s="438" t="str">
        <f t="shared" ref="DA31:DA36" si="266">IF(CZ31&gt;=80,"A1",
IF(CZ31&gt;=75,"A",
IF(CZ31&gt;=70,"B2",
IF(CZ31&gt;=65,"B3",
IF(CZ31&gt;=60,"C4",
IF(CZ31&gt;=55,"C5",
IF(CZ31&gt;=50,"C6",
IF(CZ31&gt;=45,"D7",
IF(CZ31&gt;=40,"E8",
IF(CZ31&gt;=1,"F9",""))))))))))</f>
        <v/>
      </c>
      <c r="DB31" s="422">
        <v>-50</v>
      </c>
      <c r="DC31" s="422">
        <v>-31.071428571428498</v>
      </c>
      <c r="DD31" s="422">
        <f t="shared" ref="DD31:DD36" si="267">SUM(DB31:DC31)</f>
        <v>-81.071428571428498</v>
      </c>
      <c r="DE31" s="422" t="str">
        <f t="shared" ref="DE31:DE36" si="268">IF(DD31&gt;=80,"A1",
IF(DD31&gt;=75,"A",
IF(DD31&gt;=70,"B2",
IF(DD31&gt;=65,"B3",
IF(DD31&gt;=60,"C4",
IF(DD31&gt;=55,"C5",
IF(DD31&gt;=50,"C6",
IF(DD31&gt;=45,"D7",
IF(DD31&gt;=40,"E8",
IF(DD31&gt;=1,"F9",""))))))))))</f>
        <v/>
      </c>
      <c r="DF31" s="422">
        <f t="shared" ref="DF31:DF36" si="269">DB31</f>
        <v>-50</v>
      </c>
      <c r="DG31" s="422">
        <v>-49.285714285714398</v>
      </c>
      <c r="DH31" s="422">
        <f t="shared" ref="DH31:DH36" si="270">SUM(DF31:DG31)</f>
        <v>-99.285714285714391</v>
      </c>
      <c r="DI31" s="422" t="str">
        <f t="shared" ref="DI31:DI36" si="271">IF(DH31&gt;=80,"A1",
IF(DH31&gt;=75,"A",
IF(DH31&gt;=70,"B2",
IF(DH31&gt;=65,"B3",
IF(DH31&gt;=60,"C4",
IF(DH31&gt;=55,"C5",
IF(DH31&gt;=50,"C6",
IF(DH31&gt;=45,"D7",
IF(DH31&gt;=40,"E8",
IF(DH31&gt;=1,"F9",""))))))))))</f>
        <v/>
      </c>
      <c r="DJ31" s="422">
        <v>-5</v>
      </c>
      <c r="DK31" s="422">
        <v>42.642857142857103</v>
      </c>
      <c r="DL31" s="422">
        <f t="shared" ref="DL31:DL36" si="272">SUM(DJ31:DK31)</f>
        <v>37.642857142857103</v>
      </c>
      <c r="DM31" s="422" t="str">
        <f t="shared" ref="DM31:DM36" si="273">IF(DL31&gt;=80,"A1",
IF(DL31&gt;=75,"A",
IF(DL31&gt;=70,"B2",
IF(DL31&gt;=65,"B3",
IF(DL31&gt;=60,"C4",
IF(DL31&gt;=55,"C5",
IF(DL31&gt;=50,"C6",
IF(DL31&gt;=45,"D7",
IF(DL31&gt;=40,"E8",
IF(DL31&gt;=1,"F9",""))))))))))</f>
        <v>F9</v>
      </c>
      <c r="DN31" s="422">
        <v>-5</v>
      </c>
      <c r="DO31" s="422">
        <v>30.6428571428571</v>
      </c>
      <c r="DP31" s="422">
        <f t="shared" ref="DP31:DP36" si="274">SUM(DN31:DO31)</f>
        <v>25.6428571428571</v>
      </c>
      <c r="DQ31" s="438" t="str">
        <f t="shared" ref="DQ31:DQ36" si="275">IF(DP31&gt;=80,"A1",
IF(DP31&gt;=75,"A",
IF(DP31&gt;=70,"B2",
IF(DP31&gt;=65,"B3",
IF(DP31&gt;=60,"C4",
IF(DP31&gt;=55,"C5",
IF(DP31&gt;=50,"C6",
IF(DP31&gt;=45,"D7",
IF(DP31&gt;=40,"E8",
IF(DP31&gt;=1,"F9",""))))))))))</f>
        <v>F9</v>
      </c>
      <c r="DR31" s="422">
        <v>-95</v>
      </c>
      <c r="DS31" s="422">
        <v>-35.785714285714299</v>
      </c>
      <c r="DT31" s="422">
        <f t="shared" ref="DT31:DT36" si="276">SUM(DR31:DS31)</f>
        <v>-130.78571428571431</v>
      </c>
      <c r="DU31" s="438" t="str">
        <f t="shared" ref="DU31:DU36" si="277">IF(DT31&gt;=80,"A1",
IF(DT31&gt;=75,"A",
IF(DT31&gt;=70,"B2",
IF(DT31&gt;=65,"B3",
IF(DT31&gt;=60,"C4",
IF(DT31&gt;=55,"C5",
IF(DT31&gt;=50,"C6",
IF(DT31&gt;=45,"D7",
IF(DT31&gt;=40,"E8",
IF(DT31&gt;=1,"F9",""))))))))))</f>
        <v/>
      </c>
      <c r="DV31" s="422">
        <v>-5</v>
      </c>
      <c r="DW31" s="422">
        <v>45.285714285714299</v>
      </c>
      <c r="DX31" s="422">
        <f t="shared" ref="DX31:DX36" si="278">SUM(DV31:DW31)</f>
        <v>40.285714285714299</v>
      </c>
      <c r="DY31" s="438" t="str">
        <f t="shared" ref="DY31:DY36" si="279">IF(DX31&gt;=80,"A1",
IF(DX31&gt;=75,"A",
IF(DX31&gt;=70,"B2",
IF(DX31&gt;=65,"B3",
IF(DX31&gt;=60,"C4",
IF(DX31&gt;=55,"C5",
IF(DX31&gt;=50,"C6",
IF(DX31&gt;=45,"D7",
IF(DX31&gt;=40,"E8",
IF(DX31&gt;=1,"F9",""))))))))))</f>
        <v>E8</v>
      </c>
      <c r="DZ31" s="422">
        <f t="shared" ref="DZ31:DZ36" si="280">DV31</f>
        <v>-5</v>
      </c>
      <c r="EA31" s="422">
        <v>22.5</v>
      </c>
      <c r="EB31" s="422">
        <f t="shared" ref="EB31:EB36" si="281">SUM(DZ31:EA31)</f>
        <v>17.5</v>
      </c>
      <c r="EC31" s="438" t="str">
        <f t="shared" ref="EC31:EC36" si="282">IF(EB31&gt;=80,"A1",
IF(EB31&gt;=75,"A",
IF(EB31&gt;=70,"B2",
IF(EB31&gt;=65,"B3",
IF(EB31&gt;=60,"C4",
IF(EB31&gt;=55,"C5",
IF(EB31&gt;=50,"C6",
IF(EB31&gt;=45,"D7",
IF(EB31&gt;=40,"E8",
IF(EB31&gt;=1,"F9",""))))))))))</f>
        <v>F9</v>
      </c>
      <c r="ED31" s="422">
        <f t="shared" si="63"/>
        <v>-323.35420447670907</v>
      </c>
      <c r="EE31" s="422">
        <f t="shared" si="100"/>
        <v>-20.209637779794317</v>
      </c>
      <c r="EF31" s="438" t="str">
        <f t="shared" si="101"/>
        <v/>
      </c>
      <c r="EG31" s="422" t="str">
        <f t="shared" si="102"/>
        <v/>
      </c>
      <c r="EH31" s="439">
        <v>1</v>
      </c>
      <c r="EI31" s="422">
        <f t="shared" si="103"/>
        <v>-323.35420447670907</v>
      </c>
      <c r="EJ31" s="440">
        <f t="shared" si="104"/>
        <v>-0.20209637779794318</v>
      </c>
      <c r="EK31" s="438" t="s">
        <v>573</v>
      </c>
      <c r="EL31" s="438" t="s">
        <v>762</v>
      </c>
    </row>
    <row r="32" spans="1:142" ht="24" customHeight="1" thickBot="1">
      <c r="A32" s="781"/>
      <c r="B32" s="798" t="s">
        <v>356</v>
      </c>
      <c r="C32" s="800"/>
      <c r="D32" s="800"/>
      <c r="E32" s="413" t="e">
        <f>VLOOKUP(D19,AB:EL,56,FALSE)</f>
        <v>#N/A</v>
      </c>
      <c r="F32" s="413" t="e">
        <f>VLOOKUP(D19,AB:EL,57,FALSE)</f>
        <v>#N/A</v>
      </c>
      <c r="G32" s="413" t="e">
        <f>VLOOKUP(D19,AB:EL,58,FALSE)</f>
        <v>#N/A</v>
      </c>
      <c r="H32" s="379"/>
      <c r="I32" s="379"/>
      <c r="J32" s="379"/>
      <c r="K32" s="413" t="e">
        <f>VLOOKUP(D19,AB:EL,59,FALSE)</f>
        <v>#N/A</v>
      </c>
      <c r="L32" s="415" t="e">
        <f t="shared" si="247"/>
        <v>#N/A</v>
      </c>
      <c r="M32" s="714"/>
      <c r="N32" s="779" t="s">
        <v>386</v>
      </c>
      <c r="O32" s="780"/>
      <c r="P32" s="676" t="e">
        <f>VLOOKUP(D19,AB:EL,17,FALSE)</f>
        <v>#N/A</v>
      </c>
      <c r="Q32" s="764"/>
      <c r="R32" s="676" t="e">
        <f>IF(P32&gt;=6,"EXCELLENT",
IF(P32&gt;=6,"EXCELLENT",
IF(P32&gt;=5,"EXCELLENT",
IF(P32&gt;=4,"V.GOOD",
IF(P32&gt;=3,"POOR",
IF(P32&gt;=2,"POOR",
IF(P32&gt;=2,"POOR",
IF(P32&gt;=1,"POOR",
IF(P32&gt;=0,"POOR",
IF(P32&gt;=1,"POOR",""))))))))))</f>
        <v>#N/A</v>
      </c>
      <c r="S32" s="677"/>
      <c r="T32" s="714"/>
      <c r="U32" s="714"/>
      <c r="V32" s="714"/>
      <c r="W32" s="714"/>
      <c r="X32" s="714"/>
      <c r="Y32" s="391"/>
      <c r="Z32" s="391"/>
      <c r="AA32" s="420">
        <f t="shared" si="1"/>
        <v>31</v>
      </c>
      <c r="AB32" s="435" t="s">
        <v>59</v>
      </c>
      <c r="AC32" s="422" t="s">
        <v>394</v>
      </c>
      <c r="AD32" s="422" t="s">
        <v>326</v>
      </c>
      <c r="AE32" s="422">
        <v>17.8571428571429</v>
      </c>
      <c r="AF32" s="422">
        <f>'SSS1 ATTENDANCE '!FJ38</f>
        <v>128</v>
      </c>
      <c r="AG32" s="422">
        <f>'SSS1 ATTENDANCE '!FH38</f>
        <v>90</v>
      </c>
      <c r="AH32" s="422">
        <f>'SSS1 ATTENDANCE '!FI38</f>
        <v>38</v>
      </c>
      <c r="AI32" s="436" t="s">
        <v>604</v>
      </c>
      <c r="AJ32" s="437">
        <v>40754</v>
      </c>
      <c r="AK32" s="435" t="s">
        <v>396</v>
      </c>
      <c r="AL32" s="424">
        <v>25</v>
      </c>
      <c r="AM32" s="422">
        <v>40.75</v>
      </c>
      <c r="AN32" s="438">
        <v>4</v>
      </c>
      <c r="AO32" s="422" t="str">
        <f t="shared" si="64"/>
        <v>4</v>
      </c>
      <c r="AP32" s="438">
        <v>5</v>
      </c>
      <c r="AQ32" s="422">
        <v>4</v>
      </c>
      <c r="AR32" s="438">
        <v>4</v>
      </c>
      <c r="AS32" s="438">
        <v>4</v>
      </c>
      <c r="AT32" s="438">
        <v>4</v>
      </c>
      <c r="AU32" s="438">
        <v>3</v>
      </c>
      <c r="AV32" s="438">
        <v>4</v>
      </c>
      <c r="AW32" s="438">
        <v>4</v>
      </c>
      <c r="AX32" s="438">
        <v>3</v>
      </c>
      <c r="AY32" s="438">
        <v>4</v>
      </c>
      <c r="AZ32" s="438">
        <v>3</v>
      </c>
      <c r="BA32" s="438">
        <v>3</v>
      </c>
      <c r="BB32" s="438">
        <v>3</v>
      </c>
      <c r="BC32" s="438">
        <v>4</v>
      </c>
      <c r="BD32" s="438">
        <v>4</v>
      </c>
      <c r="BE32" s="438">
        <v>4</v>
      </c>
      <c r="BF32" s="438">
        <v>3</v>
      </c>
      <c r="BG32" s="438">
        <v>3</v>
      </c>
      <c r="BH32" s="438">
        <v>3</v>
      </c>
      <c r="BI32" s="438">
        <v>5</v>
      </c>
      <c r="BJ32" s="438">
        <v>4</v>
      </c>
      <c r="BK32" s="438">
        <v>3</v>
      </c>
      <c r="BL32" s="438">
        <v>5</v>
      </c>
      <c r="BM32" s="438">
        <v>3</v>
      </c>
      <c r="BN32" s="422" t="s">
        <v>430</v>
      </c>
      <c r="BO32" s="438">
        <v>21.25</v>
      </c>
      <c r="BP32" s="438">
        <v>-80.107142857143003</v>
      </c>
      <c r="BQ32" s="422">
        <f t="shared" si="248"/>
        <v>-58.857142857143003</v>
      </c>
      <c r="BR32" s="438" t="str">
        <f t="shared" si="249"/>
        <v/>
      </c>
      <c r="BS32" s="422">
        <v>21.25</v>
      </c>
      <c r="BT32" s="438">
        <v>-46.035714285714299</v>
      </c>
      <c r="BU32" s="422">
        <f t="shared" si="250"/>
        <v>-24.785714285714299</v>
      </c>
      <c r="BV32" s="438" t="str">
        <f t="shared" si="251"/>
        <v/>
      </c>
      <c r="BW32" s="422">
        <v>21.25</v>
      </c>
      <c r="BX32" s="422">
        <v>-46.892857142857103</v>
      </c>
      <c r="BY32" s="422">
        <f t="shared" si="252"/>
        <v>-25.642857142857103</v>
      </c>
      <c r="BZ32" s="438" t="str">
        <f t="shared" si="253"/>
        <v/>
      </c>
      <c r="CA32" s="422">
        <v>21.25</v>
      </c>
      <c r="CB32" s="422">
        <v>-52.500000000000099</v>
      </c>
      <c r="CC32" s="422">
        <f t="shared" si="254"/>
        <v>-31.250000000000099</v>
      </c>
      <c r="CD32" s="438" t="str">
        <f t="shared" si="255"/>
        <v/>
      </c>
      <c r="CE32" s="422">
        <v>35</v>
      </c>
      <c r="CF32" s="422">
        <v>-46.857142857142897</v>
      </c>
      <c r="CG32" s="422">
        <f t="shared" si="256"/>
        <v>-11.857142857142897</v>
      </c>
      <c r="CH32" s="438" t="str">
        <f t="shared" si="257"/>
        <v/>
      </c>
      <c r="CI32" s="422">
        <v>21.25</v>
      </c>
      <c r="CJ32" s="422">
        <v>-9.1785714285714892</v>
      </c>
      <c r="CK32" s="422">
        <f t="shared" si="258"/>
        <v>12.071428571428511</v>
      </c>
      <c r="CL32" s="438" t="str">
        <f t="shared" si="259"/>
        <v>F9</v>
      </c>
      <c r="CM32" s="422">
        <v>21.25</v>
      </c>
      <c r="CN32" s="422"/>
      <c r="CO32" s="422"/>
      <c r="CP32" s="422">
        <f t="shared" si="260"/>
        <v>21.25</v>
      </c>
      <c r="CQ32" s="422">
        <v>40.405172413793103</v>
      </c>
      <c r="CR32" s="422">
        <f t="shared" si="261"/>
        <v>61.655172413793103</v>
      </c>
      <c r="CS32" s="438" t="str">
        <f t="shared" si="262"/>
        <v>C4</v>
      </c>
      <c r="CT32" s="422">
        <v>12.105263157894701</v>
      </c>
      <c r="CU32" s="422">
        <v>-51.5789473684207</v>
      </c>
      <c r="CV32" s="422">
        <f t="shared" si="263"/>
        <v>-39.473684210526002</v>
      </c>
      <c r="CW32" s="438" t="str">
        <f t="shared" si="264"/>
        <v/>
      </c>
      <c r="CX32" s="422">
        <v>4.1666666666666599</v>
      </c>
      <c r="CY32" s="422">
        <v>-52.500000000000099</v>
      </c>
      <c r="CZ32" s="422">
        <f t="shared" si="265"/>
        <v>-48.333333333333442</v>
      </c>
      <c r="DA32" s="438" t="str">
        <f t="shared" si="266"/>
        <v/>
      </c>
      <c r="DB32" s="422">
        <f t="shared" ref="DB32:DB36" si="283">CX32</f>
        <v>4.1666666666666599</v>
      </c>
      <c r="DC32" s="422">
        <v>-33.75</v>
      </c>
      <c r="DD32" s="422">
        <f t="shared" si="267"/>
        <v>-29.583333333333339</v>
      </c>
      <c r="DE32" s="422" t="str">
        <f t="shared" si="268"/>
        <v/>
      </c>
      <c r="DF32" s="422">
        <f t="shared" si="269"/>
        <v>4.1666666666666599</v>
      </c>
      <c r="DG32" s="422">
        <v>-52.500000000000099</v>
      </c>
      <c r="DH32" s="422">
        <f t="shared" si="270"/>
        <v>-48.333333333333442</v>
      </c>
      <c r="DI32" s="422" t="str">
        <f t="shared" si="271"/>
        <v/>
      </c>
      <c r="DJ32" s="422">
        <f t="shared" ref="DJ32:DJ36" si="284">DF32</f>
        <v>4.1666666666666599</v>
      </c>
      <c r="DK32" s="422">
        <v>42.464285714285701</v>
      </c>
      <c r="DL32" s="422">
        <f t="shared" si="272"/>
        <v>46.630952380952358</v>
      </c>
      <c r="DM32" s="422" t="str">
        <f t="shared" si="273"/>
        <v>D7</v>
      </c>
      <c r="DN32" s="422">
        <f t="shared" ref="DN32:DN36" si="285">DJ32</f>
        <v>4.1666666666666599</v>
      </c>
      <c r="DO32" s="422">
        <v>30.035714285714299</v>
      </c>
      <c r="DP32" s="422">
        <f t="shared" si="274"/>
        <v>34.202380952380956</v>
      </c>
      <c r="DQ32" s="438" t="str">
        <f t="shared" si="275"/>
        <v>F9</v>
      </c>
      <c r="DR32" s="422">
        <f t="shared" ref="DR32:DR36" si="286">DN32</f>
        <v>4.1666666666666599</v>
      </c>
      <c r="DS32" s="422">
        <v>-38.392857142857103</v>
      </c>
      <c r="DT32" s="422">
        <f t="shared" si="276"/>
        <v>-34.226190476190446</v>
      </c>
      <c r="DU32" s="438" t="str">
        <f t="shared" si="277"/>
        <v/>
      </c>
      <c r="DV32" s="422">
        <f t="shared" ref="DV32:DV36" si="287">DR32</f>
        <v>4.1666666666666599</v>
      </c>
      <c r="DW32" s="422">
        <v>45.214285714285701</v>
      </c>
      <c r="DX32" s="422">
        <f t="shared" si="278"/>
        <v>49.380952380952358</v>
      </c>
      <c r="DY32" s="438" t="str">
        <f t="shared" si="279"/>
        <v>D7</v>
      </c>
      <c r="DZ32" s="422">
        <f t="shared" si="280"/>
        <v>4.1666666666666599</v>
      </c>
      <c r="EA32" s="422">
        <v>21.75</v>
      </c>
      <c r="EB32" s="422">
        <f t="shared" si="281"/>
        <v>25.916666666666661</v>
      </c>
      <c r="EC32" s="438" t="str">
        <f t="shared" si="282"/>
        <v>F9</v>
      </c>
      <c r="ED32" s="422">
        <f t="shared" si="63"/>
        <v>-122.48517846340013</v>
      </c>
      <c r="EE32" s="422">
        <f t="shared" si="100"/>
        <v>-7.6553236539625082</v>
      </c>
      <c r="EF32" s="438" t="str">
        <f t="shared" si="101"/>
        <v/>
      </c>
      <c r="EG32" s="422" t="str">
        <f t="shared" si="102"/>
        <v/>
      </c>
      <c r="EH32" s="439">
        <v>1</v>
      </c>
      <c r="EI32" s="422">
        <f t="shared" si="103"/>
        <v>-122.48517846340013</v>
      </c>
      <c r="EJ32" s="440">
        <f t="shared" si="104"/>
        <v>-7.6553236539625077E-2</v>
      </c>
      <c r="EK32" s="438" t="s">
        <v>573</v>
      </c>
      <c r="EL32" s="438" t="s">
        <v>762</v>
      </c>
    </row>
    <row r="33" spans="1:142" ht="30.75" thickBot="1">
      <c r="A33" s="781"/>
      <c r="B33" s="798" t="s">
        <v>357</v>
      </c>
      <c r="C33" s="799"/>
      <c r="D33" s="799"/>
      <c r="E33" s="413" t="e">
        <f>VLOOKUP(D19,AB:EL,60,FALSE)</f>
        <v>#N/A</v>
      </c>
      <c r="F33" s="413" t="e">
        <f>VLOOKUP(D19,AB:EL,61,FALSE)</f>
        <v>#N/A</v>
      </c>
      <c r="G33" s="413" t="e">
        <f>VLOOKUP(D19,AB:EL,62,FALSE)</f>
        <v>#N/A</v>
      </c>
      <c r="H33" s="413"/>
      <c r="I33" s="413"/>
      <c r="J33" s="413"/>
      <c r="K33" s="413" t="e">
        <f>VLOOKUP(D19,AB:EL,63,FALSE)</f>
        <v>#N/A</v>
      </c>
      <c r="L33" s="415" t="e">
        <f t="shared" si="247"/>
        <v>#N/A</v>
      </c>
      <c r="M33" s="714"/>
      <c r="N33" s="779"/>
      <c r="O33" s="780"/>
      <c r="P33" s="678"/>
      <c r="Q33" s="765"/>
      <c r="R33" s="678"/>
      <c r="S33" s="679"/>
      <c r="T33" s="714"/>
      <c r="U33" s="714"/>
      <c r="V33" s="714"/>
      <c r="W33" s="714"/>
      <c r="X33" s="714"/>
      <c r="Y33" s="391"/>
      <c r="Z33" s="391"/>
      <c r="AA33" s="420">
        <f t="shared" si="1"/>
        <v>32</v>
      </c>
      <c r="AB33" s="435" t="s">
        <v>60</v>
      </c>
      <c r="AC33" s="422" t="s">
        <v>394</v>
      </c>
      <c r="AD33" s="422" t="s">
        <v>326</v>
      </c>
      <c r="AE33" s="422">
        <v>18</v>
      </c>
      <c r="AF33" s="422">
        <f>'SSS1 ATTENDANCE '!FJ39</f>
        <v>128</v>
      </c>
      <c r="AG33" s="422">
        <f>'SSS1 ATTENDANCE '!FH39</f>
        <v>90</v>
      </c>
      <c r="AH33" s="422">
        <f>'SSS1 ATTENDANCE '!FI39</f>
        <v>38</v>
      </c>
      <c r="AI33" s="436" t="s">
        <v>605</v>
      </c>
      <c r="AJ33" s="437">
        <v>40900</v>
      </c>
      <c r="AK33" s="435" t="s">
        <v>396</v>
      </c>
      <c r="AL33" s="424">
        <v>25</v>
      </c>
      <c r="AM33" s="422">
        <v>41.285714285714299</v>
      </c>
      <c r="AN33" s="438">
        <v>4</v>
      </c>
      <c r="AO33" s="422" t="str">
        <f t="shared" si="64"/>
        <v>4</v>
      </c>
      <c r="AP33" s="438">
        <v>5</v>
      </c>
      <c r="AQ33" s="422">
        <v>4</v>
      </c>
      <c r="AR33" s="438">
        <v>4</v>
      </c>
      <c r="AS33" s="438">
        <v>4</v>
      </c>
      <c r="AT33" s="438">
        <v>4</v>
      </c>
      <c r="AU33" s="438">
        <v>3</v>
      </c>
      <c r="AV33" s="438">
        <v>4</v>
      </c>
      <c r="AW33" s="438">
        <v>4</v>
      </c>
      <c r="AX33" s="438">
        <v>3</v>
      </c>
      <c r="AY33" s="438">
        <v>4</v>
      </c>
      <c r="AZ33" s="438">
        <v>3</v>
      </c>
      <c r="BA33" s="438">
        <v>3</v>
      </c>
      <c r="BB33" s="438">
        <v>3</v>
      </c>
      <c r="BC33" s="438">
        <v>4</v>
      </c>
      <c r="BD33" s="438">
        <v>4</v>
      </c>
      <c r="BE33" s="438">
        <v>4</v>
      </c>
      <c r="BF33" s="438">
        <v>3</v>
      </c>
      <c r="BG33" s="438">
        <v>3</v>
      </c>
      <c r="BH33" s="438">
        <v>3</v>
      </c>
      <c r="BI33" s="438">
        <v>5</v>
      </c>
      <c r="BJ33" s="438">
        <v>4</v>
      </c>
      <c r="BK33" s="438">
        <v>3</v>
      </c>
      <c r="BL33" s="438">
        <v>5</v>
      </c>
      <c r="BM33" s="438">
        <v>3</v>
      </c>
      <c r="BN33" s="422" t="s">
        <v>431</v>
      </c>
      <c r="BO33" s="438">
        <v>20.714285714285701</v>
      </c>
      <c r="BP33" s="438">
        <v>-84.285714285713993</v>
      </c>
      <c r="BQ33" s="422">
        <f t="shared" si="248"/>
        <v>-63.571428571428292</v>
      </c>
      <c r="BR33" s="438" t="str">
        <f t="shared" si="249"/>
        <v/>
      </c>
      <c r="BS33" s="422">
        <v>20.714285714285701</v>
      </c>
      <c r="BT33" s="438">
        <v>-49.285714285714299</v>
      </c>
      <c r="BU33" s="422">
        <f t="shared" si="250"/>
        <v>-28.571428571428598</v>
      </c>
      <c r="BV33" s="438" t="str">
        <f t="shared" si="251"/>
        <v/>
      </c>
      <c r="BW33" s="422">
        <v>20.714285714285701</v>
      </c>
      <c r="BX33" s="422">
        <v>-49.999999999999901</v>
      </c>
      <c r="BY33" s="422">
        <f t="shared" si="252"/>
        <v>-29.285714285714199</v>
      </c>
      <c r="BZ33" s="438" t="str">
        <f t="shared" si="253"/>
        <v/>
      </c>
      <c r="CA33" s="422">
        <v>20.714285714285701</v>
      </c>
      <c r="CB33" s="422">
        <v>-55.714285714285801</v>
      </c>
      <c r="CC33" s="422">
        <f t="shared" si="254"/>
        <v>-35.000000000000099</v>
      </c>
      <c r="CD33" s="438" t="str">
        <f t="shared" si="255"/>
        <v/>
      </c>
      <c r="CE33" s="422">
        <v>35</v>
      </c>
      <c r="CF33" s="422">
        <v>-50</v>
      </c>
      <c r="CG33" s="422">
        <f t="shared" si="256"/>
        <v>-15</v>
      </c>
      <c r="CH33" s="438" t="str">
        <f t="shared" si="257"/>
        <v/>
      </c>
      <c r="CI33" s="422">
        <v>20.714285714285701</v>
      </c>
      <c r="CJ33" s="422">
        <v>-11</v>
      </c>
      <c r="CK33" s="422">
        <f t="shared" si="258"/>
        <v>9.7142857142857011</v>
      </c>
      <c r="CL33" s="438" t="str">
        <f t="shared" si="259"/>
        <v>F9</v>
      </c>
      <c r="CM33" s="422">
        <v>20.714285714285701</v>
      </c>
      <c r="CN33" s="422"/>
      <c r="CO33" s="422"/>
      <c r="CP33" s="422"/>
      <c r="CQ33" s="422">
        <v>40.120689655172399</v>
      </c>
      <c r="CR33" s="422">
        <f t="shared" si="261"/>
        <v>40.120689655172399</v>
      </c>
      <c r="CS33" s="438" t="str">
        <f t="shared" si="262"/>
        <v>E8</v>
      </c>
      <c r="CT33" s="422">
        <v>11.052631578947301</v>
      </c>
      <c r="CU33" s="422">
        <v>-55.789473684210698</v>
      </c>
      <c r="CV33" s="422">
        <f t="shared" si="263"/>
        <v>-44.736842105263399</v>
      </c>
      <c r="CW33" s="438" t="str">
        <f t="shared" si="264"/>
        <v/>
      </c>
      <c r="CX33" s="422">
        <f t="shared" ref="CX33" si="288">CT33</f>
        <v>11.052631578947301</v>
      </c>
      <c r="CY33" s="422">
        <v>-55.714285714285801</v>
      </c>
      <c r="CZ33" s="422">
        <f t="shared" si="265"/>
        <v>-44.661654135338502</v>
      </c>
      <c r="DA33" s="438" t="str">
        <f t="shared" si="266"/>
        <v/>
      </c>
      <c r="DB33" s="422">
        <f t="shared" si="283"/>
        <v>11.052631578947301</v>
      </c>
      <c r="DC33" s="422">
        <v>-36.428571428571502</v>
      </c>
      <c r="DD33" s="422">
        <f t="shared" si="267"/>
        <v>-25.375939849624203</v>
      </c>
      <c r="DE33" s="422" t="str">
        <f t="shared" si="268"/>
        <v/>
      </c>
      <c r="DF33" s="422">
        <f t="shared" si="269"/>
        <v>11.052631578947301</v>
      </c>
      <c r="DG33" s="422">
        <v>-55.714285714285801</v>
      </c>
      <c r="DH33" s="422">
        <f t="shared" si="270"/>
        <v>-44.661654135338502</v>
      </c>
      <c r="DI33" s="422" t="str">
        <f t="shared" si="271"/>
        <v/>
      </c>
      <c r="DJ33" s="422">
        <f t="shared" si="284"/>
        <v>11.052631578947301</v>
      </c>
      <c r="DK33" s="422">
        <v>42.285714285714299</v>
      </c>
      <c r="DL33" s="422">
        <f t="shared" si="272"/>
        <v>53.338345864661598</v>
      </c>
      <c r="DM33" s="422" t="str">
        <f t="shared" si="273"/>
        <v>C6</v>
      </c>
      <c r="DN33" s="422">
        <f t="shared" si="285"/>
        <v>11.052631578947301</v>
      </c>
      <c r="DO33" s="422">
        <v>29.428571428571399</v>
      </c>
      <c r="DP33" s="422">
        <f t="shared" si="274"/>
        <v>40.481203007518701</v>
      </c>
      <c r="DQ33" s="438" t="str">
        <f t="shared" si="275"/>
        <v>E8</v>
      </c>
      <c r="DR33" s="422">
        <f t="shared" si="286"/>
        <v>11.052631578947301</v>
      </c>
      <c r="DS33" s="422">
        <v>-41</v>
      </c>
      <c r="DT33" s="422">
        <f t="shared" si="276"/>
        <v>-29.947368421052701</v>
      </c>
      <c r="DU33" s="438" t="str">
        <f t="shared" si="277"/>
        <v/>
      </c>
      <c r="DV33" s="422">
        <f t="shared" si="287"/>
        <v>11.052631578947301</v>
      </c>
      <c r="DW33" s="422">
        <v>45.142857142857103</v>
      </c>
      <c r="DX33" s="422">
        <f t="shared" si="278"/>
        <v>56.195488721804402</v>
      </c>
      <c r="DY33" s="438" t="str">
        <f t="shared" si="279"/>
        <v>C5</v>
      </c>
      <c r="DZ33" s="422">
        <f t="shared" si="280"/>
        <v>11.052631578947301</v>
      </c>
      <c r="EA33" s="422">
        <v>21</v>
      </c>
      <c r="EB33" s="422">
        <f t="shared" si="281"/>
        <v>32.052631578947299</v>
      </c>
      <c r="EC33" s="438" t="str">
        <f t="shared" si="282"/>
        <v>F9</v>
      </c>
      <c r="ED33" s="422">
        <f t="shared" si="63"/>
        <v>-128.90938553279841</v>
      </c>
      <c r="EE33" s="422">
        <f t="shared" si="100"/>
        <v>-8.0568365957999006</v>
      </c>
      <c r="EF33" s="438" t="str">
        <f t="shared" si="101"/>
        <v/>
      </c>
      <c r="EG33" s="422" t="str">
        <f t="shared" si="102"/>
        <v/>
      </c>
      <c r="EH33" s="439">
        <v>1</v>
      </c>
      <c r="EI33" s="422">
        <f t="shared" si="103"/>
        <v>-128.90938553279841</v>
      </c>
      <c r="EJ33" s="440">
        <f t="shared" si="104"/>
        <v>-8.0568365957999002E-2</v>
      </c>
      <c r="EK33" s="438" t="s">
        <v>573</v>
      </c>
      <c r="EL33" s="438" t="s">
        <v>762</v>
      </c>
    </row>
    <row r="34" spans="1:142" ht="30.75" thickBot="1">
      <c r="A34" s="781"/>
      <c r="B34" s="798" t="s">
        <v>345</v>
      </c>
      <c r="C34" s="800"/>
      <c r="D34" s="800"/>
      <c r="E34" s="413" t="e">
        <f>VLOOKUP(D19,AB:EL,64,FALSE)</f>
        <v>#N/A</v>
      </c>
      <c r="F34" s="416" t="e">
        <f>VLOOKUP(D19,AB:EL,53,FALSE)</f>
        <v>#N/A</v>
      </c>
      <c r="G34" s="413" t="e">
        <f>VLOOKUP(D19,AB:EL,54,FALSE)</f>
        <v>#N/A</v>
      </c>
      <c r="H34" s="413"/>
      <c r="I34" s="413"/>
      <c r="J34" s="413"/>
      <c r="K34" s="413" t="e">
        <f>VLOOKUP(D19,AB:EL,55,FALSE)</f>
        <v>#N/A</v>
      </c>
      <c r="L34" s="415" t="e">
        <f t="shared" si="247"/>
        <v>#N/A</v>
      </c>
      <c r="M34" s="714"/>
      <c r="N34" s="779" t="s">
        <v>269</v>
      </c>
      <c r="O34" s="780"/>
      <c r="P34" s="674" t="e">
        <f>VLOOKUP(D19,AB:EL,18,FALSE)</f>
        <v>#N/A</v>
      </c>
      <c r="Q34" s="680"/>
      <c r="R34" s="674" t="e">
        <f>IF(P34&gt;=6,"EXCELLENT",
IF(P34&gt;=6,"EXCELLENT",
IF(P34&gt;=5,"EXCELLENT",
IF(P34&gt;=4,"V.GOOD",
IF(P34&gt;=3,"POOR",
IF(P34&gt;=2,"POOR",
IF(P34&gt;=2,"POOR",
IF(P34&gt;=1,"POOR",
IF(P34&gt;=0,"POOR",
IF(P34&gt;=1,"POOR",""))))))))))</f>
        <v>#N/A</v>
      </c>
      <c r="S34" s="675"/>
      <c r="T34" s="390"/>
      <c r="U34" s="390"/>
      <c r="V34" s="714"/>
      <c r="W34" s="714"/>
      <c r="X34" s="714"/>
      <c r="Y34" s="391"/>
      <c r="Z34" s="391"/>
      <c r="AA34" s="420">
        <f t="shared" si="1"/>
        <v>33</v>
      </c>
      <c r="AB34" s="435" t="s">
        <v>61</v>
      </c>
      <c r="AC34" s="422" t="s">
        <v>394</v>
      </c>
      <c r="AD34" s="422" t="s">
        <v>326</v>
      </c>
      <c r="AE34" s="422">
        <v>18.1428571428571</v>
      </c>
      <c r="AF34" s="422">
        <f>'SSS1 ATTENDANCE '!FJ40</f>
        <v>128</v>
      </c>
      <c r="AG34" s="422">
        <f>'SSS1 ATTENDANCE '!FH40</f>
        <v>90</v>
      </c>
      <c r="AH34" s="422">
        <f>'SSS1 ATTENDANCE '!FI40</f>
        <v>38</v>
      </c>
      <c r="AI34" s="436" t="s">
        <v>606</v>
      </c>
      <c r="AJ34" s="437">
        <v>40368</v>
      </c>
      <c r="AK34" s="435" t="s">
        <v>396</v>
      </c>
      <c r="AL34" s="424">
        <v>25</v>
      </c>
      <c r="AM34" s="422">
        <v>41.821428571428498</v>
      </c>
      <c r="AN34" s="438">
        <v>4</v>
      </c>
      <c r="AO34" s="422" t="str">
        <f t="shared" si="64"/>
        <v>4</v>
      </c>
      <c r="AP34" s="438">
        <v>5</v>
      </c>
      <c r="AQ34" s="422">
        <v>4</v>
      </c>
      <c r="AR34" s="438">
        <v>4</v>
      </c>
      <c r="AS34" s="438">
        <v>4</v>
      </c>
      <c r="AT34" s="438">
        <v>4</v>
      </c>
      <c r="AU34" s="438">
        <v>3</v>
      </c>
      <c r="AV34" s="438">
        <v>4</v>
      </c>
      <c r="AW34" s="438">
        <v>4</v>
      </c>
      <c r="AX34" s="438">
        <v>3</v>
      </c>
      <c r="AY34" s="438">
        <v>4</v>
      </c>
      <c r="AZ34" s="438">
        <v>3</v>
      </c>
      <c r="BA34" s="438">
        <v>3</v>
      </c>
      <c r="BB34" s="438">
        <v>3</v>
      </c>
      <c r="BC34" s="438">
        <v>4</v>
      </c>
      <c r="BD34" s="438">
        <v>4</v>
      </c>
      <c r="BE34" s="438">
        <v>4</v>
      </c>
      <c r="BF34" s="438">
        <v>3</v>
      </c>
      <c r="BG34" s="438">
        <v>3</v>
      </c>
      <c r="BH34" s="438">
        <v>3</v>
      </c>
      <c r="BI34" s="438">
        <v>5</v>
      </c>
      <c r="BJ34" s="438">
        <v>4</v>
      </c>
      <c r="BK34" s="438">
        <v>3</v>
      </c>
      <c r="BL34" s="438">
        <v>5</v>
      </c>
      <c r="BM34" s="438">
        <v>3</v>
      </c>
      <c r="BN34" s="422" t="s">
        <v>432</v>
      </c>
      <c r="BO34" s="438">
        <v>20.178571428571502</v>
      </c>
      <c r="BP34" s="438">
        <v>-88.464285714286007</v>
      </c>
      <c r="BQ34" s="422">
        <f t="shared" si="248"/>
        <v>-68.285714285714505</v>
      </c>
      <c r="BR34" s="438" t="str">
        <f t="shared" si="249"/>
        <v/>
      </c>
      <c r="BS34" s="422">
        <v>20.178571428571502</v>
      </c>
      <c r="BT34" s="438">
        <v>-52.535714285714299</v>
      </c>
      <c r="BU34" s="422">
        <f t="shared" si="250"/>
        <v>-32.357142857142797</v>
      </c>
      <c r="BV34" s="438" t="str">
        <f t="shared" si="251"/>
        <v/>
      </c>
      <c r="BW34" s="422">
        <v>20.178571428571502</v>
      </c>
      <c r="BX34" s="422">
        <v>-53.107142857142797</v>
      </c>
      <c r="BY34" s="422">
        <f t="shared" si="252"/>
        <v>-32.928571428571296</v>
      </c>
      <c r="BZ34" s="438" t="str">
        <f t="shared" si="253"/>
        <v/>
      </c>
      <c r="CA34" s="422">
        <v>20.178571428571502</v>
      </c>
      <c r="CB34" s="422">
        <v>-58.928571428571601</v>
      </c>
      <c r="CC34" s="422">
        <f t="shared" si="254"/>
        <v>-38.750000000000099</v>
      </c>
      <c r="CD34" s="438" t="str">
        <f t="shared" si="255"/>
        <v/>
      </c>
      <c r="CE34" s="422">
        <v>35</v>
      </c>
      <c r="CF34" s="422">
        <v>-53.142857142857601</v>
      </c>
      <c r="CG34" s="422">
        <f t="shared" si="256"/>
        <v>-18.142857142857601</v>
      </c>
      <c r="CH34" s="438" t="str">
        <f t="shared" si="257"/>
        <v/>
      </c>
      <c r="CI34" s="422">
        <v>20.178571428571502</v>
      </c>
      <c r="CJ34" s="422">
        <v>-12.8214285714286</v>
      </c>
      <c r="CK34" s="422">
        <f t="shared" si="258"/>
        <v>7.3571428571429021</v>
      </c>
      <c r="CL34" s="438" t="str">
        <f t="shared" si="259"/>
        <v>F9</v>
      </c>
      <c r="CM34" s="422">
        <v>20.178571428571502</v>
      </c>
      <c r="CN34" s="422"/>
      <c r="CO34" s="422"/>
      <c r="CP34" s="422">
        <f t="shared" ref="CP34" si="289">CM34</f>
        <v>20.178571428571502</v>
      </c>
      <c r="CQ34" s="422">
        <v>39.836206896551801</v>
      </c>
      <c r="CR34" s="422">
        <f t="shared" si="261"/>
        <v>60.014778325123302</v>
      </c>
      <c r="CS34" s="438" t="str">
        <f t="shared" si="262"/>
        <v>C4</v>
      </c>
      <c r="CT34" s="422">
        <v>10</v>
      </c>
      <c r="CU34" s="422">
        <v>-59.999999999999702</v>
      </c>
      <c r="CV34" s="422">
        <f t="shared" si="263"/>
        <v>-49.999999999999702</v>
      </c>
      <c r="CW34" s="438" t="str">
        <f t="shared" si="264"/>
        <v/>
      </c>
      <c r="CX34" s="422">
        <v>35</v>
      </c>
      <c r="CY34" s="422">
        <v>-58.928571428571601</v>
      </c>
      <c r="CZ34" s="422">
        <f t="shared" si="265"/>
        <v>-23.928571428571601</v>
      </c>
      <c r="DA34" s="438" t="str">
        <f t="shared" si="266"/>
        <v/>
      </c>
      <c r="DB34" s="422">
        <f t="shared" si="283"/>
        <v>35</v>
      </c>
      <c r="DC34" s="422">
        <v>-39.107142857142797</v>
      </c>
      <c r="DD34" s="422">
        <f t="shared" si="267"/>
        <v>-4.1071428571427973</v>
      </c>
      <c r="DE34" s="422" t="str">
        <f t="shared" si="268"/>
        <v/>
      </c>
      <c r="DF34" s="422">
        <f t="shared" si="269"/>
        <v>35</v>
      </c>
      <c r="DG34" s="422">
        <v>-58.928571428571601</v>
      </c>
      <c r="DH34" s="422">
        <f t="shared" si="270"/>
        <v>-23.928571428571601</v>
      </c>
      <c r="DI34" s="422" t="str">
        <f t="shared" si="271"/>
        <v/>
      </c>
      <c r="DJ34" s="422">
        <f t="shared" si="284"/>
        <v>35</v>
      </c>
      <c r="DK34" s="422">
        <v>42.107142857142797</v>
      </c>
      <c r="DL34" s="422">
        <f t="shared" si="272"/>
        <v>77.107142857142804</v>
      </c>
      <c r="DM34" s="422" t="str">
        <f t="shared" si="273"/>
        <v>A</v>
      </c>
      <c r="DN34" s="422">
        <f t="shared" si="285"/>
        <v>35</v>
      </c>
      <c r="DO34" s="422">
        <v>28.821428571428601</v>
      </c>
      <c r="DP34" s="422">
        <f t="shared" si="274"/>
        <v>63.821428571428598</v>
      </c>
      <c r="DQ34" s="438" t="str">
        <f t="shared" si="275"/>
        <v>C4</v>
      </c>
      <c r="DR34" s="422">
        <f t="shared" si="286"/>
        <v>35</v>
      </c>
      <c r="DS34" s="422">
        <v>-43.607142857142797</v>
      </c>
      <c r="DT34" s="422">
        <f t="shared" si="276"/>
        <v>-8.6071428571427973</v>
      </c>
      <c r="DU34" s="438" t="str">
        <f t="shared" si="277"/>
        <v/>
      </c>
      <c r="DV34" s="422">
        <f t="shared" si="287"/>
        <v>35</v>
      </c>
      <c r="DW34" s="422">
        <v>45.071428571428598</v>
      </c>
      <c r="DX34" s="422">
        <f t="shared" si="278"/>
        <v>80.071428571428598</v>
      </c>
      <c r="DY34" s="438" t="str">
        <f t="shared" si="279"/>
        <v>A1</v>
      </c>
      <c r="DZ34" s="422">
        <f t="shared" si="280"/>
        <v>35</v>
      </c>
      <c r="EA34" s="422">
        <v>20.25</v>
      </c>
      <c r="EB34" s="422">
        <f t="shared" si="281"/>
        <v>55.25</v>
      </c>
      <c r="EC34" s="438" t="str">
        <f t="shared" si="282"/>
        <v>C5</v>
      </c>
      <c r="ED34" s="422">
        <f t="shared" si="63"/>
        <v>42.586206896551388</v>
      </c>
      <c r="EE34" s="422">
        <f t="shared" si="100"/>
        <v>2.6616379310344618</v>
      </c>
      <c r="EF34" s="438" t="str">
        <f t="shared" si="101"/>
        <v>F9</v>
      </c>
      <c r="EG34" s="422" t="str">
        <f t="shared" si="102"/>
        <v>FAIL</v>
      </c>
      <c r="EH34" s="439">
        <v>1</v>
      </c>
      <c r="EI34" s="422">
        <f t="shared" si="103"/>
        <v>42.586206896551388</v>
      </c>
      <c r="EJ34" s="440">
        <f t="shared" si="104"/>
        <v>2.6616379310344617E-2</v>
      </c>
      <c r="EK34" s="438" t="s">
        <v>746</v>
      </c>
      <c r="EL34" s="438" t="s">
        <v>762</v>
      </c>
    </row>
    <row r="35" spans="1:142" ht="30.75" thickBot="1">
      <c r="A35" s="781"/>
      <c r="B35" s="798" t="s">
        <v>358</v>
      </c>
      <c r="C35" s="799"/>
      <c r="D35" s="799"/>
      <c r="E35" s="413" t="e">
        <f>VLOOKUP(D19,AB:EL,44,FALSE)</f>
        <v>#N/A</v>
      </c>
      <c r="F35" s="413" t="e">
        <f>VLOOKUP(D19,AB:EL,45,FALSE)</f>
        <v>#N/A</v>
      </c>
      <c r="G35" s="413" t="e">
        <f>VLOOKUP(D19,AB:EL,46,FALSE)</f>
        <v>#N/A</v>
      </c>
      <c r="H35" s="413"/>
      <c r="I35" s="413"/>
      <c r="J35" s="413"/>
      <c r="K35" s="413" t="e">
        <f>VLOOKUP(D19,AB:EL,47,FALSE)</f>
        <v>#N/A</v>
      </c>
      <c r="L35" s="415" t="e">
        <f t="shared" si="247"/>
        <v>#N/A</v>
      </c>
      <c r="M35" s="714"/>
      <c r="N35" s="776" t="s">
        <v>270</v>
      </c>
      <c r="O35" s="778"/>
      <c r="P35" s="674" t="e">
        <f>VLOOKUP(D19,AB:EL,19,FALSE)</f>
        <v>#N/A</v>
      </c>
      <c r="Q35" s="680"/>
      <c r="R35" s="674" t="e">
        <f>IF(P35&gt;=6,"EXCELLENT",
IF(P35&gt;=6,"EXCELLENT",
IF(P35&gt;=5,"EXCELLENT",
IF(P35&gt;=4,"V.GOOD",
IF(P35&gt;=3,"POOR",
IF(P35&gt;=2,"POOR",
IF(P35&gt;=2,"POOR",
IF(P35&gt;=1,"POOR",
IF(P35&gt;=0,"POOR",
IF(P35&gt;=1,"POOR",""))))))))))</f>
        <v>#N/A</v>
      </c>
      <c r="S35" s="675"/>
      <c r="T35" s="390"/>
      <c r="U35" s="390"/>
      <c r="V35" s="714"/>
      <c r="W35" s="714"/>
      <c r="X35" s="714"/>
      <c r="Y35" s="391"/>
      <c r="Z35" s="391"/>
      <c r="AA35" s="420">
        <f t="shared" si="1"/>
        <v>34</v>
      </c>
      <c r="AB35" s="435" t="s">
        <v>62</v>
      </c>
      <c r="AC35" s="422" t="s">
        <v>394</v>
      </c>
      <c r="AD35" s="422" t="s">
        <v>326</v>
      </c>
      <c r="AE35" s="422">
        <v>18.285714285714299</v>
      </c>
      <c r="AF35" s="422">
        <f>'SSS1 ATTENDANCE '!FJ41</f>
        <v>128</v>
      </c>
      <c r="AG35" s="422">
        <f>'SSS1 ATTENDANCE '!FH41</f>
        <v>0</v>
      </c>
      <c r="AH35" s="422">
        <f>'SSS1 ATTENDANCE '!FI41</f>
        <v>128</v>
      </c>
      <c r="AI35" s="436" t="s">
        <v>607</v>
      </c>
      <c r="AJ35" s="437">
        <v>40852</v>
      </c>
      <c r="AK35" s="435" t="s">
        <v>396</v>
      </c>
      <c r="AL35" s="424">
        <v>25</v>
      </c>
      <c r="AM35" s="422">
        <v>42.357142857142797</v>
      </c>
      <c r="AN35" s="438">
        <v>4</v>
      </c>
      <c r="AO35" s="422" t="str">
        <f t="shared" si="64"/>
        <v>3</v>
      </c>
      <c r="AP35" s="438">
        <v>5</v>
      </c>
      <c r="AQ35" s="422">
        <v>4</v>
      </c>
      <c r="AR35" s="438">
        <v>4</v>
      </c>
      <c r="AS35" s="438">
        <v>4</v>
      </c>
      <c r="AT35" s="438">
        <v>4</v>
      </c>
      <c r="AU35" s="438">
        <v>3</v>
      </c>
      <c r="AV35" s="438">
        <v>4</v>
      </c>
      <c r="AW35" s="438">
        <v>4</v>
      </c>
      <c r="AX35" s="438">
        <v>3</v>
      </c>
      <c r="AY35" s="438">
        <v>4</v>
      </c>
      <c r="AZ35" s="438">
        <v>3</v>
      </c>
      <c r="BA35" s="438">
        <v>3</v>
      </c>
      <c r="BB35" s="438">
        <v>3</v>
      </c>
      <c r="BC35" s="438">
        <v>4</v>
      </c>
      <c r="BD35" s="438">
        <v>4</v>
      </c>
      <c r="BE35" s="438">
        <v>4</v>
      </c>
      <c r="BF35" s="438">
        <v>3</v>
      </c>
      <c r="BG35" s="438">
        <v>3</v>
      </c>
      <c r="BH35" s="438">
        <v>3</v>
      </c>
      <c r="BI35" s="438">
        <v>5</v>
      </c>
      <c r="BJ35" s="438">
        <v>4</v>
      </c>
      <c r="BK35" s="438">
        <v>3</v>
      </c>
      <c r="BL35" s="438">
        <v>5</v>
      </c>
      <c r="BM35" s="438">
        <v>3</v>
      </c>
      <c r="BN35" s="422" t="s">
        <v>433</v>
      </c>
      <c r="BO35" s="438">
        <v>19.642857142857199</v>
      </c>
      <c r="BP35" s="438">
        <v>-92.642857142856997</v>
      </c>
      <c r="BQ35" s="422">
        <f t="shared" si="248"/>
        <v>-72.999999999999801</v>
      </c>
      <c r="BR35" s="438" t="str">
        <f t="shared" si="249"/>
        <v/>
      </c>
      <c r="BS35" s="422">
        <v>19.642857142857199</v>
      </c>
      <c r="BT35" s="438">
        <v>-55.785714285714299</v>
      </c>
      <c r="BU35" s="422">
        <f t="shared" si="250"/>
        <v>-36.142857142857096</v>
      </c>
      <c r="BV35" s="438" t="str">
        <f t="shared" si="251"/>
        <v/>
      </c>
      <c r="BW35" s="422">
        <v>19.642857142857199</v>
      </c>
      <c r="BX35" s="422">
        <v>-56.214285714285403</v>
      </c>
      <c r="BY35" s="422">
        <f t="shared" si="252"/>
        <v>-36.5714285714282</v>
      </c>
      <c r="BZ35" s="438" t="str">
        <f t="shared" si="253"/>
        <v/>
      </c>
      <c r="CA35" s="422">
        <v>19.642857142857199</v>
      </c>
      <c r="CB35" s="422">
        <v>-62.142857142857601</v>
      </c>
      <c r="CC35" s="422">
        <f t="shared" si="254"/>
        <v>-42.500000000000398</v>
      </c>
      <c r="CD35" s="438" t="str">
        <f t="shared" si="255"/>
        <v/>
      </c>
      <c r="CE35" s="422">
        <v>35</v>
      </c>
      <c r="CF35" s="422">
        <v>-56.285714285714597</v>
      </c>
      <c r="CG35" s="422">
        <f t="shared" si="256"/>
        <v>-21.285714285714597</v>
      </c>
      <c r="CH35" s="438" t="str">
        <f t="shared" si="257"/>
        <v/>
      </c>
      <c r="CI35" s="422">
        <v>19.642857142857199</v>
      </c>
      <c r="CJ35" s="422">
        <v>-14.642857142857199</v>
      </c>
      <c r="CK35" s="422">
        <f t="shared" si="258"/>
        <v>5</v>
      </c>
      <c r="CL35" s="438" t="str">
        <f t="shared" si="259"/>
        <v>F9</v>
      </c>
      <c r="CM35" s="422">
        <v>19.642857142857199</v>
      </c>
      <c r="CN35" s="422"/>
      <c r="CO35" s="422"/>
      <c r="CP35" s="422"/>
      <c r="CQ35" s="422">
        <v>39.551724137931103</v>
      </c>
      <c r="CR35" s="422">
        <f t="shared" si="261"/>
        <v>39.551724137931103</v>
      </c>
      <c r="CS35" s="438" t="str">
        <f t="shared" si="262"/>
        <v>F9</v>
      </c>
      <c r="CT35" s="422">
        <v>8.9473684210526194</v>
      </c>
      <c r="CU35" s="422">
        <v>-64.210526315789707</v>
      </c>
      <c r="CV35" s="422">
        <f t="shared" si="263"/>
        <v>-55.263157894737091</v>
      </c>
      <c r="CW35" s="438" t="str">
        <f t="shared" si="264"/>
        <v/>
      </c>
      <c r="CX35" s="422">
        <f t="shared" ref="CX35" si="290">CT35</f>
        <v>8.9473684210526194</v>
      </c>
      <c r="CY35" s="422">
        <v>-62.142857142857601</v>
      </c>
      <c r="CZ35" s="422">
        <f t="shared" si="265"/>
        <v>-53.195488721804978</v>
      </c>
      <c r="DA35" s="438" t="str">
        <f t="shared" si="266"/>
        <v/>
      </c>
      <c r="DB35" s="422">
        <f t="shared" si="283"/>
        <v>8.9473684210526194</v>
      </c>
      <c r="DC35" s="422">
        <v>-41.785714285714299</v>
      </c>
      <c r="DD35" s="422">
        <f t="shared" si="267"/>
        <v>-32.838345864661676</v>
      </c>
      <c r="DE35" s="422" t="str">
        <f t="shared" si="268"/>
        <v/>
      </c>
      <c r="DF35" s="422">
        <f t="shared" si="269"/>
        <v>8.9473684210526194</v>
      </c>
      <c r="DG35" s="422">
        <v>-62.142857142857601</v>
      </c>
      <c r="DH35" s="422">
        <f t="shared" si="270"/>
        <v>-53.195488721804978</v>
      </c>
      <c r="DI35" s="422" t="str">
        <f t="shared" si="271"/>
        <v/>
      </c>
      <c r="DJ35" s="422">
        <f t="shared" si="284"/>
        <v>8.9473684210526194</v>
      </c>
      <c r="DK35" s="422">
        <v>41.928571428571402</v>
      </c>
      <c r="DL35" s="422">
        <f t="shared" si="272"/>
        <v>50.875939849624018</v>
      </c>
      <c r="DM35" s="422" t="str">
        <f t="shared" si="273"/>
        <v>C6</v>
      </c>
      <c r="DN35" s="422">
        <f t="shared" si="285"/>
        <v>8.9473684210526194</v>
      </c>
      <c r="DO35" s="422">
        <v>28.214285714285701</v>
      </c>
      <c r="DP35" s="422">
        <f t="shared" si="274"/>
        <v>37.161654135338324</v>
      </c>
      <c r="DQ35" s="438" t="str">
        <f t="shared" si="275"/>
        <v>F9</v>
      </c>
      <c r="DR35" s="422">
        <f t="shared" si="286"/>
        <v>8.9473684210526194</v>
      </c>
      <c r="DS35" s="422">
        <v>-46.214285714285701</v>
      </c>
      <c r="DT35" s="422">
        <f t="shared" si="276"/>
        <v>-37.266917293233078</v>
      </c>
      <c r="DU35" s="438" t="str">
        <f t="shared" si="277"/>
        <v/>
      </c>
      <c r="DV35" s="422">
        <f t="shared" si="287"/>
        <v>8.9473684210526194</v>
      </c>
      <c r="DW35" s="422">
        <v>45</v>
      </c>
      <c r="DX35" s="422">
        <f t="shared" si="278"/>
        <v>53.947368421052616</v>
      </c>
      <c r="DY35" s="438" t="str">
        <f t="shared" si="279"/>
        <v>C6</v>
      </c>
      <c r="DZ35" s="422">
        <f t="shared" si="280"/>
        <v>8.9473684210526194</v>
      </c>
      <c r="EA35" s="422">
        <v>19.5</v>
      </c>
      <c r="EB35" s="422">
        <f t="shared" si="281"/>
        <v>28.447368421052619</v>
      </c>
      <c r="EC35" s="438" t="str">
        <f t="shared" si="282"/>
        <v>F9</v>
      </c>
      <c r="ED35" s="422">
        <f t="shared" si="63"/>
        <v>-226.27534353124318</v>
      </c>
      <c r="EE35" s="422">
        <f t="shared" si="100"/>
        <v>-14.142208970702699</v>
      </c>
      <c r="EF35" s="438" t="str">
        <f t="shared" si="101"/>
        <v/>
      </c>
      <c r="EG35" s="422" t="str">
        <f t="shared" si="102"/>
        <v/>
      </c>
      <c r="EH35" s="439">
        <v>1</v>
      </c>
      <c r="EI35" s="422">
        <f t="shared" si="103"/>
        <v>-226.27534353124318</v>
      </c>
      <c r="EJ35" s="440">
        <f t="shared" si="104"/>
        <v>-0.14142208970702699</v>
      </c>
      <c r="EK35" s="438" t="s">
        <v>747</v>
      </c>
      <c r="EL35" s="438" t="s">
        <v>762</v>
      </c>
    </row>
    <row r="36" spans="1:142" ht="30.75" thickBot="1">
      <c r="A36" s="781"/>
      <c r="B36" s="798" t="s">
        <v>359</v>
      </c>
      <c r="C36" s="800"/>
      <c r="D36" s="800"/>
      <c r="E36" s="379"/>
      <c r="F36" s="380"/>
      <c r="G36" s="379"/>
      <c r="H36" s="379"/>
      <c r="I36" s="379"/>
      <c r="J36" s="379"/>
      <c r="K36" s="379"/>
      <c r="L36" s="392" t="str">
        <f t="shared" si="247"/>
        <v/>
      </c>
      <c r="M36" s="714"/>
      <c r="N36" s="776" t="s">
        <v>271</v>
      </c>
      <c r="O36" s="778"/>
      <c r="P36" s="674" t="e">
        <f>VLOOKUP(D19,AB:EL,20,FALSE)</f>
        <v>#N/A</v>
      </c>
      <c r="Q36" s="680"/>
      <c r="R36" s="674" t="e">
        <f>IF(P36&gt;=6,"EXCELLENT",
IF(P36&gt;=6,"EXCELLENT",
IF(P36&gt;=5,"EXCELLENT",
IF(P36&gt;=4,"V.GOOD",
IF(P36&gt;=3,"POOR",
IF(P36&gt;=2,"POOR",
IF(P36&gt;=2,"POOR",
IF(P36&gt;=1,"POOR",
IF(P36&gt;=0,"POOR",
IF(P36&gt;=1,"POOR",""))))))))))</f>
        <v>#N/A</v>
      </c>
      <c r="S36" s="675"/>
      <c r="T36" s="390"/>
      <c r="U36" s="390"/>
      <c r="V36" s="714"/>
      <c r="W36" s="714"/>
      <c r="X36" s="714"/>
      <c r="Y36" s="391"/>
      <c r="Z36" s="391"/>
      <c r="AA36" s="420">
        <f t="shared" si="1"/>
        <v>35</v>
      </c>
      <c r="AB36" s="435" t="s">
        <v>63</v>
      </c>
      <c r="AC36" s="422" t="s">
        <v>394</v>
      </c>
      <c r="AD36" s="422" t="s">
        <v>326</v>
      </c>
      <c r="AE36" s="422">
        <v>18.428571428571399</v>
      </c>
      <c r="AF36" s="422">
        <f>'SSS1 ATTENDANCE '!FJ42</f>
        <v>128</v>
      </c>
      <c r="AG36" s="422">
        <f>'SSS1 ATTENDANCE '!FH42</f>
        <v>0</v>
      </c>
      <c r="AH36" s="422">
        <f>'SSS1 ATTENDANCE '!FI42</f>
        <v>128</v>
      </c>
      <c r="AI36" s="436" t="s">
        <v>608</v>
      </c>
      <c r="AJ36" s="437">
        <v>40881</v>
      </c>
      <c r="AK36" s="435" t="s">
        <v>396</v>
      </c>
      <c r="AL36" s="424">
        <v>25</v>
      </c>
      <c r="AM36" s="422">
        <v>42.892857142857103</v>
      </c>
      <c r="AN36" s="438">
        <v>4</v>
      </c>
      <c r="AO36" s="422" t="str">
        <f t="shared" si="64"/>
        <v>3</v>
      </c>
      <c r="AP36" s="438">
        <v>5</v>
      </c>
      <c r="AQ36" s="422">
        <v>4</v>
      </c>
      <c r="AR36" s="438">
        <v>4</v>
      </c>
      <c r="AS36" s="438">
        <v>4</v>
      </c>
      <c r="AT36" s="438">
        <v>4</v>
      </c>
      <c r="AU36" s="438">
        <v>3</v>
      </c>
      <c r="AV36" s="438">
        <v>4</v>
      </c>
      <c r="AW36" s="438">
        <v>4</v>
      </c>
      <c r="AX36" s="438">
        <v>3</v>
      </c>
      <c r="AY36" s="438">
        <v>4</v>
      </c>
      <c r="AZ36" s="438">
        <v>3</v>
      </c>
      <c r="BA36" s="438">
        <v>3</v>
      </c>
      <c r="BB36" s="438">
        <v>3</v>
      </c>
      <c r="BC36" s="438">
        <v>4</v>
      </c>
      <c r="BD36" s="438">
        <v>4</v>
      </c>
      <c r="BE36" s="438">
        <v>4</v>
      </c>
      <c r="BF36" s="438">
        <v>3</v>
      </c>
      <c r="BG36" s="438">
        <v>3</v>
      </c>
      <c r="BH36" s="438">
        <v>3</v>
      </c>
      <c r="BI36" s="438">
        <v>5</v>
      </c>
      <c r="BJ36" s="438">
        <v>4</v>
      </c>
      <c r="BK36" s="438">
        <v>3</v>
      </c>
      <c r="BL36" s="438">
        <v>5</v>
      </c>
      <c r="BM36" s="438">
        <v>3</v>
      </c>
      <c r="BN36" s="422" t="s">
        <v>434</v>
      </c>
      <c r="BO36" s="438">
        <v>19.1071428571429</v>
      </c>
      <c r="BP36" s="438">
        <v>-96.821428571428996</v>
      </c>
      <c r="BQ36" s="422">
        <f t="shared" si="248"/>
        <v>-77.714285714286092</v>
      </c>
      <c r="BR36" s="438" t="str">
        <f t="shared" si="249"/>
        <v/>
      </c>
      <c r="BS36" s="422">
        <v>19.1071428571429</v>
      </c>
      <c r="BT36" s="438">
        <v>-59.035714285714299</v>
      </c>
      <c r="BU36" s="422">
        <f t="shared" si="250"/>
        <v>-39.928571428571402</v>
      </c>
      <c r="BV36" s="438" t="str">
        <f t="shared" si="251"/>
        <v/>
      </c>
      <c r="BW36" s="422">
        <v>19.1071428571429</v>
      </c>
      <c r="BX36" s="422">
        <v>-59.321428571428399</v>
      </c>
      <c r="BY36" s="422">
        <f t="shared" si="252"/>
        <v>-40.214285714285495</v>
      </c>
      <c r="BZ36" s="438" t="str">
        <f t="shared" si="253"/>
        <v/>
      </c>
      <c r="CA36" s="422">
        <v>19.1071428571429</v>
      </c>
      <c r="CB36" s="422">
        <v>-65.357142857142605</v>
      </c>
      <c r="CC36" s="422">
        <f t="shared" si="254"/>
        <v>-46.249999999999702</v>
      </c>
      <c r="CD36" s="438" t="str">
        <f t="shared" si="255"/>
        <v/>
      </c>
      <c r="CE36" s="422">
        <v>35</v>
      </c>
      <c r="CF36" s="422">
        <v>-59.428571428571601</v>
      </c>
      <c r="CG36" s="422">
        <f t="shared" si="256"/>
        <v>-24.428571428571601</v>
      </c>
      <c r="CH36" s="438" t="str">
        <f t="shared" si="257"/>
        <v/>
      </c>
      <c r="CI36" s="422">
        <v>19.1071428571429</v>
      </c>
      <c r="CJ36" s="422">
        <v>-16.464285714285701</v>
      </c>
      <c r="CK36" s="422">
        <f t="shared" si="258"/>
        <v>2.6428571428571992</v>
      </c>
      <c r="CL36" s="438" t="str">
        <f t="shared" si="259"/>
        <v>F9</v>
      </c>
      <c r="CM36" s="422">
        <v>19.1071428571429</v>
      </c>
      <c r="CN36" s="422"/>
      <c r="CO36" s="422"/>
      <c r="CP36" s="422">
        <f t="shared" ref="CP36" si="291">CM36</f>
        <v>19.1071428571429</v>
      </c>
      <c r="CQ36" s="422">
        <v>39.267241379310398</v>
      </c>
      <c r="CR36" s="422">
        <f t="shared" si="261"/>
        <v>58.374384236453295</v>
      </c>
      <c r="CS36" s="438" t="str">
        <f t="shared" si="262"/>
        <v>C5</v>
      </c>
      <c r="CT36" s="422"/>
      <c r="CU36" s="422"/>
      <c r="CV36" s="422">
        <f t="shared" si="263"/>
        <v>0</v>
      </c>
      <c r="CW36" s="438" t="str">
        <f t="shared" si="264"/>
        <v/>
      </c>
      <c r="CX36" s="422">
        <v>35</v>
      </c>
      <c r="CY36" s="422">
        <v>-65.357142857142605</v>
      </c>
      <c r="CZ36" s="422">
        <f t="shared" si="265"/>
        <v>-30.357142857142605</v>
      </c>
      <c r="DA36" s="438" t="str">
        <f t="shared" si="266"/>
        <v/>
      </c>
      <c r="DB36" s="422">
        <f t="shared" si="283"/>
        <v>35</v>
      </c>
      <c r="DC36" s="422">
        <v>-44.464285714285701</v>
      </c>
      <c r="DD36" s="422">
        <f t="shared" si="267"/>
        <v>-9.4642857142857011</v>
      </c>
      <c r="DE36" s="422" t="str">
        <f t="shared" si="268"/>
        <v/>
      </c>
      <c r="DF36" s="422">
        <f t="shared" si="269"/>
        <v>35</v>
      </c>
      <c r="DG36" s="422">
        <v>-65.357142857142605</v>
      </c>
      <c r="DH36" s="422">
        <f t="shared" si="270"/>
        <v>-30.357142857142605</v>
      </c>
      <c r="DI36" s="422" t="str">
        <f t="shared" si="271"/>
        <v/>
      </c>
      <c r="DJ36" s="422">
        <f t="shared" si="284"/>
        <v>35</v>
      </c>
      <c r="DK36" s="422">
        <v>41.75</v>
      </c>
      <c r="DL36" s="422">
        <f t="shared" si="272"/>
        <v>76.75</v>
      </c>
      <c r="DM36" s="422" t="str">
        <f t="shared" si="273"/>
        <v>A</v>
      </c>
      <c r="DN36" s="422">
        <f t="shared" si="285"/>
        <v>35</v>
      </c>
      <c r="DO36" s="422">
        <v>27.6071428571429</v>
      </c>
      <c r="DP36" s="422">
        <f t="shared" si="274"/>
        <v>62.607142857142904</v>
      </c>
      <c r="DQ36" s="438" t="str">
        <f t="shared" si="275"/>
        <v>C4</v>
      </c>
      <c r="DR36" s="422">
        <f t="shared" si="286"/>
        <v>35</v>
      </c>
      <c r="DS36" s="422">
        <v>-48.821428571428498</v>
      </c>
      <c r="DT36" s="422">
        <f t="shared" si="276"/>
        <v>-13.821428571428498</v>
      </c>
      <c r="DU36" s="438" t="str">
        <f t="shared" si="277"/>
        <v/>
      </c>
      <c r="DV36" s="422">
        <f t="shared" si="287"/>
        <v>35</v>
      </c>
      <c r="DW36" s="422">
        <v>44.928571428571402</v>
      </c>
      <c r="DX36" s="422">
        <f t="shared" si="278"/>
        <v>79.928571428571402</v>
      </c>
      <c r="DY36" s="438" t="str">
        <f t="shared" si="279"/>
        <v>A</v>
      </c>
      <c r="DZ36" s="422">
        <f t="shared" si="280"/>
        <v>35</v>
      </c>
      <c r="EA36" s="422">
        <v>18.75</v>
      </c>
      <c r="EB36" s="422">
        <f t="shared" si="281"/>
        <v>53.75</v>
      </c>
      <c r="EC36" s="438" t="str">
        <f t="shared" si="282"/>
        <v>C6</v>
      </c>
      <c r="ED36" s="422">
        <f t="shared" si="63"/>
        <v>21.517241379311059</v>
      </c>
      <c r="EE36" s="422">
        <f t="shared" si="100"/>
        <v>1.3448275862069412</v>
      </c>
      <c r="EF36" s="438" t="str">
        <f t="shared" si="101"/>
        <v>F9</v>
      </c>
      <c r="EG36" s="422" t="str">
        <f t="shared" si="102"/>
        <v>FAIL</v>
      </c>
      <c r="EH36" s="439">
        <v>1</v>
      </c>
      <c r="EI36" s="422">
        <f t="shared" si="103"/>
        <v>21.517241379311059</v>
      </c>
      <c r="EJ36" s="440">
        <f t="shared" si="104"/>
        <v>1.3448275862069412E-2</v>
      </c>
      <c r="EK36" s="438" t="s">
        <v>573</v>
      </c>
      <c r="EL36" s="438" t="s">
        <v>762</v>
      </c>
    </row>
    <row r="37" spans="1:142" ht="30.75" thickBot="1">
      <c r="A37" s="781"/>
      <c r="B37" s="801" t="s">
        <v>360</v>
      </c>
      <c r="C37" s="802"/>
      <c r="D37" s="802"/>
      <c r="E37" s="413" t="e">
        <f>VLOOKUP(D19,AB:EL,48,FALSE)</f>
        <v>#N/A</v>
      </c>
      <c r="F37" s="413" t="e">
        <f>VLOOKUP(D19,AB:EL,49,FALSE)</f>
        <v>#N/A</v>
      </c>
      <c r="G37" s="413" t="e">
        <f>VLOOKUP(D19,AB:EL,50,FALSE)</f>
        <v>#N/A</v>
      </c>
      <c r="H37" s="413"/>
      <c r="I37" s="413"/>
      <c r="J37" s="413"/>
      <c r="K37" s="413" t="e">
        <f>VLOOKUP(D19,AB:EL,51,FALSE)</f>
        <v>#N/A</v>
      </c>
      <c r="L37" s="415" t="e">
        <f t="shared" si="247"/>
        <v>#N/A</v>
      </c>
      <c r="M37" s="714"/>
      <c r="N37" s="776" t="s">
        <v>272</v>
      </c>
      <c r="O37" s="778"/>
      <c r="P37" s="674" t="e">
        <f>VLOOKUP(D19,AB:EL,21,FALSE)</f>
        <v>#N/A</v>
      </c>
      <c r="Q37" s="680"/>
      <c r="R37" s="674" t="e">
        <f>IF(P37&gt;=6,"EXCELLENT",
IF(P37&gt;=6,"EXCELLENT",
IF(P37&gt;=5,"EXCELLENT",
IF(P37&gt;=4,"V.GOOD",
IF(P37&gt;=3,"POOR",
IF(P37&gt;=2,"POOR",
IF(P37&gt;=2,"POOR",
IF(P37&gt;=1,"POOR",
IF(P37&gt;=0,"POOR",
IF(P37&gt;=1,"POOR",""))))))))))</f>
        <v>#N/A</v>
      </c>
      <c r="S37" s="675"/>
      <c r="T37" s="390"/>
      <c r="U37" s="390"/>
      <c r="V37" s="714"/>
      <c r="W37" s="714"/>
      <c r="X37" s="714"/>
      <c r="Y37" s="391"/>
      <c r="Z37" s="391"/>
      <c r="AA37" s="420">
        <f t="shared" si="1"/>
        <v>36</v>
      </c>
      <c r="AB37" s="435" t="s">
        <v>57</v>
      </c>
      <c r="AC37" s="422" t="s">
        <v>394</v>
      </c>
      <c r="AD37" s="422" t="s">
        <v>326</v>
      </c>
      <c r="AE37" s="422">
        <v>18.571428571428601</v>
      </c>
      <c r="AF37" s="422">
        <f>'SSS1 ATTENDANCE '!FJ43</f>
        <v>128</v>
      </c>
      <c r="AG37" s="422">
        <f>'SSS1 ATTENDANCE '!FH43</f>
        <v>0</v>
      </c>
      <c r="AH37" s="422">
        <f>'SSS1 ATTENDANCE '!FI43</f>
        <v>128</v>
      </c>
      <c r="AI37" s="436" t="s">
        <v>609</v>
      </c>
      <c r="AJ37" s="437">
        <v>41122</v>
      </c>
      <c r="AK37" s="435" t="s">
        <v>396</v>
      </c>
      <c r="AL37" s="424">
        <v>25</v>
      </c>
      <c r="AM37" s="422">
        <v>43.428571428571402</v>
      </c>
      <c r="AN37" s="438">
        <v>4</v>
      </c>
      <c r="AO37" s="422" t="str">
        <f t="shared" si="64"/>
        <v>3</v>
      </c>
      <c r="AP37" s="438">
        <v>5</v>
      </c>
      <c r="AQ37" s="422">
        <v>4</v>
      </c>
      <c r="AR37" s="438">
        <v>4</v>
      </c>
      <c r="AS37" s="438">
        <v>4</v>
      </c>
      <c r="AT37" s="438">
        <v>4</v>
      </c>
      <c r="AU37" s="438">
        <v>3</v>
      </c>
      <c r="AV37" s="438">
        <v>4</v>
      </c>
      <c r="AW37" s="438">
        <v>4</v>
      </c>
      <c r="AX37" s="438">
        <v>3</v>
      </c>
      <c r="AY37" s="438">
        <v>4</v>
      </c>
      <c r="AZ37" s="438">
        <v>3</v>
      </c>
      <c r="BA37" s="438">
        <v>3</v>
      </c>
      <c r="BB37" s="438">
        <v>3</v>
      </c>
      <c r="BC37" s="438">
        <v>4</v>
      </c>
      <c r="BD37" s="438">
        <v>4</v>
      </c>
      <c r="BE37" s="438">
        <v>4</v>
      </c>
      <c r="BF37" s="438">
        <v>3</v>
      </c>
      <c r="BG37" s="438">
        <v>3</v>
      </c>
      <c r="BH37" s="438">
        <v>3</v>
      </c>
      <c r="BI37" s="438">
        <v>5</v>
      </c>
      <c r="BJ37" s="438">
        <v>4</v>
      </c>
      <c r="BK37" s="438">
        <v>3</v>
      </c>
      <c r="BL37" s="438">
        <v>5</v>
      </c>
      <c r="BM37" s="438">
        <v>3</v>
      </c>
      <c r="BN37" s="422" t="s">
        <v>435</v>
      </c>
      <c r="BO37" s="422">
        <v>18.571428571428601</v>
      </c>
      <c r="BP37" s="422">
        <v>-101</v>
      </c>
      <c r="BQ37" s="422">
        <v>100</v>
      </c>
      <c r="BR37" s="438" t="s">
        <v>749</v>
      </c>
      <c r="BS37" s="422">
        <v>18.571428571428601</v>
      </c>
      <c r="BT37" s="422">
        <v>-62.285714285714299</v>
      </c>
      <c r="BU37" s="422">
        <v>100</v>
      </c>
      <c r="BV37" s="438" t="s">
        <v>749</v>
      </c>
      <c r="BW37" s="422">
        <v>18.571428571428601</v>
      </c>
      <c r="BX37" s="422">
        <v>-62.428571428571402</v>
      </c>
      <c r="BY37" s="422">
        <v>100</v>
      </c>
      <c r="BZ37" s="422" t="str">
        <f t="shared" ref="BZ37" si="292">BV37</f>
        <v>Grades</v>
      </c>
      <c r="CA37" s="422">
        <v>18.571428571428601</v>
      </c>
      <c r="CB37" s="422">
        <v>-68.571428571428598</v>
      </c>
      <c r="CC37" s="422">
        <v>100</v>
      </c>
      <c r="CD37" s="422" t="str">
        <f t="shared" ref="CD37" si="293">BZ37</f>
        <v>Grades</v>
      </c>
      <c r="CE37" s="422">
        <f t="shared" ref="CE37" si="294">CA37</f>
        <v>18.571428571428601</v>
      </c>
      <c r="CF37" s="422">
        <v>-62.571428571428598</v>
      </c>
      <c r="CG37" s="422">
        <v>100</v>
      </c>
      <c r="CH37" s="422" t="str">
        <f t="shared" ref="CH37" si="295">CD37</f>
        <v>Grades</v>
      </c>
      <c r="CI37" s="422">
        <v>18.571428571428601</v>
      </c>
      <c r="CJ37" s="422">
        <v>-18.285714285714299</v>
      </c>
      <c r="CK37" s="422">
        <v>100</v>
      </c>
      <c r="CL37" s="422" t="str">
        <f t="shared" ref="CL37" si="296">CH37</f>
        <v>Grades</v>
      </c>
      <c r="CM37" s="422">
        <v>18.571428571428601</v>
      </c>
      <c r="CN37" s="422">
        <v>60</v>
      </c>
      <c r="CO37" s="422"/>
      <c r="CP37" s="422">
        <v>40</v>
      </c>
      <c r="CQ37" s="422">
        <v>38.982758620689701</v>
      </c>
      <c r="CR37" s="422">
        <v>100</v>
      </c>
      <c r="CS37" s="438" t="str">
        <f t="shared" ref="CS37" si="297">CL37</f>
        <v>Grades</v>
      </c>
      <c r="CT37" s="422">
        <v>7.8947368421052104</v>
      </c>
      <c r="CU37" s="422">
        <v>-68.421052631578704</v>
      </c>
      <c r="CV37" s="422">
        <v>100</v>
      </c>
      <c r="CW37" s="438" t="str">
        <f t="shared" ref="CW37" si="298">CS37</f>
        <v>Grades</v>
      </c>
      <c r="CX37" s="422">
        <v>1.6666666666666601</v>
      </c>
      <c r="CY37" s="422">
        <v>-68.571428571428598</v>
      </c>
      <c r="CZ37" s="422">
        <v>100</v>
      </c>
      <c r="DA37" s="438" t="str">
        <f t="shared" ref="DA37" si="299">CW37</f>
        <v>Grades</v>
      </c>
      <c r="DB37" s="422">
        <v>-60</v>
      </c>
      <c r="DC37" s="422">
        <v>-47.142857142857103</v>
      </c>
      <c r="DD37" s="422">
        <v>100</v>
      </c>
      <c r="DE37" s="422" t="str">
        <f t="shared" ref="DE37" si="300">DA37</f>
        <v>Grades</v>
      </c>
      <c r="DF37" s="422">
        <v>40</v>
      </c>
      <c r="DG37" s="422">
        <v>-68.571428571428598</v>
      </c>
      <c r="DH37" s="422">
        <v>100</v>
      </c>
      <c r="DI37" s="422" t="str">
        <f t="shared" ref="DI37" si="301">DE37</f>
        <v>Grades</v>
      </c>
      <c r="DJ37" s="422">
        <v>-10</v>
      </c>
      <c r="DK37" s="422">
        <v>41.571428571428498</v>
      </c>
      <c r="DL37" s="422">
        <v>100</v>
      </c>
      <c r="DM37" s="422" t="str">
        <f t="shared" ref="DM37" si="302">DI37</f>
        <v>Grades</v>
      </c>
      <c r="DN37" s="422">
        <v>-10</v>
      </c>
      <c r="DO37" s="422">
        <v>27</v>
      </c>
      <c r="DP37" s="422">
        <v>100</v>
      </c>
      <c r="DQ37" s="438" t="str">
        <f t="shared" ref="DQ37" si="303">DM37</f>
        <v>Grades</v>
      </c>
      <c r="DR37" s="422">
        <v>-110</v>
      </c>
      <c r="DS37" s="422">
        <v>-51.428571428571402</v>
      </c>
      <c r="DT37" s="422">
        <v>100</v>
      </c>
      <c r="DU37" s="438" t="str">
        <f t="shared" ref="DU37" si="304">DQ37</f>
        <v>Grades</v>
      </c>
      <c r="DV37" s="422">
        <v>-10</v>
      </c>
      <c r="DW37" s="422">
        <v>44.857142857142797</v>
      </c>
      <c r="DX37" s="422">
        <v>100</v>
      </c>
      <c r="DY37" s="438" t="str">
        <f t="shared" ref="DY37" si="305">DU37</f>
        <v>Grades</v>
      </c>
      <c r="DZ37" s="422">
        <v>40</v>
      </c>
      <c r="EA37" s="422">
        <v>18</v>
      </c>
      <c r="EB37" s="422">
        <v>100</v>
      </c>
      <c r="EC37" s="438" t="str">
        <f t="shared" ref="EC37" si="306">DY37</f>
        <v>Grades</v>
      </c>
      <c r="ED37" s="422">
        <f t="shared" si="63"/>
        <v>1600</v>
      </c>
      <c r="EE37" s="422">
        <f t="shared" si="100"/>
        <v>100</v>
      </c>
      <c r="EF37" s="438" t="str">
        <f t="shared" si="101"/>
        <v>A1</v>
      </c>
      <c r="EG37" s="422" t="str">
        <f t="shared" si="102"/>
        <v>DISTINTION</v>
      </c>
      <c r="EH37" s="439">
        <v>1</v>
      </c>
      <c r="EI37" s="422">
        <f t="shared" si="103"/>
        <v>1600</v>
      </c>
      <c r="EJ37" s="440">
        <f t="shared" si="104"/>
        <v>1</v>
      </c>
      <c r="EK37" s="438" t="s">
        <v>573</v>
      </c>
      <c r="EL37" s="438" t="s">
        <v>762</v>
      </c>
    </row>
    <row r="38" spans="1:142" ht="30.75" thickBot="1">
      <c r="A38" s="781"/>
      <c r="B38" s="796" t="s">
        <v>361</v>
      </c>
      <c r="C38" s="800"/>
      <c r="D38" s="800"/>
      <c r="E38" s="413" t="e">
        <f>VLOOKUP(D19,AB:EL,52,FALSE)</f>
        <v>#N/A</v>
      </c>
      <c r="F38" s="413" t="e">
        <f>VLOOKUP(D19,AB:EL,53,FALSE)</f>
        <v>#N/A</v>
      </c>
      <c r="G38" s="413" t="e">
        <f>VLOOKUP(D19,AB:EL,54,FALSE)</f>
        <v>#N/A</v>
      </c>
      <c r="H38" s="413"/>
      <c r="I38" s="413"/>
      <c r="J38" s="413"/>
      <c r="K38" s="413" t="e">
        <f>VLOOKUP(D19,AB:EL,55,FALSE)</f>
        <v>#N/A</v>
      </c>
      <c r="L38" s="415" t="e">
        <f t="shared" si="247"/>
        <v>#N/A</v>
      </c>
      <c r="M38" s="714"/>
      <c r="N38" s="774" t="s">
        <v>273</v>
      </c>
      <c r="O38" s="775"/>
      <c r="P38" s="674" t="e">
        <f>VLOOKUP(D19,AB:EL,22,FALSE)</f>
        <v>#N/A</v>
      </c>
      <c r="Q38" s="680"/>
      <c r="R38" s="674" t="e">
        <f>IF(P38&gt;=6,"EXCELLENT",
IF(P38&gt;=6,"EXCELLENT",
IF(P38&gt;=5,"EXCELLENT",
IF(P38&gt;=4,"V.GOOD",
IF(P38&gt;=3,"POOR",
IF(P38&gt;=2,"POOR",
IF(P38&gt;=2,"POOR",
IF(P38&gt;=1,"POOR",
IF(P38&gt;=0,"POOR",
IF(P38&gt;=1,"POOR",""))))))))))</f>
        <v>#N/A</v>
      </c>
      <c r="S38" s="675"/>
      <c r="T38" s="390"/>
      <c r="U38" s="390"/>
      <c r="V38" s="714"/>
      <c r="W38" s="714"/>
      <c r="X38" s="714"/>
      <c r="Y38" s="391"/>
      <c r="Z38" s="391"/>
      <c r="AA38" s="420">
        <f t="shared" si="1"/>
        <v>37</v>
      </c>
      <c r="AB38" s="435" t="s">
        <v>58</v>
      </c>
      <c r="AC38" s="422" t="s">
        <v>394</v>
      </c>
      <c r="AD38" s="422" t="s">
        <v>326</v>
      </c>
      <c r="AE38" s="422">
        <v>18.714285714285701</v>
      </c>
      <c r="AF38" s="422">
        <f>'SSS1 ATTENDANCE '!FJ44</f>
        <v>128</v>
      </c>
      <c r="AG38" s="422">
        <f>'SSS1 ATTENDANCE '!FH44</f>
        <v>0</v>
      </c>
      <c r="AH38" s="422">
        <f>'SSS1 ATTENDANCE '!FI44</f>
        <v>128</v>
      </c>
      <c r="AI38" s="436" t="s">
        <v>610</v>
      </c>
      <c r="AJ38" s="437">
        <v>40844</v>
      </c>
      <c r="AK38" s="435" t="s">
        <v>396</v>
      </c>
      <c r="AL38" s="424">
        <v>25</v>
      </c>
      <c r="AM38" s="422">
        <v>43.964285714285701</v>
      </c>
      <c r="AN38" s="438">
        <v>4</v>
      </c>
      <c r="AO38" s="422" t="str">
        <f t="shared" si="64"/>
        <v>3</v>
      </c>
      <c r="AP38" s="438">
        <v>5</v>
      </c>
      <c r="AQ38" s="422">
        <v>4</v>
      </c>
      <c r="AR38" s="438">
        <v>4</v>
      </c>
      <c r="AS38" s="438">
        <v>4</v>
      </c>
      <c r="AT38" s="438">
        <v>4</v>
      </c>
      <c r="AU38" s="438">
        <v>3</v>
      </c>
      <c r="AV38" s="438">
        <v>4</v>
      </c>
      <c r="AW38" s="438">
        <v>4</v>
      </c>
      <c r="AX38" s="438">
        <v>3</v>
      </c>
      <c r="AY38" s="438">
        <v>4</v>
      </c>
      <c r="AZ38" s="438">
        <v>3</v>
      </c>
      <c r="BA38" s="438">
        <v>3</v>
      </c>
      <c r="BB38" s="438">
        <v>3</v>
      </c>
      <c r="BC38" s="438">
        <v>4</v>
      </c>
      <c r="BD38" s="438">
        <v>4</v>
      </c>
      <c r="BE38" s="438">
        <v>4</v>
      </c>
      <c r="BF38" s="438">
        <v>3</v>
      </c>
      <c r="BG38" s="438">
        <v>3</v>
      </c>
      <c r="BH38" s="438">
        <v>3</v>
      </c>
      <c r="BI38" s="438">
        <v>5</v>
      </c>
      <c r="BJ38" s="438">
        <v>4</v>
      </c>
      <c r="BK38" s="438">
        <v>3</v>
      </c>
      <c r="BL38" s="438">
        <v>5</v>
      </c>
      <c r="BM38" s="438">
        <v>3</v>
      </c>
      <c r="BN38" s="422" t="s">
        <v>436</v>
      </c>
      <c r="BO38" s="438">
        <v>18.035714285714299</v>
      </c>
      <c r="BP38" s="438">
        <v>-105.178571428571</v>
      </c>
      <c r="BQ38" s="422">
        <f t="shared" ref="BQ38:BQ43" si="307">SUM(BO38:BP38)</f>
        <v>-87.142857142856712</v>
      </c>
      <c r="BR38" s="438" t="str">
        <f t="shared" ref="BR38:BR43" si="308">IF(BQ38&gt;=80,"A1",
IF(BQ38&gt;=75,"A",
IF(BQ38&gt;=70,"B2",
IF(BQ38&gt;=65,"B3",
IF(BQ38&gt;=60,"C4",
IF(BQ38&gt;=55,"C5",
IF(BQ38&gt;=50,"C6",
IF(BQ38&gt;=45,"D7",
IF(BQ38&gt;=40,"E8",
IF(BQ38&gt;=1,"F9",""))))))))))</f>
        <v/>
      </c>
      <c r="BS38" s="422">
        <v>18.035714285714299</v>
      </c>
      <c r="BT38" s="438">
        <v>-65.535714285714306</v>
      </c>
      <c r="BU38" s="422">
        <f t="shared" ref="BU38:BU43" si="309">SUM(BS38:BT38)</f>
        <v>-47.500000000000007</v>
      </c>
      <c r="BV38" s="438" t="str">
        <f t="shared" ref="BV38:BV43" si="310">IF(BU38&gt;=80,"A1",
IF(BU38&gt;=75,"A",
IF(BU38&gt;=70,"B2",
IF(BU38&gt;=65,"B3",
IF(BU38&gt;=60,"C4",
IF(BU38&gt;=55,"C5",
IF(BU38&gt;=50,"C6",
IF(BU38&gt;=45,"D7",
IF(BU38&gt;=40,"E8",
IF(BU38&gt;=1,"F9",""))))))))))</f>
        <v/>
      </c>
      <c r="BW38" s="422">
        <v>18.035714285714299</v>
      </c>
      <c r="BX38" s="422">
        <v>-65.535714285714405</v>
      </c>
      <c r="BY38" s="422">
        <f t="shared" ref="BY38:BY43" si="311">SUM(BW38:BX38)</f>
        <v>-47.500000000000107</v>
      </c>
      <c r="BZ38" s="438" t="str">
        <f t="shared" ref="BZ38:BZ43" si="312">IF(BY38&gt;=80,"A1",
IF(BY38&gt;=75,"A",
IF(BY38&gt;=70,"B2",
IF(BY38&gt;=65,"B3",
IF(BY38&gt;=60,"C4",
IF(BY38&gt;=55,"C5",
IF(BY38&gt;=50,"C6",
IF(BY38&gt;=45,"D7",
IF(BY38&gt;=40,"E8",
IF(BY38&gt;=1,"F9",""))))))))))</f>
        <v/>
      </c>
      <c r="CA38" s="422">
        <v>18.035714285714299</v>
      </c>
      <c r="CB38" s="422">
        <v>-71.785714285714604</v>
      </c>
      <c r="CC38" s="422">
        <f t="shared" ref="CC38:CC43" si="313">SUM(CA38:CB38)</f>
        <v>-53.750000000000306</v>
      </c>
      <c r="CD38" s="438" t="str">
        <f t="shared" ref="CD38:CD43" si="314">IF(CC38&gt;=80,"A1",
IF(CC38&gt;=75,"A",
IF(CC38&gt;=70,"B2",
IF(CC38&gt;=65,"B3",
IF(CC38&gt;=60,"C4",
IF(CC38&gt;=55,"C5",
IF(CC38&gt;=50,"C6",
IF(CC38&gt;=45,"D7",
IF(CC38&gt;=40,"E8",
IF(CC38&gt;=1,"F9",""))))))))))</f>
        <v/>
      </c>
      <c r="CE38" s="422">
        <v>35</v>
      </c>
      <c r="CF38" s="422">
        <v>-65.714285714285595</v>
      </c>
      <c r="CG38" s="422">
        <f t="shared" ref="CG38:CG43" si="315">SUM(CE38:CF38)</f>
        <v>-30.714285714285595</v>
      </c>
      <c r="CH38" s="438" t="str">
        <f t="shared" ref="CH38:CH43" si="316">IF(CG38&gt;=80,"A1",
IF(CG38&gt;=75,"A",
IF(CG38&gt;=70,"B2",
IF(CG38&gt;=65,"B3",
IF(CG38&gt;=60,"C4",
IF(CG38&gt;=55,"C5",
IF(CG38&gt;=50,"C6",
IF(CG38&gt;=45,"D7",
IF(CG38&gt;=40,"E8",
IF(CG38&gt;=1,"F9",""))))))))))</f>
        <v/>
      </c>
      <c r="CI38" s="422">
        <v>18.035714285714299</v>
      </c>
      <c r="CJ38" s="422">
        <v>-20.1071428571429</v>
      </c>
      <c r="CK38" s="422">
        <f t="shared" ref="CK38:CK43" si="317">SUM(CI38:CJ38)</f>
        <v>-2.0714285714286014</v>
      </c>
      <c r="CL38" s="438" t="str">
        <f t="shared" ref="CL38:CL43" si="318">IF(CK38&gt;=80,"A1",
IF(CK38&gt;=75,"A",
IF(CK38&gt;=70,"B2",
IF(CK38&gt;=65,"B3",
IF(CK38&gt;=60,"C4",
IF(CK38&gt;=55,"C5",
IF(CK38&gt;=50,"C6",
IF(CK38&gt;=45,"D7",
IF(CK38&gt;=40,"E8",
IF(CK38&gt;=1,"F9",""))))))))))</f>
        <v/>
      </c>
      <c r="CM38" s="422">
        <v>18.035714285714299</v>
      </c>
      <c r="CN38" s="422"/>
      <c r="CO38" s="422"/>
      <c r="CP38" s="422">
        <f t="shared" ref="CP38:CP39" si="319">CM38</f>
        <v>18.035714285714299</v>
      </c>
      <c r="CQ38" s="422">
        <v>38.698275862069003</v>
      </c>
      <c r="CR38" s="422">
        <f t="shared" ref="CR38:CR43" si="320">SUM(CP38:CQ38)</f>
        <v>56.733990147783302</v>
      </c>
      <c r="CS38" s="438" t="str">
        <f t="shared" ref="CS38:CS43" si="321">IF(CR38&gt;=80,"A1",
IF(CR38&gt;=75,"A",
IF(CR38&gt;=70,"B2",
IF(CR38&gt;=65,"B3",
IF(CR38&gt;=60,"C4",
IF(CR38&gt;=55,"C5",
IF(CR38&gt;=50,"C6",
IF(CR38&gt;=45,"D7",
IF(CR38&gt;=40,"E8",
IF(CR38&gt;=1,"F9",""))))))))))</f>
        <v>C5</v>
      </c>
      <c r="CT38" s="422">
        <v>6.8421052631579098</v>
      </c>
      <c r="CU38" s="422">
        <v>-72.631578947368794</v>
      </c>
      <c r="CV38" s="422">
        <f t="shared" ref="CV38:CV43" si="322">SUM(CT38:CU38)</f>
        <v>-65.78947368421089</v>
      </c>
      <c r="CW38" s="438" t="str">
        <f t="shared" ref="CW38:CW43" si="323">IF(CV38&gt;=80,"A1",
IF(CV38&gt;=75,"A",
IF(CV38&gt;=70,"B2",
IF(CV38&gt;=65,"B3",
IF(CV38&gt;=60,"C4",
IF(CV38&gt;=55,"C5",
IF(CV38&gt;=50,"C6",
IF(CV38&gt;=45,"D7",
IF(CV38&gt;=40,"E8",
IF(CV38&gt;=1,"F9",""))))))))))</f>
        <v/>
      </c>
      <c r="CX38" s="422">
        <v>-0.83333333333333603</v>
      </c>
      <c r="CY38" s="422">
        <v>-71.785714285714604</v>
      </c>
      <c r="CZ38" s="422">
        <f t="shared" ref="CZ38:CZ43" si="324">SUM(CX38:CY38)</f>
        <v>-72.619047619047947</v>
      </c>
      <c r="DA38" s="438" t="str">
        <f t="shared" ref="DA38:DA43" si="325">IF(CZ38&gt;=80,"A1",
IF(CZ38&gt;=75,"A",
IF(CZ38&gt;=70,"B2",
IF(CZ38&gt;=65,"B3",
IF(CZ38&gt;=60,"C4",
IF(CZ38&gt;=55,"C5",
IF(CZ38&gt;=50,"C6",
IF(CZ38&gt;=45,"D7",
IF(CZ38&gt;=40,"E8",
IF(CZ38&gt;=1,"F9",""))))))))))</f>
        <v/>
      </c>
      <c r="DB38" s="422">
        <v>-70</v>
      </c>
      <c r="DC38" s="422">
        <v>-49.821428571428598</v>
      </c>
      <c r="DD38" s="422">
        <f t="shared" ref="DD38:DD43" si="326">SUM(DB38:DC38)</f>
        <v>-119.8214285714286</v>
      </c>
      <c r="DE38" s="422" t="str">
        <f t="shared" ref="DE38:DE43" si="327">IF(DD38&gt;=80,"A1",
IF(DD38&gt;=75,"A",
IF(DD38&gt;=70,"B2",
IF(DD38&gt;=65,"B3",
IF(DD38&gt;=60,"C4",
IF(DD38&gt;=55,"C5",
IF(DD38&gt;=50,"C6",
IF(DD38&gt;=45,"D7",
IF(DD38&gt;=40,"E8",
IF(DD38&gt;=1,"F9",""))))))))))</f>
        <v/>
      </c>
      <c r="DF38" s="422">
        <f t="shared" ref="DF38:DF43" si="328">DB38</f>
        <v>-70</v>
      </c>
      <c r="DG38" s="422">
        <v>-71.785714285714604</v>
      </c>
      <c r="DH38" s="422">
        <f t="shared" ref="DH38:DH43" si="329">SUM(DF38:DG38)</f>
        <v>-141.78571428571462</v>
      </c>
      <c r="DI38" s="422" t="str">
        <f t="shared" ref="DI38:DI43" si="330">IF(DH38&gt;=80,"A1",
IF(DH38&gt;=75,"A",
IF(DH38&gt;=70,"B2",
IF(DH38&gt;=65,"B3",
IF(DH38&gt;=60,"C4",
IF(DH38&gt;=55,"C5",
IF(DH38&gt;=50,"C6",
IF(DH38&gt;=45,"D7",
IF(DH38&gt;=40,"E8",
IF(DH38&gt;=1,"F9",""))))))))))</f>
        <v/>
      </c>
      <c r="DJ38" s="422">
        <v>-15</v>
      </c>
      <c r="DK38" s="422">
        <v>41.392857142857103</v>
      </c>
      <c r="DL38" s="422">
        <f t="shared" ref="DL38:DL43" si="331">SUM(DJ38:DK38)</f>
        <v>26.392857142857103</v>
      </c>
      <c r="DM38" s="422" t="str">
        <f t="shared" ref="DM38:DM43" si="332">IF(DL38&gt;=80,"A1",
IF(DL38&gt;=75,"A",
IF(DL38&gt;=70,"B2",
IF(DL38&gt;=65,"B3",
IF(DL38&gt;=60,"C4",
IF(DL38&gt;=55,"C5",
IF(DL38&gt;=50,"C6",
IF(DL38&gt;=45,"D7",
IF(DL38&gt;=40,"E8",
IF(DL38&gt;=1,"F9",""))))))))))</f>
        <v>F9</v>
      </c>
      <c r="DN38" s="422">
        <v>-15</v>
      </c>
      <c r="DO38" s="422">
        <v>26.3928571428571</v>
      </c>
      <c r="DP38" s="422">
        <f t="shared" ref="DP38:DP43" si="333">SUM(DN38:DO38)</f>
        <v>11.3928571428571</v>
      </c>
      <c r="DQ38" s="438" t="str">
        <f t="shared" ref="DQ38:DQ43" si="334">IF(DP38&gt;=80,"A1",
IF(DP38&gt;=75,"A",
IF(DP38&gt;=70,"B2",
IF(DP38&gt;=65,"B3",
IF(DP38&gt;=60,"C4",
IF(DP38&gt;=55,"C5",
IF(DP38&gt;=50,"C6",
IF(DP38&gt;=45,"D7",
IF(DP38&gt;=40,"E8",
IF(DP38&gt;=1,"F9",""))))))))))</f>
        <v>F9</v>
      </c>
      <c r="DR38" s="422">
        <v>-125</v>
      </c>
      <c r="DS38" s="422">
        <v>-54.035714285714299</v>
      </c>
      <c r="DT38" s="422">
        <f t="shared" ref="DT38:DT43" si="335">SUM(DR38:DS38)</f>
        <v>-179.03571428571431</v>
      </c>
      <c r="DU38" s="438" t="str">
        <f t="shared" ref="DU38:DU43" si="336">IF(DT38&gt;=80,"A1",
IF(DT38&gt;=75,"A",
IF(DT38&gt;=70,"B2",
IF(DT38&gt;=65,"B3",
IF(DT38&gt;=60,"C4",
IF(DT38&gt;=55,"C5",
IF(DT38&gt;=50,"C6",
IF(DT38&gt;=45,"D7",
IF(DT38&gt;=40,"E8",
IF(DT38&gt;=1,"F9",""))))))))))</f>
        <v/>
      </c>
      <c r="DV38" s="422">
        <v>-15</v>
      </c>
      <c r="DW38" s="422">
        <v>44.785714285714299</v>
      </c>
      <c r="DX38" s="422">
        <f t="shared" ref="DX38:DX43" si="337">SUM(DV38:DW38)</f>
        <v>29.785714285714299</v>
      </c>
      <c r="DY38" s="438" t="str">
        <f t="shared" ref="DY38:DY43" si="338">IF(DX38&gt;=80,"A1",
IF(DX38&gt;=75,"A",
IF(DX38&gt;=70,"B2",
IF(DX38&gt;=65,"B3",
IF(DX38&gt;=60,"C4",
IF(DX38&gt;=55,"C5",
IF(DX38&gt;=50,"C6",
IF(DX38&gt;=45,"D7",
IF(DX38&gt;=40,"E8",
IF(DX38&gt;=1,"F9",""))))))))))</f>
        <v>F9</v>
      </c>
      <c r="DZ38" s="422">
        <f t="shared" ref="DZ38:DZ43" si="339">DV38</f>
        <v>-15</v>
      </c>
      <c r="EA38" s="422">
        <v>17.25</v>
      </c>
      <c r="EB38" s="422">
        <f t="shared" ref="EB38:EB43" si="340">SUM(DZ38:EA38)</f>
        <v>2.25</v>
      </c>
      <c r="EC38" s="438" t="str">
        <f t="shared" ref="EC38:EC43" si="341">IF(EB38&gt;=80,"A1",
IF(EB38&gt;=75,"A",
IF(EB38&gt;=70,"B2",
IF(EB38&gt;=65,"B3",
IF(EB38&gt;=60,"C4",
IF(EB38&gt;=55,"C5",
IF(EB38&gt;=50,"C6",
IF(EB38&gt;=45,"D7",
IF(EB38&gt;=40,"E8",
IF(EB38&gt;=1,"F9",""))))))))))</f>
        <v>F9</v>
      </c>
      <c r="ED38" s="422">
        <f t="shared" si="63"/>
        <v>-721.17453115547585</v>
      </c>
      <c r="EE38" s="422">
        <f t="shared" si="100"/>
        <v>-45.07340819721724</v>
      </c>
      <c r="EF38" s="438" t="str">
        <f t="shared" si="101"/>
        <v/>
      </c>
      <c r="EG38" s="422" t="str">
        <f t="shared" si="102"/>
        <v/>
      </c>
      <c r="EH38" s="439">
        <v>1</v>
      </c>
      <c r="EI38" s="422">
        <f t="shared" si="103"/>
        <v>-721.17453115547585</v>
      </c>
      <c r="EJ38" s="440">
        <f t="shared" si="104"/>
        <v>-0.45073408197217241</v>
      </c>
      <c r="EK38" s="438" t="s">
        <v>573</v>
      </c>
      <c r="EL38" s="438" t="s">
        <v>762</v>
      </c>
    </row>
    <row r="39" spans="1:142" ht="30.75" thickBot="1">
      <c r="A39" s="781"/>
      <c r="B39" s="798" t="s">
        <v>362</v>
      </c>
      <c r="C39" s="800"/>
      <c r="D39" s="800"/>
      <c r="E39" s="413" t="e">
        <f>VLOOKUP(D19,AB:EL,75,FALSE)</f>
        <v>#N/A</v>
      </c>
      <c r="F39" s="413" t="e">
        <f>VLOOKUP(D19,AB:EL,76,FALSE)</f>
        <v>#N/A</v>
      </c>
      <c r="G39" s="413" t="e">
        <f>VLOOKUP(D19,AB:EL,77,FALSE)</f>
        <v>#N/A</v>
      </c>
      <c r="H39" s="413"/>
      <c r="I39" s="413"/>
      <c r="J39" s="413"/>
      <c r="K39" s="413" t="e">
        <f>VLOOKUP(D19,AB:EL,78,FALSE)</f>
        <v>#N/A</v>
      </c>
      <c r="L39" s="415" t="e">
        <f t="shared" si="247"/>
        <v>#N/A</v>
      </c>
      <c r="M39" s="714"/>
      <c r="N39" s="776" t="s">
        <v>346</v>
      </c>
      <c r="O39" s="778"/>
      <c r="P39" s="674" t="e">
        <f>VLOOKUP(D19,AB:EL,23,FALSE)</f>
        <v>#N/A</v>
      </c>
      <c r="Q39" s="680"/>
      <c r="R39" s="674" t="e">
        <f t="shared" ref="R39:R42" si="342">IF(P39&gt;=6,"EXCELLENT",
IF(P39&gt;=6,"EXCELLENT",
IF(P39&gt;=5,"EXCELLENT",
IF(P39&gt;=4,"V.GOOD",
IF(P39&gt;=3,"POOR",
IF(P39&gt;=2,"POOR",
IF(P39&gt;=2,"POOR",
IF(P39&gt;=1,"POOR",
IF(P39&gt;=0,"POOR",
IF(P39&gt;=1,"POOR",""))))))))))</f>
        <v>#N/A</v>
      </c>
      <c r="S39" s="675"/>
      <c r="T39" s="390"/>
      <c r="U39" s="390"/>
      <c r="V39" s="714"/>
      <c r="W39" s="714"/>
      <c r="X39" s="714"/>
      <c r="Y39" s="391"/>
      <c r="Z39" s="391"/>
      <c r="AA39" s="420">
        <f t="shared" si="1"/>
        <v>38</v>
      </c>
      <c r="AB39" s="435" t="s">
        <v>59</v>
      </c>
      <c r="AC39" s="422" t="s">
        <v>394</v>
      </c>
      <c r="AD39" s="422" t="s">
        <v>326</v>
      </c>
      <c r="AE39" s="422">
        <v>18.8571428571429</v>
      </c>
      <c r="AF39" s="422">
        <f>'SSS1 ATTENDANCE '!FJ45</f>
        <v>128</v>
      </c>
      <c r="AG39" s="422">
        <f>'SSS1 ATTENDANCE '!FH45</f>
        <v>0</v>
      </c>
      <c r="AH39" s="422">
        <f>'SSS1 ATTENDANCE '!FI45</f>
        <v>128</v>
      </c>
      <c r="AI39" s="436" t="s">
        <v>611</v>
      </c>
      <c r="AJ39" s="437">
        <v>40754</v>
      </c>
      <c r="AK39" s="435" t="s">
        <v>396</v>
      </c>
      <c r="AL39" s="424">
        <v>25</v>
      </c>
      <c r="AM39" s="422">
        <v>44.5</v>
      </c>
      <c r="AN39" s="438">
        <v>4</v>
      </c>
      <c r="AO39" s="422" t="str">
        <f t="shared" si="64"/>
        <v>3</v>
      </c>
      <c r="AP39" s="438">
        <v>5</v>
      </c>
      <c r="AQ39" s="422">
        <v>4</v>
      </c>
      <c r="AR39" s="438">
        <v>4</v>
      </c>
      <c r="AS39" s="438">
        <v>4</v>
      </c>
      <c r="AT39" s="438">
        <v>4</v>
      </c>
      <c r="AU39" s="438">
        <v>3</v>
      </c>
      <c r="AV39" s="438">
        <v>4</v>
      </c>
      <c r="AW39" s="438">
        <v>4</v>
      </c>
      <c r="AX39" s="438">
        <v>3</v>
      </c>
      <c r="AY39" s="438">
        <v>4</v>
      </c>
      <c r="AZ39" s="438">
        <v>3</v>
      </c>
      <c r="BA39" s="438">
        <v>3</v>
      </c>
      <c r="BB39" s="438">
        <v>3</v>
      </c>
      <c r="BC39" s="438">
        <v>4</v>
      </c>
      <c r="BD39" s="438">
        <v>4</v>
      </c>
      <c r="BE39" s="438">
        <v>4</v>
      </c>
      <c r="BF39" s="438">
        <v>3</v>
      </c>
      <c r="BG39" s="438">
        <v>3</v>
      </c>
      <c r="BH39" s="438">
        <v>3</v>
      </c>
      <c r="BI39" s="438">
        <v>5</v>
      </c>
      <c r="BJ39" s="438">
        <v>4</v>
      </c>
      <c r="BK39" s="438">
        <v>3</v>
      </c>
      <c r="BL39" s="438">
        <v>5</v>
      </c>
      <c r="BM39" s="438">
        <v>3</v>
      </c>
      <c r="BN39" s="422" t="s">
        <v>437</v>
      </c>
      <c r="BO39" s="438">
        <v>17.5</v>
      </c>
      <c r="BP39" s="438">
        <v>-109.357142857143</v>
      </c>
      <c r="BQ39" s="422">
        <f t="shared" si="307"/>
        <v>-91.857142857143003</v>
      </c>
      <c r="BR39" s="438" t="str">
        <f t="shared" si="308"/>
        <v/>
      </c>
      <c r="BS39" s="422">
        <v>17.5</v>
      </c>
      <c r="BT39" s="438">
        <v>-68.785714285714306</v>
      </c>
      <c r="BU39" s="422">
        <f t="shared" si="309"/>
        <v>-51.285714285714306</v>
      </c>
      <c r="BV39" s="438" t="str">
        <f t="shared" si="310"/>
        <v/>
      </c>
      <c r="BW39" s="422">
        <v>17.5</v>
      </c>
      <c r="BX39" s="422">
        <v>-68.642857142857395</v>
      </c>
      <c r="BY39" s="422">
        <f t="shared" si="311"/>
        <v>-51.142857142857395</v>
      </c>
      <c r="BZ39" s="438" t="str">
        <f t="shared" si="312"/>
        <v/>
      </c>
      <c r="CA39" s="422">
        <v>17.5</v>
      </c>
      <c r="CB39" s="422">
        <v>-74.999999999999602</v>
      </c>
      <c r="CC39" s="422">
        <f t="shared" si="313"/>
        <v>-57.499999999999602</v>
      </c>
      <c r="CD39" s="438" t="str">
        <f t="shared" si="314"/>
        <v/>
      </c>
      <c r="CE39" s="422">
        <v>35</v>
      </c>
      <c r="CF39" s="422">
        <v>-68.857142857142605</v>
      </c>
      <c r="CG39" s="422">
        <f t="shared" si="315"/>
        <v>-33.857142857142605</v>
      </c>
      <c r="CH39" s="438" t="str">
        <f t="shared" si="316"/>
        <v/>
      </c>
      <c r="CI39" s="422">
        <v>17.5</v>
      </c>
      <c r="CJ39" s="422">
        <v>-21.928571428571502</v>
      </c>
      <c r="CK39" s="422">
        <f t="shared" si="317"/>
        <v>-4.4285714285715017</v>
      </c>
      <c r="CL39" s="438" t="str">
        <f t="shared" si="318"/>
        <v/>
      </c>
      <c r="CM39" s="422">
        <v>17.5</v>
      </c>
      <c r="CN39" s="422"/>
      <c r="CO39" s="422"/>
      <c r="CP39" s="422">
        <f t="shared" si="319"/>
        <v>17.5</v>
      </c>
      <c r="CQ39" s="422">
        <v>38.413793103448299</v>
      </c>
      <c r="CR39" s="422">
        <f t="shared" si="320"/>
        <v>55.913793103448299</v>
      </c>
      <c r="CS39" s="438" t="str">
        <f t="shared" si="321"/>
        <v>C5</v>
      </c>
      <c r="CT39" s="422">
        <v>5.7894736842105097</v>
      </c>
      <c r="CU39" s="422">
        <v>-76.842105263157706</v>
      </c>
      <c r="CV39" s="422">
        <f t="shared" si="322"/>
        <v>-71.052631578947199</v>
      </c>
      <c r="CW39" s="438" t="str">
        <f t="shared" si="323"/>
        <v/>
      </c>
      <c r="CX39" s="422">
        <v>-3.3333333333333401</v>
      </c>
      <c r="CY39" s="422">
        <v>-74.999999999999602</v>
      </c>
      <c r="CZ39" s="422">
        <f t="shared" si="324"/>
        <v>-78.333333333332945</v>
      </c>
      <c r="DA39" s="438" t="str">
        <f t="shared" si="325"/>
        <v/>
      </c>
      <c r="DB39" s="422">
        <f t="shared" ref="DB39:DB43" si="343">CX39</f>
        <v>-3.3333333333333401</v>
      </c>
      <c r="DC39" s="422">
        <v>-52.5</v>
      </c>
      <c r="DD39" s="422">
        <f t="shared" si="326"/>
        <v>-55.833333333333343</v>
      </c>
      <c r="DE39" s="422" t="str">
        <f t="shared" si="327"/>
        <v/>
      </c>
      <c r="DF39" s="422">
        <f t="shared" si="328"/>
        <v>-3.3333333333333401</v>
      </c>
      <c r="DG39" s="422">
        <v>-74.999999999999602</v>
      </c>
      <c r="DH39" s="422">
        <f t="shared" si="329"/>
        <v>-78.333333333332945</v>
      </c>
      <c r="DI39" s="422" t="str">
        <f t="shared" si="330"/>
        <v/>
      </c>
      <c r="DJ39" s="422">
        <f t="shared" ref="DJ39:DJ43" si="344">DF39</f>
        <v>-3.3333333333333401</v>
      </c>
      <c r="DK39" s="422">
        <v>41.214285714285701</v>
      </c>
      <c r="DL39" s="422">
        <f t="shared" si="331"/>
        <v>37.880952380952358</v>
      </c>
      <c r="DM39" s="422" t="str">
        <f t="shared" si="332"/>
        <v>F9</v>
      </c>
      <c r="DN39" s="422">
        <f t="shared" ref="DN39:DN43" si="345">DJ39</f>
        <v>-3.3333333333333401</v>
      </c>
      <c r="DO39" s="422">
        <v>25.785714285714299</v>
      </c>
      <c r="DP39" s="422">
        <f t="shared" si="333"/>
        <v>22.45238095238096</v>
      </c>
      <c r="DQ39" s="438" t="str">
        <f t="shared" si="334"/>
        <v>F9</v>
      </c>
      <c r="DR39" s="422">
        <f t="shared" ref="DR39:DR43" si="346">DN39</f>
        <v>-3.3333333333333401</v>
      </c>
      <c r="DS39" s="422">
        <v>-56.642857142857103</v>
      </c>
      <c r="DT39" s="422">
        <f t="shared" si="335"/>
        <v>-59.976190476190446</v>
      </c>
      <c r="DU39" s="438" t="str">
        <f t="shared" si="336"/>
        <v/>
      </c>
      <c r="DV39" s="422">
        <f t="shared" ref="DV39:DV43" si="347">DR39</f>
        <v>-3.3333333333333401</v>
      </c>
      <c r="DW39" s="422">
        <v>44.714285714285701</v>
      </c>
      <c r="DX39" s="422">
        <f t="shared" si="337"/>
        <v>41.380952380952358</v>
      </c>
      <c r="DY39" s="438" t="str">
        <f t="shared" si="338"/>
        <v>E8</v>
      </c>
      <c r="DZ39" s="422">
        <f t="shared" si="339"/>
        <v>-3.3333333333333401</v>
      </c>
      <c r="EA39" s="422">
        <v>16.5</v>
      </c>
      <c r="EB39" s="422">
        <f t="shared" si="340"/>
        <v>13.166666666666661</v>
      </c>
      <c r="EC39" s="438" t="str">
        <f t="shared" si="341"/>
        <v>F9</v>
      </c>
      <c r="ED39" s="422">
        <f t="shared" si="63"/>
        <v>-462.80550514216452</v>
      </c>
      <c r="EE39" s="422">
        <f t="shared" si="100"/>
        <v>-28.925344071385283</v>
      </c>
      <c r="EF39" s="438" t="str">
        <f t="shared" si="101"/>
        <v/>
      </c>
      <c r="EG39" s="422" t="str">
        <f t="shared" si="102"/>
        <v/>
      </c>
      <c r="EH39" s="439">
        <v>1</v>
      </c>
      <c r="EI39" s="422">
        <f t="shared" si="103"/>
        <v>-462.80550514216452</v>
      </c>
      <c r="EJ39" s="440">
        <f t="shared" si="104"/>
        <v>-0.28925344071385284</v>
      </c>
      <c r="EK39" s="438" t="s">
        <v>573</v>
      </c>
      <c r="EL39" s="438" t="s">
        <v>762</v>
      </c>
    </row>
    <row r="40" spans="1:142" ht="30.75" thickBot="1">
      <c r="A40" s="781"/>
      <c r="B40" s="796" t="s">
        <v>363</v>
      </c>
      <c r="C40" s="797"/>
      <c r="D40" s="797"/>
      <c r="E40" s="413" t="e">
        <f>VLOOKUP(D19,AB:EL,79,FALSE)</f>
        <v>#N/A</v>
      </c>
      <c r="F40" s="413" t="e">
        <f>VLOOKUP(D19,AB:EL,80,FALSE)</f>
        <v>#N/A</v>
      </c>
      <c r="G40" s="413" t="e">
        <f>VLOOKUP(D19,AB:EL,81,FALSE)</f>
        <v>#N/A</v>
      </c>
      <c r="H40" s="413"/>
      <c r="I40" s="413"/>
      <c r="J40" s="413"/>
      <c r="K40" s="413" t="e">
        <f>VLOOKUP(D19,AB:EL,82,FALSE)</f>
        <v>#N/A</v>
      </c>
      <c r="L40" s="415" t="e">
        <f t="shared" si="247"/>
        <v>#N/A</v>
      </c>
      <c r="M40" s="714"/>
      <c r="N40" s="776" t="s">
        <v>347</v>
      </c>
      <c r="O40" s="778"/>
      <c r="P40" s="674" t="e">
        <f>VLOOKUP(D19,AB:EL,24,FALSE)</f>
        <v>#N/A</v>
      </c>
      <c r="Q40" s="680"/>
      <c r="R40" s="674" t="e">
        <f t="shared" si="342"/>
        <v>#N/A</v>
      </c>
      <c r="S40" s="675"/>
      <c r="T40" s="390"/>
      <c r="U40" s="390"/>
      <c r="V40" s="714"/>
      <c r="W40" s="714"/>
      <c r="X40" s="714"/>
      <c r="Y40" s="391"/>
      <c r="Z40" s="391"/>
      <c r="AA40" s="420">
        <f t="shared" si="1"/>
        <v>39</v>
      </c>
      <c r="AB40" s="435" t="s">
        <v>60</v>
      </c>
      <c r="AC40" s="422" t="s">
        <v>394</v>
      </c>
      <c r="AD40" s="422" t="s">
        <v>326</v>
      </c>
      <c r="AE40" s="422">
        <v>19</v>
      </c>
      <c r="AF40" s="422">
        <f>'SSS1 ATTENDANCE '!FJ46</f>
        <v>128</v>
      </c>
      <c r="AG40" s="422">
        <f>'SSS1 ATTENDANCE '!FH46</f>
        <v>0</v>
      </c>
      <c r="AH40" s="422">
        <f>'SSS1 ATTENDANCE '!FI46</f>
        <v>128</v>
      </c>
      <c r="AI40" s="436" t="s">
        <v>612</v>
      </c>
      <c r="AJ40" s="437">
        <v>40900</v>
      </c>
      <c r="AK40" s="435" t="s">
        <v>396</v>
      </c>
      <c r="AL40" s="424">
        <v>25</v>
      </c>
      <c r="AM40" s="422">
        <v>45.035714285714299</v>
      </c>
      <c r="AN40" s="438">
        <v>4</v>
      </c>
      <c r="AO40" s="422" t="str">
        <f t="shared" si="64"/>
        <v>3</v>
      </c>
      <c r="AP40" s="438">
        <v>5</v>
      </c>
      <c r="AQ40" s="422">
        <v>4</v>
      </c>
      <c r="AR40" s="438">
        <v>4</v>
      </c>
      <c r="AS40" s="438">
        <v>4</v>
      </c>
      <c r="AT40" s="438">
        <v>4</v>
      </c>
      <c r="AU40" s="438">
        <v>3</v>
      </c>
      <c r="AV40" s="438">
        <v>4</v>
      </c>
      <c r="AW40" s="438">
        <v>4</v>
      </c>
      <c r="AX40" s="438">
        <v>3</v>
      </c>
      <c r="AY40" s="438">
        <v>4</v>
      </c>
      <c r="AZ40" s="438">
        <v>3</v>
      </c>
      <c r="BA40" s="438">
        <v>3</v>
      </c>
      <c r="BB40" s="438">
        <v>3</v>
      </c>
      <c r="BC40" s="438">
        <v>4</v>
      </c>
      <c r="BD40" s="438">
        <v>4</v>
      </c>
      <c r="BE40" s="438">
        <v>4</v>
      </c>
      <c r="BF40" s="438">
        <v>3</v>
      </c>
      <c r="BG40" s="438">
        <v>3</v>
      </c>
      <c r="BH40" s="438">
        <v>3</v>
      </c>
      <c r="BI40" s="438">
        <v>5</v>
      </c>
      <c r="BJ40" s="438">
        <v>4</v>
      </c>
      <c r="BK40" s="438">
        <v>3</v>
      </c>
      <c r="BL40" s="438">
        <v>5</v>
      </c>
      <c r="BM40" s="438">
        <v>3</v>
      </c>
      <c r="BN40" s="422" t="s">
        <v>438</v>
      </c>
      <c r="BO40" s="438">
        <v>16.964285714285701</v>
      </c>
      <c r="BP40" s="438">
        <v>-113.53571428571399</v>
      </c>
      <c r="BQ40" s="422">
        <f t="shared" si="307"/>
        <v>-96.571428571428299</v>
      </c>
      <c r="BR40" s="438" t="str">
        <f t="shared" si="308"/>
        <v/>
      </c>
      <c r="BS40" s="422">
        <v>16.964285714285701</v>
      </c>
      <c r="BT40" s="438">
        <v>-72.035714285714306</v>
      </c>
      <c r="BU40" s="422">
        <f t="shared" si="309"/>
        <v>-55.071428571428605</v>
      </c>
      <c r="BV40" s="438" t="str">
        <f t="shared" si="310"/>
        <v/>
      </c>
      <c r="BW40" s="422">
        <v>16.964285714285701</v>
      </c>
      <c r="BX40" s="422">
        <v>-71.750000000000398</v>
      </c>
      <c r="BY40" s="422">
        <f t="shared" si="311"/>
        <v>-54.785714285714697</v>
      </c>
      <c r="BZ40" s="438" t="str">
        <f t="shared" si="312"/>
        <v/>
      </c>
      <c r="CA40" s="422">
        <v>16.964285714285701</v>
      </c>
      <c r="CB40" s="422">
        <v>-78.214285714285595</v>
      </c>
      <c r="CC40" s="422">
        <f t="shared" si="313"/>
        <v>-61.249999999999893</v>
      </c>
      <c r="CD40" s="438" t="str">
        <f t="shared" si="314"/>
        <v/>
      </c>
      <c r="CE40" s="422">
        <v>35</v>
      </c>
      <c r="CF40" s="422">
        <v>-71.999999999999602</v>
      </c>
      <c r="CG40" s="422">
        <f t="shared" si="315"/>
        <v>-36.999999999999602</v>
      </c>
      <c r="CH40" s="438" t="str">
        <f t="shared" si="316"/>
        <v/>
      </c>
      <c r="CI40" s="422">
        <v>16.964285714285701</v>
      </c>
      <c r="CJ40" s="422">
        <v>-23.75</v>
      </c>
      <c r="CK40" s="422">
        <f t="shared" si="317"/>
        <v>-6.7857142857142989</v>
      </c>
      <c r="CL40" s="438" t="str">
        <f t="shared" si="318"/>
        <v/>
      </c>
      <c r="CM40" s="422">
        <v>16.964285714285701</v>
      </c>
      <c r="CN40" s="422"/>
      <c r="CO40" s="422"/>
      <c r="CP40" s="422"/>
      <c r="CQ40" s="422">
        <v>38.129310344827601</v>
      </c>
      <c r="CR40" s="422">
        <f t="shared" si="320"/>
        <v>38.129310344827601</v>
      </c>
      <c r="CS40" s="438" t="str">
        <f t="shared" si="321"/>
        <v>F9</v>
      </c>
      <c r="CT40" s="422">
        <v>4.7368421052631096</v>
      </c>
      <c r="CU40" s="422">
        <v>-81.052631578947697</v>
      </c>
      <c r="CV40" s="422">
        <f t="shared" si="322"/>
        <v>-76.315789473684589</v>
      </c>
      <c r="CW40" s="438" t="str">
        <f t="shared" si="323"/>
        <v/>
      </c>
      <c r="CX40" s="422">
        <f t="shared" ref="CX40" si="348">CT40</f>
        <v>4.7368421052631096</v>
      </c>
      <c r="CY40" s="422">
        <v>-78.214285714285595</v>
      </c>
      <c r="CZ40" s="422">
        <f t="shared" si="324"/>
        <v>-73.477443609022487</v>
      </c>
      <c r="DA40" s="438" t="str">
        <f t="shared" si="325"/>
        <v/>
      </c>
      <c r="DB40" s="422">
        <f t="shared" si="343"/>
        <v>4.7368421052631096</v>
      </c>
      <c r="DC40" s="422">
        <v>-55.178571428571097</v>
      </c>
      <c r="DD40" s="422">
        <f t="shared" si="326"/>
        <v>-50.441729323307989</v>
      </c>
      <c r="DE40" s="422" t="str">
        <f t="shared" si="327"/>
        <v/>
      </c>
      <c r="DF40" s="422">
        <f t="shared" si="328"/>
        <v>4.7368421052631096</v>
      </c>
      <c r="DG40" s="422">
        <v>-78.214285714285595</v>
      </c>
      <c r="DH40" s="422">
        <f t="shared" si="329"/>
        <v>-73.477443609022487</v>
      </c>
      <c r="DI40" s="422" t="str">
        <f t="shared" si="330"/>
        <v/>
      </c>
      <c r="DJ40" s="422">
        <f t="shared" si="344"/>
        <v>4.7368421052631096</v>
      </c>
      <c r="DK40" s="422">
        <v>41.035714285714299</v>
      </c>
      <c r="DL40" s="422">
        <f t="shared" si="331"/>
        <v>45.772556390977407</v>
      </c>
      <c r="DM40" s="422" t="str">
        <f t="shared" si="332"/>
        <v>D7</v>
      </c>
      <c r="DN40" s="422">
        <f t="shared" si="345"/>
        <v>4.7368421052631096</v>
      </c>
      <c r="DO40" s="422">
        <v>25.178571428571399</v>
      </c>
      <c r="DP40" s="422">
        <f t="shared" si="333"/>
        <v>29.91541353383451</v>
      </c>
      <c r="DQ40" s="438" t="str">
        <f t="shared" si="334"/>
        <v>F9</v>
      </c>
      <c r="DR40" s="422">
        <f t="shared" si="346"/>
        <v>4.7368421052631096</v>
      </c>
      <c r="DS40" s="422">
        <v>-59.25</v>
      </c>
      <c r="DT40" s="422">
        <f t="shared" si="335"/>
        <v>-54.513157894736892</v>
      </c>
      <c r="DU40" s="438" t="str">
        <f t="shared" si="336"/>
        <v/>
      </c>
      <c r="DV40" s="422">
        <f t="shared" si="347"/>
        <v>4.7368421052631096</v>
      </c>
      <c r="DW40" s="422">
        <v>44.642857142857103</v>
      </c>
      <c r="DX40" s="422">
        <f t="shared" si="337"/>
        <v>49.379699248120211</v>
      </c>
      <c r="DY40" s="438" t="str">
        <f t="shared" si="338"/>
        <v>D7</v>
      </c>
      <c r="DZ40" s="422">
        <f t="shared" si="339"/>
        <v>4.7368421052631096</v>
      </c>
      <c r="EA40" s="422">
        <v>15.75</v>
      </c>
      <c r="EB40" s="422">
        <f t="shared" si="340"/>
        <v>20.486842105263108</v>
      </c>
      <c r="EC40" s="438" t="str">
        <f t="shared" si="341"/>
        <v>F9</v>
      </c>
      <c r="ED40" s="422">
        <f t="shared" si="63"/>
        <v>-456.00602800103695</v>
      </c>
      <c r="EE40" s="422">
        <f t="shared" si="100"/>
        <v>-28.50037675006481</v>
      </c>
      <c r="EF40" s="438" t="str">
        <f t="shared" si="101"/>
        <v/>
      </c>
      <c r="EG40" s="422" t="str">
        <f t="shared" si="102"/>
        <v/>
      </c>
      <c r="EH40" s="439">
        <v>1</v>
      </c>
      <c r="EI40" s="422">
        <f t="shared" si="103"/>
        <v>-456.00602800103695</v>
      </c>
      <c r="EJ40" s="440">
        <f t="shared" si="104"/>
        <v>-0.2850037675006481</v>
      </c>
      <c r="EK40" s="438" t="s">
        <v>573</v>
      </c>
      <c r="EL40" s="438" t="s">
        <v>762</v>
      </c>
    </row>
    <row r="41" spans="1:142" ht="30.75" thickBot="1">
      <c r="A41" s="781"/>
      <c r="B41" s="798" t="s">
        <v>364</v>
      </c>
      <c r="C41" s="799"/>
      <c r="D41" s="799"/>
      <c r="E41" s="413" t="e">
        <f>VLOOKUP(D19,AB:EL,83,FALSE)</f>
        <v>#N/A</v>
      </c>
      <c r="F41" s="413" t="e">
        <f>VLOOKUP(D19,AB:EL,84,FALSE)</f>
        <v>#N/A</v>
      </c>
      <c r="G41" s="413" t="e">
        <f>VLOOKUP(D19,AB:EL,85,FALSE)</f>
        <v>#N/A</v>
      </c>
      <c r="H41" s="413"/>
      <c r="I41" s="413"/>
      <c r="J41" s="413"/>
      <c r="K41" s="413" t="e">
        <f>VLOOKUP(D19,AB:EL,86,FALSE)</f>
        <v>#N/A</v>
      </c>
      <c r="L41" s="415" t="e">
        <f t="shared" si="247"/>
        <v>#N/A</v>
      </c>
      <c r="M41" s="714"/>
      <c r="N41" s="776" t="s">
        <v>275</v>
      </c>
      <c r="O41" s="778"/>
      <c r="P41" s="674" t="e">
        <f>VLOOKUP(D19,AB:EL,25,FALSE)</f>
        <v>#N/A</v>
      </c>
      <c r="Q41" s="680"/>
      <c r="R41" s="674" t="e">
        <f t="shared" si="342"/>
        <v>#N/A</v>
      </c>
      <c r="S41" s="675"/>
      <c r="T41" s="390"/>
      <c r="U41" s="390"/>
      <c r="V41" s="714"/>
      <c r="W41" s="714"/>
      <c r="X41" s="714"/>
      <c r="Y41" s="391"/>
      <c r="Z41" s="391"/>
      <c r="AA41" s="420">
        <f t="shared" si="1"/>
        <v>40</v>
      </c>
      <c r="AB41" s="435" t="s">
        <v>61</v>
      </c>
      <c r="AC41" s="422" t="s">
        <v>394</v>
      </c>
      <c r="AD41" s="422" t="s">
        <v>326</v>
      </c>
      <c r="AE41" s="422">
        <v>19.1428571428571</v>
      </c>
      <c r="AF41" s="422">
        <f>'SSS1 ATTENDANCE '!FJ47</f>
        <v>128</v>
      </c>
      <c r="AG41" s="422">
        <f>'SSS1 ATTENDANCE '!FH47</f>
        <v>0</v>
      </c>
      <c r="AH41" s="422">
        <f>'SSS1 ATTENDANCE '!FI47</f>
        <v>128</v>
      </c>
      <c r="AI41" s="436" t="s">
        <v>613</v>
      </c>
      <c r="AJ41" s="437">
        <v>40368</v>
      </c>
      <c r="AK41" s="435" t="s">
        <v>396</v>
      </c>
      <c r="AL41" s="424">
        <v>25</v>
      </c>
      <c r="AM41" s="422">
        <v>45.571428571428498</v>
      </c>
      <c r="AN41" s="438">
        <v>4</v>
      </c>
      <c r="AO41" s="422" t="str">
        <f t="shared" si="64"/>
        <v>3</v>
      </c>
      <c r="AP41" s="438">
        <v>5</v>
      </c>
      <c r="AQ41" s="422">
        <v>4</v>
      </c>
      <c r="AR41" s="438">
        <v>4</v>
      </c>
      <c r="AS41" s="438">
        <v>4</v>
      </c>
      <c r="AT41" s="438">
        <v>4</v>
      </c>
      <c r="AU41" s="438">
        <v>3</v>
      </c>
      <c r="AV41" s="438">
        <v>4</v>
      </c>
      <c r="AW41" s="438">
        <v>4</v>
      </c>
      <c r="AX41" s="438">
        <v>3</v>
      </c>
      <c r="AY41" s="438">
        <v>4</v>
      </c>
      <c r="AZ41" s="438">
        <v>3</v>
      </c>
      <c r="BA41" s="438">
        <v>3</v>
      </c>
      <c r="BB41" s="438">
        <v>3</v>
      </c>
      <c r="BC41" s="438">
        <v>4</v>
      </c>
      <c r="BD41" s="438">
        <v>4</v>
      </c>
      <c r="BE41" s="438">
        <v>4</v>
      </c>
      <c r="BF41" s="438">
        <v>3</v>
      </c>
      <c r="BG41" s="438">
        <v>3</v>
      </c>
      <c r="BH41" s="438">
        <v>3</v>
      </c>
      <c r="BI41" s="438">
        <v>5</v>
      </c>
      <c r="BJ41" s="438">
        <v>4</v>
      </c>
      <c r="BK41" s="438">
        <v>3</v>
      </c>
      <c r="BL41" s="438">
        <v>5</v>
      </c>
      <c r="BM41" s="438">
        <v>3</v>
      </c>
      <c r="BN41" s="422" t="s">
        <v>439</v>
      </c>
      <c r="BO41" s="438">
        <v>16.428571428571502</v>
      </c>
      <c r="BP41" s="438">
        <v>-117.71428571428601</v>
      </c>
      <c r="BQ41" s="422">
        <f t="shared" si="307"/>
        <v>-101.2857142857145</v>
      </c>
      <c r="BR41" s="438" t="str">
        <f t="shared" si="308"/>
        <v/>
      </c>
      <c r="BS41" s="422">
        <v>16.428571428571502</v>
      </c>
      <c r="BT41" s="438">
        <v>-75.285714285714306</v>
      </c>
      <c r="BU41" s="422">
        <f t="shared" si="309"/>
        <v>-58.857142857142804</v>
      </c>
      <c r="BV41" s="438" t="str">
        <f t="shared" si="310"/>
        <v/>
      </c>
      <c r="BW41" s="422">
        <v>16.428571428571502</v>
      </c>
      <c r="BX41" s="422">
        <v>-74.857142857142406</v>
      </c>
      <c r="BY41" s="422">
        <f t="shared" si="311"/>
        <v>-58.428571428570905</v>
      </c>
      <c r="BZ41" s="438" t="str">
        <f t="shared" si="312"/>
        <v/>
      </c>
      <c r="CA41" s="422">
        <v>16.428571428571502</v>
      </c>
      <c r="CB41" s="422">
        <v>-81.428571428571601</v>
      </c>
      <c r="CC41" s="422">
        <f t="shared" si="313"/>
        <v>-65.000000000000099</v>
      </c>
      <c r="CD41" s="438" t="str">
        <f t="shared" si="314"/>
        <v/>
      </c>
      <c r="CE41" s="422">
        <v>35</v>
      </c>
      <c r="CF41" s="422">
        <v>-75.142857142857594</v>
      </c>
      <c r="CG41" s="422">
        <f t="shared" si="315"/>
        <v>-40.142857142857594</v>
      </c>
      <c r="CH41" s="438" t="str">
        <f t="shared" si="316"/>
        <v/>
      </c>
      <c r="CI41" s="422">
        <v>16.428571428571502</v>
      </c>
      <c r="CJ41" s="422">
        <v>-25.571428571428601</v>
      </c>
      <c r="CK41" s="422">
        <f t="shared" si="317"/>
        <v>-9.1428571428570997</v>
      </c>
      <c r="CL41" s="438" t="str">
        <f t="shared" si="318"/>
        <v/>
      </c>
      <c r="CM41" s="422">
        <v>16.428571428571502</v>
      </c>
      <c r="CN41" s="422"/>
      <c r="CO41" s="422"/>
      <c r="CP41" s="422">
        <f t="shared" ref="CP41" si="349">CM41</f>
        <v>16.428571428571502</v>
      </c>
      <c r="CQ41" s="422">
        <v>37.844827586206897</v>
      </c>
      <c r="CR41" s="422">
        <f t="shared" si="320"/>
        <v>54.273399014778398</v>
      </c>
      <c r="CS41" s="438" t="str">
        <f t="shared" si="321"/>
        <v>C6</v>
      </c>
      <c r="CT41" s="422">
        <v>3.68421052631582</v>
      </c>
      <c r="CU41" s="422">
        <v>-85.263157894736693</v>
      </c>
      <c r="CV41" s="422">
        <f t="shared" si="322"/>
        <v>-81.57894736842087</v>
      </c>
      <c r="CW41" s="438" t="str">
        <f t="shared" si="323"/>
        <v/>
      </c>
      <c r="CX41" s="422">
        <v>35</v>
      </c>
      <c r="CY41" s="422">
        <v>-81.428571428571601</v>
      </c>
      <c r="CZ41" s="422">
        <f t="shared" si="324"/>
        <v>-46.428571428571601</v>
      </c>
      <c r="DA41" s="438" t="str">
        <f t="shared" si="325"/>
        <v/>
      </c>
      <c r="DB41" s="422">
        <f t="shared" si="343"/>
        <v>35</v>
      </c>
      <c r="DC41" s="422">
        <v>-57.857142857143202</v>
      </c>
      <c r="DD41" s="422">
        <f t="shared" si="326"/>
        <v>-22.857142857143202</v>
      </c>
      <c r="DE41" s="422" t="str">
        <f t="shared" si="327"/>
        <v/>
      </c>
      <c r="DF41" s="422">
        <f t="shared" si="328"/>
        <v>35</v>
      </c>
      <c r="DG41" s="422">
        <v>-81.428571428571601</v>
      </c>
      <c r="DH41" s="422">
        <f t="shared" si="329"/>
        <v>-46.428571428571601</v>
      </c>
      <c r="DI41" s="422" t="str">
        <f t="shared" si="330"/>
        <v/>
      </c>
      <c r="DJ41" s="422">
        <f t="shared" si="344"/>
        <v>35</v>
      </c>
      <c r="DK41" s="422">
        <v>40.857142857142797</v>
      </c>
      <c r="DL41" s="422">
        <f t="shared" si="331"/>
        <v>75.857142857142804</v>
      </c>
      <c r="DM41" s="422" t="str">
        <f t="shared" si="332"/>
        <v>A</v>
      </c>
      <c r="DN41" s="422">
        <f t="shared" si="345"/>
        <v>35</v>
      </c>
      <c r="DO41" s="422">
        <v>24.571428571428601</v>
      </c>
      <c r="DP41" s="422">
        <f t="shared" si="333"/>
        <v>59.571428571428598</v>
      </c>
      <c r="DQ41" s="438" t="str">
        <f t="shared" si="334"/>
        <v>C5</v>
      </c>
      <c r="DR41" s="422">
        <f t="shared" si="346"/>
        <v>35</v>
      </c>
      <c r="DS41" s="422">
        <v>-61.857142857142399</v>
      </c>
      <c r="DT41" s="422">
        <f t="shared" si="335"/>
        <v>-26.857142857142399</v>
      </c>
      <c r="DU41" s="438" t="str">
        <f t="shared" si="336"/>
        <v/>
      </c>
      <c r="DV41" s="422">
        <f t="shared" si="347"/>
        <v>35</v>
      </c>
      <c r="DW41" s="422">
        <v>44.571428571428498</v>
      </c>
      <c r="DX41" s="422">
        <f t="shared" si="337"/>
        <v>79.571428571428498</v>
      </c>
      <c r="DY41" s="438" t="str">
        <f t="shared" si="338"/>
        <v>A</v>
      </c>
      <c r="DZ41" s="422">
        <f t="shared" si="339"/>
        <v>35</v>
      </c>
      <c r="EA41" s="422">
        <v>15</v>
      </c>
      <c r="EB41" s="422">
        <f t="shared" si="340"/>
        <v>50</v>
      </c>
      <c r="EC41" s="438" t="str">
        <f t="shared" si="341"/>
        <v>C6</v>
      </c>
      <c r="ED41" s="422">
        <f t="shared" si="63"/>
        <v>-237.73411978221435</v>
      </c>
      <c r="EE41" s="422">
        <f t="shared" si="100"/>
        <v>-14.858382486388397</v>
      </c>
      <c r="EF41" s="438" t="str">
        <f t="shared" si="101"/>
        <v/>
      </c>
      <c r="EG41" s="422" t="str">
        <f t="shared" si="102"/>
        <v/>
      </c>
      <c r="EH41" s="439">
        <v>1</v>
      </c>
      <c r="EI41" s="422">
        <f t="shared" si="103"/>
        <v>-237.73411978221435</v>
      </c>
      <c r="EJ41" s="440">
        <f t="shared" si="104"/>
        <v>-0.14858382486388397</v>
      </c>
      <c r="EK41" s="438" t="s">
        <v>746</v>
      </c>
      <c r="EL41" s="438" t="s">
        <v>762</v>
      </c>
    </row>
    <row r="42" spans="1:142" ht="30.75" thickBot="1">
      <c r="A42" s="781"/>
      <c r="B42" s="798" t="s">
        <v>365</v>
      </c>
      <c r="C42" s="799"/>
      <c r="D42" s="799"/>
      <c r="E42" s="413" t="e">
        <f>VLOOKUP(D19,AB:EL,91,FALSE)</f>
        <v>#N/A</v>
      </c>
      <c r="F42" s="413" t="e">
        <f>VLOOKUP(D19,AB:EL,92,FALSE)</f>
        <v>#N/A</v>
      </c>
      <c r="G42" s="413" t="e">
        <f>VLOOKUP(D19,AB:EL,93,FALSE)</f>
        <v>#N/A</v>
      </c>
      <c r="H42" s="413"/>
      <c r="I42" s="413"/>
      <c r="J42" s="413"/>
      <c r="K42" s="413" t="e">
        <f>VLOOKUP(D19,AB:EL,94,FALSE)</f>
        <v>#N/A</v>
      </c>
      <c r="L42" s="415" t="e">
        <f t="shared" si="247"/>
        <v>#N/A</v>
      </c>
      <c r="M42" s="714"/>
      <c r="N42" s="776" t="s">
        <v>276</v>
      </c>
      <c r="O42" s="778"/>
      <c r="P42" s="674" t="e">
        <f>VLOOKUP(D19,AB:EL,26,FALSE)</f>
        <v>#N/A</v>
      </c>
      <c r="Q42" s="680"/>
      <c r="R42" s="674" t="e">
        <f t="shared" si="342"/>
        <v>#N/A</v>
      </c>
      <c r="S42" s="675"/>
      <c r="T42" s="390"/>
      <c r="U42" s="390"/>
      <c r="V42" s="714"/>
      <c r="W42" s="714"/>
      <c r="X42" s="714"/>
      <c r="Y42" s="391"/>
      <c r="Z42" s="391"/>
      <c r="AA42" s="420">
        <f t="shared" si="1"/>
        <v>41</v>
      </c>
      <c r="AB42" s="435" t="s">
        <v>62</v>
      </c>
      <c r="AC42" s="422" t="s">
        <v>394</v>
      </c>
      <c r="AD42" s="422" t="s">
        <v>326</v>
      </c>
      <c r="AE42" s="422">
        <v>19.285714285714299</v>
      </c>
      <c r="AF42" s="422">
        <f>'SSS1 ATTENDANCE '!FJ48</f>
        <v>128</v>
      </c>
      <c r="AG42" s="422">
        <f>'SSS1 ATTENDANCE '!FH48</f>
        <v>0</v>
      </c>
      <c r="AH42" s="422">
        <f>'SSS1 ATTENDANCE '!FI48</f>
        <v>128</v>
      </c>
      <c r="AI42" s="436" t="s">
        <v>614</v>
      </c>
      <c r="AJ42" s="437">
        <v>40852</v>
      </c>
      <c r="AK42" s="435" t="s">
        <v>396</v>
      </c>
      <c r="AL42" s="424">
        <v>25</v>
      </c>
      <c r="AM42" s="422">
        <v>46.107142857142797</v>
      </c>
      <c r="AN42" s="438">
        <v>4</v>
      </c>
      <c r="AO42" s="422" t="str">
        <f t="shared" si="64"/>
        <v>3</v>
      </c>
      <c r="AP42" s="438">
        <v>5</v>
      </c>
      <c r="AQ42" s="422">
        <v>4</v>
      </c>
      <c r="AR42" s="438">
        <v>4</v>
      </c>
      <c r="AS42" s="438">
        <v>4</v>
      </c>
      <c r="AT42" s="438">
        <v>4</v>
      </c>
      <c r="AU42" s="438">
        <v>3</v>
      </c>
      <c r="AV42" s="438">
        <v>4</v>
      </c>
      <c r="AW42" s="438">
        <v>4</v>
      </c>
      <c r="AX42" s="438">
        <v>3</v>
      </c>
      <c r="AY42" s="438">
        <v>4</v>
      </c>
      <c r="AZ42" s="438">
        <v>3</v>
      </c>
      <c r="BA42" s="438">
        <v>3</v>
      </c>
      <c r="BB42" s="438">
        <v>3</v>
      </c>
      <c r="BC42" s="438">
        <v>4</v>
      </c>
      <c r="BD42" s="438">
        <v>4</v>
      </c>
      <c r="BE42" s="438">
        <v>4</v>
      </c>
      <c r="BF42" s="438">
        <v>3</v>
      </c>
      <c r="BG42" s="438">
        <v>3</v>
      </c>
      <c r="BH42" s="438">
        <v>3</v>
      </c>
      <c r="BI42" s="438">
        <v>5</v>
      </c>
      <c r="BJ42" s="438">
        <v>4</v>
      </c>
      <c r="BK42" s="438">
        <v>3</v>
      </c>
      <c r="BL42" s="438">
        <v>5</v>
      </c>
      <c r="BM42" s="438">
        <v>3</v>
      </c>
      <c r="BN42" s="422" t="s">
        <v>440</v>
      </c>
      <c r="BO42" s="438">
        <v>15.892857142857199</v>
      </c>
      <c r="BP42" s="438">
        <v>-121.892857142857</v>
      </c>
      <c r="BQ42" s="422">
        <f t="shared" si="307"/>
        <v>-105.9999999999998</v>
      </c>
      <c r="BR42" s="438" t="str">
        <f t="shared" si="308"/>
        <v/>
      </c>
      <c r="BS42" s="422">
        <v>15.892857142857199</v>
      </c>
      <c r="BT42" s="438">
        <v>-78.535714285714306</v>
      </c>
      <c r="BU42" s="422">
        <f t="shared" si="309"/>
        <v>-62.64285714285711</v>
      </c>
      <c r="BV42" s="438" t="str">
        <f t="shared" si="310"/>
        <v/>
      </c>
      <c r="BW42" s="422">
        <v>15.892857142857199</v>
      </c>
      <c r="BX42" s="422">
        <v>-77.964285714285396</v>
      </c>
      <c r="BY42" s="422">
        <f t="shared" si="311"/>
        <v>-62.0714285714282</v>
      </c>
      <c r="BZ42" s="438" t="str">
        <f t="shared" si="312"/>
        <v/>
      </c>
      <c r="CA42" s="422">
        <v>15.892857142857199</v>
      </c>
      <c r="CB42" s="422">
        <v>-84.642857142857594</v>
      </c>
      <c r="CC42" s="422">
        <f t="shared" si="313"/>
        <v>-68.750000000000398</v>
      </c>
      <c r="CD42" s="438" t="str">
        <f t="shared" si="314"/>
        <v/>
      </c>
      <c r="CE42" s="422">
        <v>35</v>
      </c>
      <c r="CF42" s="422">
        <v>-78.285714285714604</v>
      </c>
      <c r="CG42" s="422">
        <f t="shared" si="315"/>
        <v>-43.285714285714604</v>
      </c>
      <c r="CH42" s="438" t="str">
        <f t="shared" si="316"/>
        <v/>
      </c>
      <c r="CI42" s="422">
        <v>15.892857142857199</v>
      </c>
      <c r="CJ42" s="422">
        <v>-27.392857142857199</v>
      </c>
      <c r="CK42" s="422">
        <f t="shared" si="317"/>
        <v>-11.5</v>
      </c>
      <c r="CL42" s="438" t="str">
        <f t="shared" si="318"/>
        <v/>
      </c>
      <c r="CM42" s="422">
        <v>15.892857142857199</v>
      </c>
      <c r="CN42" s="422"/>
      <c r="CO42" s="422"/>
      <c r="CP42" s="422"/>
      <c r="CQ42" s="422">
        <v>37.560344827586299</v>
      </c>
      <c r="CR42" s="422">
        <f t="shared" si="320"/>
        <v>37.560344827586299</v>
      </c>
      <c r="CS42" s="438" t="str">
        <f t="shared" si="321"/>
        <v>F9</v>
      </c>
      <c r="CT42" s="422">
        <v>2.6315789473684199</v>
      </c>
      <c r="CU42" s="422">
        <v>-89.473684210526699</v>
      </c>
      <c r="CV42" s="422">
        <f t="shared" si="322"/>
        <v>-86.842105263158274</v>
      </c>
      <c r="CW42" s="438" t="str">
        <f t="shared" si="323"/>
        <v/>
      </c>
      <c r="CX42" s="422">
        <f t="shared" ref="CX42" si="350">CT42</f>
        <v>2.6315789473684199</v>
      </c>
      <c r="CY42" s="422">
        <v>-84.642857142857594</v>
      </c>
      <c r="CZ42" s="422">
        <f t="shared" si="324"/>
        <v>-82.011278195489169</v>
      </c>
      <c r="DA42" s="438" t="str">
        <f t="shared" si="325"/>
        <v/>
      </c>
      <c r="DB42" s="422">
        <f t="shared" si="343"/>
        <v>2.6315789473684199</v>
      </c>
      <c r="DC42" s="422">
        <v>-60.5357142857141</v>
      </c>
      <c r="DD42" s="422">
        <f t="shared" si="326"/>
        <v>-57.904135338345682</v>
      </c>
      <c r="DE42" s="422" t="str">
        <f t="shared" si="327"/>
        <v/>
      </c>
      <c r="DF42" s="422">
        <f t="shared" si="328"/>
        <v>2.6315789473684199</v>
      </c>
      <c r="DG42" s="422">
        <v>-84.642857142857594</v>
      </c>
      <c r="DH42" s="422">
        <f t="shared" si="329"/>
        <v>-82.011278195489169</v>
      </c>
      <c r="DI42" s="422" t="str">
        <f t="shared" si="330"/>
        <v/>
      </c>
      <c r="DJ42" s="422">
        <f t="shared" si="344"/>
        <v>2.6315789473684199</v>
      </c>
      <c r="DK42" s="422">
        <v>40.678571428571402</v>
      </c>
      <c r="DL42" s="422">
        <f t="shared" si="331"/>
        <v>43.31015037593982</v>
      </c>
      <c r="DM42" s="422" t="str">
        <f t="shared" si="332"/>
        <v>E8</v>
      </c>
      <c r="DN42" s="422">
        <f t="shared" si="345"/>
        <v>2.6315789473684199</v>
      </c>
      <c r="DO42" s="422">
        <v>23.964285714285701</v>
      </c>
      <c r="DP42" s="422">
        <f t="shared" si="333"/>
        <v>26.595864661654122</v>
      </c>
      <c r="DQ42" s="438" t="str">
        <f t="shared" si="334"/>
        <v>F9</v>
      </c>
      <c r="DR42" s="422">
        <f t="shared" si="346"/>
        <v>2.6315789473684199</v>
      </c>
      <c r="DS42" s="422">
        <v>-64.464285714285396</v>
      </c>
      <c r="DT42" s="422">
        <f t="shared" si="335"/>
        <v>-61.832706766916978</v>
      </c>
      <c r="DU42" s="438" t="str">
        <f t="shared" si="336"/>
        <v/>
      </c>
      <c r="DV42" s="422">
        <f t="shared" si="347"/>
        <v>2.6315789473684199</v>
      </c>
      <c r="DW42" s="422">
        <v>44.5</v>
      </c>
      <c r="DX42" s="422">
        <f t="shared" si="337"/>
        <v>47.131578947368418</v>
      </c>
      <c r="DY42" s="438" t="str">
        <f t="shared" si="338"/>
        <v>D7</v>
      </c>
      <c r="DZ42" s="422">
        <f t="shared" si="339"/>
        <v>2.6315789473684199</v>
      </c>
      <c r="EA42" s="422">
        <v>14.25</v>
      </c>
      <c r="EB42" s="422">
        <f t="shared" si="340"/>
        <v>16.881578947368421</v>
      </c>
      <c r="EC42" s="438" t="str">
        <f t="shared" si="341"/>
        <v>F9</v>
      </c>
      <c r="ED42" s="422">
        <f t="shared" si="63"/>
        <v>-553.37198599948238</v>
      </c>
      <c r="EE42" s="422">
        <f t="shared" si="100"/>
        <v>-34.585749124967649</v>
      </c>
      <c r="EF42" s="438" t="str">
        <f t="shared" si="101"/>
        <v/>
      </c>
      <c r="EG42" s="422" t="str">
        <f t="shared" si="102"/>
        <v/>
      </c>
      <c r="EH42" s="439">
        <v>1</v>
      </c>
      <c r="EI42" s="422">
        <f t="shared" si="103"/>
        <v>-553.37198599948238</v>
      </c>
      <c r="EJ42" s="440">
        <f t="shared" si="104"/>
        <v>-0.34585749124967646</v>
      </c>
      <c r="EK42" s="438" t="s">
        <v>747</v>
      </c>
      <c r="EL42" s="438" t="s">
        <v>762</v>
      </c>
    </row>
    <row r="43" spans="1:142" ht="30.75" thickBot="1">
      <c r="A43" s="781"/>
      <c r="B43" s="798" t="s">
        <v>366</v>
      </c>
      <c r="C43" s="799"/>
      <c r="D43" s="799"/>
      <c r="E43" s="413" t="e">
        <f>VLOOKUP(D19,AB:EL,87,FALSE)</f>
        <v>#N/A</v>
      </c>
      <c r="F43" s="413" t="e">
        <f>VLOOKUP(D19,AB:EL,88,FALSE)</f>
        <v>#N/A</v>
      </c>
      <c r="G43" s="413" t="e">
        <f>VLOOKUP(D19,AB:EL,89,FALSE)</f>
        <v>#N/A</v>
      </c>
      <c r="H43" s="413"/>
      <c r="I43" s="413"/>
      <c r="J43" s="413"/>
      <c r="K43" s="413" t="e">
        <f>VLOOKUP(D19,AB:EL,90,FALSE)</f>
        <v>#N/A</v>
      </c>
      <c r="L43" s="415" t="e">
        <f t="shared" si="247"/>
        <v>#N/A</v>
      </c>
      <c r="M43" s="714"/>
      <c r="N43" s="770" t="s">
        <v>380</v>
      </c>
      <c r="O43" s="771"/>
      <c r="P43" s="674" t="e">
        <f>VLOOKUP(D19,AB:EL,27,FALSE)</f>
        <v>#N/A</v>
      </c>
      <c r="Q43" s="680"/>
      <c r="R43" s="674" t="e">
        <f t="shared" ref="R43:R46" si="351">IF(P43&gt;=6,"EXCELLENT",
IF(P43&gt;=6,"EXCELLENT",
IF(P43&gt;=5,"EXCELLENT",
IF(P43&gt;=4,"V.GOOD",
IF(P43&gt;=3,"POOR",
IF(P43&gt;=2,"POOR",
IF(P43&gt;=2,"POOR",
IF(P43&gt;=1,"POOR",
IF(P43&gt;=0,"POOR",
IF(P43&gt;=1,"POOR",""))))))))))</f>
        <v>#N/A</v>
      </c>
      <c r="S43" s="675"/>
      <c r="T43" s="390"/>
      <c r="U43" s="390"/>
      <c r="V43" s="714"/>
      <c r="W43" s="714"/>
      <c r="X43" s="714"/>
      <c r="Y43" s="391"/>
      <c r="Z43" s="391"/>
      <c r="AA43" s="420">
        <f t="shared" si="1"/>
        <v>42</v>
      </c>
      <c r="AB43" s="435" t="s">
        <v>63</v>
      </c>
      <c r="AC43" s="422" t="s">
        <v>394</v>
      </c>
      <c r="AD43" s="422" t="s">
        <v>326</v>
      </c>
      <c r="AE43" s="422">
        <v>19.428571428571399</v>
      </c>
      <c r="AF43" s="422">
        <f>'SSS1 ATTENDANCE '!FJ49</f>
        <v>128</v>
      </c>
      <c r="AG43" s="422">
        <f>'SSS1 ATTENDANCE '!FH49</f>
        <v>0</v>
      </c>
      <c r="AH43" s="422">
        <f>'SSS1 ATTENDANCE '!FI49</f>
        <v>128</v>
      </c>
      <c r="AI43" s="436" t="s">
        <v>615</v>
      </c>
      <c r="AJ43" s="437">
        <v>40881</v>
      </c>
      <c r="AK43" s="435" t="s">
        <v>396</v>
      </c>
      <c r="AL43" s="424">
        <v>25</v>
      </c>
      <c r="AM43" s="422">
        <v>46.642857142857103</v>
      </c>
      <c r="AN43" s="438">
        <v>4</v>
      </c>
      <c r="AO43" s="422" t="str">
        <f t="shared" si="64"/>
        <v>3</v>
      </c>
      <c r="AP43" s="438">
        <v>5</v>
      </c>
      <c r="AQ43" s="422">
        <v>4</v>
      </c>
      <c r="AR43" s="438">
        <v>4</v>
      </c>
      <c r="AS43" s="438">
        <v>4</v>
      </c>
      <c r="AT43" s="438">
        <v>4</v>
      </c>
      <c r="AU43" s="438">
        <v>3</v>
      </c>
      <c r="AV43" s="438">
        <v>4</v>
      </c>
      <c r="AW43" s="438">
        <v>4</v>
      </c>
      <c r="AX43" s="438">
        <v>3</v>
      </c>
      <c r="AY43" s="438">
        <v>4</v>
      </c>
      <c r="AZ43" s="438">
        <v>3</v>
      </c>
      <c r="BA43" s="438">
        <v>3</v>
      </c>
      <c r="BB43" s="438">
        <v>3</v>
      </c>
      <c r="BC43" s="438">
        <v>4</v>
      </c>
      <c r="BD43" s="438">
        <v>4</v>
      </c>
      <c r="BE43" s="438">
        <v>4</v>
      </c>
      <c r="BF43" s="438">
        <v>3</v>
      </c>
      <c r="BG43" s="438">
        <v>3</v>
      </c>
      <c r="BH43" s="438">
        <v>3</v>
      </c>
      <c r="BI43" s="438">
        <v>5</v>
      </c>
      <c r="BJ43" s="438">
        <v>4</v>
      </c>
      <c r="BK43" s="438">
        <v>3</v>
      </c>
      <c r="BL43" s="438">
        <v>5</v>
      </c>
      <c r="BM43" s="438">
        <v>3</v>
      </c>
      <c r="BN43" s="422" t="s">
        <v>441</v>
      </c>
      <c r="BO43" s="438">
        <v>15.3571428571429</v>
      </c>
      <c r="BP43" s="438">
        <v>-126.071428571428</v>
      </c>
      <c r="BQ43" s="422">
        <f t="shared" si="307"/>
        <v>-110.7142857142851</v>
      </c>
      <c r="BR43" s="438" t="str">
        <f t="shared" si="308"/>
        <v/>
      </c>
      <c r="BS43" s="422">
        <v>15.3571428571429</v>
      </c>
      <c r="BT43" s="438">
        <v>-81.785714285714306</v>
      </c>
      <c r="BU43" s="422">
        <f t="shared" si="309"/>
        <v>-66.428571428571402</v>
      </c>
      <c r="BV43" s="438" t="str">
        <f t="shared" si="310"/>
        <v/>
      </c>
      <c r="BW43" s="422">
        <v>15.3571428571429</v>
      </c>
      <c r="BX43" s="422">
        <v>-81.071428571428399</v>
      </c>
      <c r="BY43" s="422">
        <f t="shared" si="311"/>
        <v>-65.714285714285495</v>
      </c>
      <c r="BZ43" s="438" t="str">
        <f t="shared" si="312"/>
        <v/>
      </c>
      <c r="CA43" s="422">
        <v>15.3571428571429</v>
      </c>
      <c r="CB43" s="422">
        <v>-87.857142857142605</v>
      </c>
      <c r="CC43" s="422">
        <f t="shared" si="313"/>
        <v>-72.499999999999702</v>
      </c>
      <c r="CD43" s="438" t="str">
        <f t="shared" si="314"/>
        <v/>
      </c>
      <c r="CE43" s="422">
        <v>35</v>
      </c>
      <c r="CF43" s="422">
        <v>-81.428571428571601</v>
      </c>
      <c r="CG43" s="422">
        <f t="shared" si="315"/>
        <v>-46.428571428571601</v>
      </c>
      <c r="CH43" s="438" t="str">
        <f t="shared" si="316"/>
        <v/>
      </c>
      <c r="CI43" s="422">
        <v>15.3571428571429</v>
      </c>
      <c r="CJ43" s="422">
        <v>-29.214285714285701</v>
      </c>
      <c r="CK43" s="422">
        <f t="shared" si="317"/>
        <v>-13.857142857142801</v>
      </c>
      <c r="CL43" s="438" t="str">
        <f t="shared" si="318"/>
        <v/>
      </c>
      <c r="CM43" s="422">
        <v>15.3571428571429</v>
      </c>
      <c r="CN43" s="422"/>
      <c r="CO43" s="422"/>
      <c r="CP43" s="422">
        <f t="shared" ref="CP43" si="352">CM43</f>
        <v>15.3571428571429</v>
      </c>
      <c r="CQ43" s="422">
        <v>37.275862068965601</v>
      </c>
      <c r="CR43" s="422">
        <f t="shared" si="320"/>
        <v>52.633004926108498</v>
      </c>
      <c r="CS43" s="438" t="str">
        <f t="shared" si="321"/>
        <v>C6</v>
      </c>
      <c r="CT43" s="422"/>
      <c r="CU43" s="422"/>
      <c r="CV43" s="422">
        <f t="shared" si="322"/>
        <v>0</v>
      </c>
      <c r="CW43" s="438" t="str">
        <f t="shared" si="323"/>
        <v/>
      </c>
      <c r="CX43" s="422">
        <v>35</v>
      </c>
      <c r="CY43" s="422">
        <v>-87.857142857142605</v>
      </c>
      <c r="CZ43" s="422">
        <f t="shared" si="324"/>
        <v>-52.857142857142605</v>
      </c>
      <c r="DA43" s="438" t="str">
        <f t="shared" si="325"/>
        <v/>
      </c>
      <c r="DB43" s="422">
        <f t="shared" si="343"/>
        <v>35</v>
      </c>
      <c r="DC43" s="422">
        <v>-63.214285714286099</v>
      </c>
      <c r="DD43" s="422">
        <f t="shared" si="326"/>
        <v>-28.214285714286099</v>
      </c>
      <c r="DE43" s="422" t="str">
        <f t="shared" si="327"/>
        <v/>
      </c>
      <c r="DF43" s="422">
        <f t="shared" si="328"/>
        <v>35</v>
      </c>
      <c r="DG43" s="422">
        <v>-87.857142857142605</v>
      </c>
      <c r="DH43" s="422">
        <f t="shared" si="329"/>
        <v>-52.857142857142605</v>
      </c>
      <c r="DI43" s="422" t="str">
        <f t="shared" si="330"/>
        <v/>
      </c>
      <c r="DJ43" s="422">
        <f t="shared" si="344"/>
        <v>35</v>
      </c>
      <c r="DK43" s="422">
        <v>40.5</v>
      </c>
      <c r="DL43" s="422">
        <f t="shared" si="331"/>
        <v>75.5</v>
      </c>
      <c r="DM43" s="422" t="str">
        <f t="shared" si="332"/>
        <v>A</v>
      </c>
      <c r="DN43" s="422">
        <f t="shared" si="345"/>
        <v>35</v>
      </c>
      <c r="DO43" s="422">
        <v>23.3571428571429</v>
      </c>
      <c r="DP43" s="422">
        <f t="shared" si="333"/>
        <v>58.357142857142904</v>
      </c>
      <c r="DQ43" s="438" t="str">
        <f t="shared" si="334"/>
        <v>C5</v>
      </c>
      <c r="DR43" s="422">
        <f t="shared" si="346"/>
        <v>35</v>
      </c>
      <c r="DS43" s="422">
        <v>-67.071428571428399</v>
      </c>
      <c r="DT43" s="422">
        <f t="shared" si="335"/>
        <v>-32.071428571428399</v>
      </c>
      <c r="DU43" s="438" t="str">
        <f t="shared" si="336"/>
        <v/>
      </c>
      <c r="DV43" s="422">
        <f t="shared" si="347"/>
        <v>35</v>
      </c>
      <c r="DW43" s="422">
        <v>44.428571428571402</v>
      </c>
      <c r="DX43" s="422">
        <f t="shared" si="337"/>
        <v>79.428571428571402</v>
      </c>
      <c r="DY43" s="438" t="str">
        <f t="shared" si="338"/>
        <v>A</v>
      </c>
      <c r="DZ43" s="422">
        <f t="shared" si="339"/>
        <v>35</v>
      </c>
      <c r="EA43" s="422">
        <v>13.5</v>
      </c>
      <c r="EB43" s="422">
        <f t="shared" si="340"/>
        <v>48.5</v>
      </c>
      <c r="EC43" s="438" t="str">
        <f t="shared" si="341"/>
        <v>D7</v>
      </c>
      <c r="ED43" s="422">
        <f t="shared" si="63"/>
        <v>-227.22413793103306</v>
      </c>
      <c r="EE43" s="422">
        <f t="shared" si="100"/>
        <v>-14.201508620689566</v>
      </c>
      <c r="EF43" s="438" t="str">
        <f t="shared" si="101"/>
        <v/>
      </c>
      <c r="EG43" s="422" t="str">
        <f t="shared" si="102"/>
        <v/>
      </c>
      <c r="EH43" s="439">
        <v>1</v>
      </c>
      <c r="EI43" s="422">
        <f t="shared" si="103"/>
        <v>-227.22413793103306</v>
      </c>
      <c r="EJ43" s="440">
        <f t="shared" si="104"/>
        <v>-0.14201508620689565</v>
      </c>
      <c r="EK43" s="438" t="s">
        <v>573</v>
      </c>
      <c r="EL43" s="438" t="s">
        <v>762</v>
      </c>
    </row>
    <row r="44" spans="1:142" ht="30.75" thickBot="1">
      <c r="A44" s="781"/>
      <c r="B44" s="796" t="s">
        <v>367</v>
      </c>
      <c r="C44" s="797"/>
      <c r="D44" s="797"/>
      <c r="E44" s="413" t="e">
        <f>VLOOKUP(D19,AB:EL,95,FALSE)</f>
        <v>#N/A</v>
      </c>
      <c r="F44" s="413" t="e">
        <f>VLOOKUP(D19,AB:EL,96,FALSE)</f>
        <v>#N/A</v>
      </c>
      <c r="G44" s="413" t="e">
        <f>VLOOKUP(D19,AB:EL,97,FALSE)</f>
        <v>#N/A</v>
      </c>
      <c r="H44" s="413"/>
      <c r="I44" s="413"/>
      <c r="J44" s="413"/>
      <c r="K44" s="413" t="e">
        <f>VLOOKUP(D19,AB:EL,98,FALSE)</f>
        <v>#N/A</v>
      </c>
      <c r="L44" s="415" t="e">
        <f t="shared" si="247"/>
        <v>#N/A</v>
      </c>
      <c r="M44" s="714"/>
      <c r="N44" s="772" t="s">
        <v>381</v>
      </c>
      <c r="O44" s="773"/>
      <c r="P44" s="674" t="e">
        <f>VLOOKUP(D19,AB:EL,28,FALSE)</f>
        <v>#N/A</v>
      </c>
      <c r="Q44" s="680"/>
      <c r="R44" s="674" t="e">
        <f t="shared" si="351"/>
        <v>#N/A</v>
      </c>
      <c r="S44" s="675"/>
      <c r="T44" s="390"/>
      <c r="U44" s="390"/>
      <c r="V44" s="714"/>
      <c r="W44" s="714"/>
      <c r="X44" s="714"/>
      <c r="Y44" s="391"/>
      <c r="Z44" s="391"/>
      <c r="AA44" s="420">
        <f t="shared" si="1"/>
        <v>43</v>
      </c>
      <c r="AB44" s="435" t="s">
        <v>57</v>
      </c>
      <c r="AC44" s="422" t="s">
        <v>394</v>
      </c>
      <c r="AD44" s="422" t="s">
        <v>326</v>
      </c>
      <c r="AE44" s="422">
        <v>19.571428571428601</v>
      </c>
      <c r="AF44" s="422">
        <f>'SSS1 ATTENDANCE '!FJ50</f>
        <v>128</v>
      </c>
      <c r="AG44" s="422">
        <f>'SSS1 ATTENDANCE '!FH50</f>
        <v>0</v>
      </c>
      <c r="AH44" s="422">
        <f>'SSS1 ATTENDANCE '!FI50</f>
        <v>128</v>
      </c>
      <c r="AI44" s="436" t="s">
        <v>616</v>
      </c>
      <c r="AJ44" s="437">
        <v>41122</v>
      </c>
      <c r="AK44" s="435" t="s">
        <v>396</v>
      </c>
      <c r="AL44" s="424">
        <v>25</v>
      </c>
      <c r="AM44" s="422">
        <v>47.178571428571402</v>
      </c>
      <c r="AN44" s="438">
        <v>4</v>
      </c>
      <c r="AO44" s="422" t="str">
        <f t="shared" si="64"/>
        <v>3</v>
      </c>
      <c r="AP44" s="438">
        <v>5</v>
      </c>
      <c r="AQ44" s="422">
        <v>4</v>
      </c>
      <c r="AR44" s="438">
        <v>4</v>
      </c>
      <c r="AS44" s="438">
        <v>4</v>
      </c>
      <c r="AT44" s="438">
        <v>4</v>
      </c>
      <c r="AU44" s="438">
        <v>3</v>
      </c>
      <c r="AV44" s="438">
        <v>4</v>
      </c>
      <c r="AW44" s="438">
        <v>4</v>
      </c>
      <c r="AX44" s="438">
        <v>3</v>
      </c>
      <c r="AY44" s="438">
        <v>4</v>
      </c>
      <c r="AZ44" s="438">
        <v>3</v>
      </c>
      <c r="BA44" s="438">
        <v>3</v>
      </c>
      <c r="BB44" s="438">
        <v>3</v>
      </c>
      <c r="BC44" s="438">
        <v>4</v>
      </c>
      <c r="BD44" s="438">
        <v>4</v>
      </c>
      <c r="BE44" s="438">
        <v>4</v>
      </c>
      <c r="BF44" s="438">
        <v>3</v>
      </c>
      <c r="BG44" s="438">
        <v>3</v>
      </c>
      <c r="BH44" s="438">
        <v>3</v>
      </c>
      <c r="BI44" s="438">
        <v>5</v>
      </c>
      <c r="BJ44" s="438">
        <v>4</v>
      </c>
      <c r="BK44" s="438">
        <v>3</v>
      </c>
      <c r="BL44" s="438">
        <v>5</v>
      </c>
      <c r="BM44" s="438">
        <v>3</v>
      </c>
      <c r="BN44" s="422" t="s">
        <v>442</v>
      </c>
      <c r="BO44" s="422">
        <v>14.8214285714286</v>
      </c>
      <c r="BP44" s="422">
        <v>-130.25</v>
      </c>
      <c r="BQ44" s="422">
        <v>100</v>
      </c>
      <c r="BR44" s="438" t="s">
        <v>749</v>
      </c>
      <c r="BS44" s="422">
        <v>14.8214285714286</v>
      </c>
      <c r="BT44" s="422">
        <v>-85.035714285714306</v>
      </c>
      <c r="BU44" s="422">
        <v>100</v>
      </c>
      <c r="BV44" s="438" t="s">
        <v>749</v>
      </c>
      <c r="BW44" s="422">
        <v>14.8214285714286</v>
      </c>
      <c r="BX44" s="422">
        <v>-84.178571428571402</v>
      </c>
      <c r="BY44" s="422">
        <v>100</v>
      </c>
      <c r="BZ44" s="422" t="str">
        <f t="shared" ref="BZ44" si="353">BV44</f>
        <v>Grades</v>
      </c>
      <c r="CA44" s="422">
        <v>14.8214285714286</v>
      </c>
      <c r="CB44" s="422">
        <v>-91.071428571428598</v>
      </c>
      <c r="CC44" s="422">
        <v>100</v>
      </c>
      <c r="CD44" s="422" t="str">
        <f t="shared" ref="CD44" si="354">BZ44</f>
        <v>Grades</v>
      </c>
      <c r="CE44" s="422">
        <f t="shared" ref="CE44" si="355">CA44</f>
        <v>14.8214285714286</v>
      </c>
      <c r="CF44" s="422">
        <v>-84.571428571428598</v>
      </c>
      <c r="CG44" s="422">
        <v>100</v>
      </c>
      <c r="CH44" s="422" t="str">
        <f t="shared" ref="CH44" si="356">CD44</f>
        <v>Grades</v>
      </c>
      <c r="CI44" s="422">
        <v>14.8214285714286</v>
      </c>
      <c r="CJ44" s="422">
        <v>-31.035714285714299</v>
      </c>
      <c r="CK44" s="422">
        <v>100</v>
      </c>
      <c r="CL44" s="422" t="str">
        <f t="shared" ref="CL44" si="357">CH44</f>
        <v>Grades</v>
      </c>
      <c r="CM44" s="422">
        <v>14.8214285714286</v>
      </c>
      <c r="CN44" s="422">
        <v>60</v>
      </c>
      <c r="CO44" s="422"/>
      <c r="CP44" s="422">
        <v>40</v>
      </c>
      <c r="CQ44" s="422">
        <v>36.991379310344897</v>
      </c>
      <c r="CR44" s="422">
        <v>100</v>
      </c>
      <c r="CS44" s="438" t="str">
        <f t="shared" ref="CS44" si="358">CL44</f>
        <v>Grades</v>
      </c>
      <c r="CT44" s="422">
        <v>1.57894736842101</v>
      </c>
      <c r="CU44" s="422">
        <v>-93.684210526315795</v>
      </c>
      <c r="CV44" s="422">
        <v>100</v>
      </c>
      <c r="CW44" s="438" t="str">
        <f t="shared" ref="CW44" si="359">CS44</f>
        <v>Grades</v>
      </c>
      <c r="CX44" s="422">
        <v>-5.8333333333333401</v>
      </c>
      <c r="CY44" s="422">
        <v>-91.071428571428598</v>
      </c>
      <c r="CZ44" s="422">
        <v>100</v>
      </c>
      <c r="DA44" s="438" t="str">
        <f t="shared" ref="DA44" si="360">CW44</f>
        <v>Grades</v>
      </c>
      <c r="DB44" s="422">
        <v>-80</v>
      </c>
      <c r="DC44" s="422">
        <v>-65.892857142857096</v>
      </c>
      <c r="DD44" s="422">
        <v>100</v>
      </c>
      <c r="DE44" s="422" t="str">
        <f t="shared" ref="DE44" si="361">DA44</f>
        <v>Grades</v>
      </c>
      <c r="DF44" s="422">
        <v>40</v>
      </c>
      <c r="DG44" s="422">
        <v>-91.071428571428598</v>
      </c>
      <c r="DH44" s="422">
        <v>100</v>
      </c>
      <c r="DI44" s="422" t="str">
        <f t="shared" ref="DI44" si="362">DE44</f>
        <v>Grades</v>
      </c>
      <c r="DJ44" s="422">
        <v>-20</v>
      </c>
      <c r="DK44" s="422">
        <v>40.321428571428498</v>
      </c>
      <c r="DL44" s="422">
        <v>100</v>
      </c>
      <c r="DM44" s="422" t="str">
        <f t="shared" ref="DM44" si="363">DI44</f>
        <v>Grades</v>
      </c>
      <c r="DN44" s="422">
        <v>-20</v>
      </c>
      <c r="DO44" s="422">
        <v>22.75</v>
      </c>
      <c r="DP44" s="422">
        <v>100</v>
      </c>
      <c r="DQ44" s="438" t="str">
        <f t="shared" ref="DQ44" si="364">DM44</f>
        <v>Grades</v>
      </c>
      <c r="DR44" s="422">
        <v>-140</v>
      </c>
      <c r="DS44" s="422">
        <v>-69.678571428571402</v>
      </c>
      <c r="DT44" s="422">
        <v>100</v>
      </c>
      <c r="DU44" s="438" t="str">
        <f t="shared" ref="DU44" si="365">DQ44</f>
        <v>Grades</v>
      </c>
      <c r="DV44" s="422">
        <v>-20</v>
      </c>
      <c r="DW44" s="422">
        <v>44.357142857142797</v>
      </c>
      <c r="DX44" s="422">
        <v>100</v>
      </c>
      <c r="DY44" s="438" t="str">
        <f t="shared" ref="DY44" si="366">DU44</f>
        <v>Grades</v>
      </c>
      <c r="DZ44" s="422">
        <v>40</v>
      </c>
      <c r="EA44" s="422">
        <v>12.75</v>
      </c>
      <c r="EB44" s="422">
        <v>100</v>
      </c>
      <c r="EC44" s="438" t="str">
        <f t="shared" ref="EC44" si="367">DY44</f>
        <v>Grades</v>
      </c>
      <c r="ED44" s="422">
        <f t="shared" si="63"/>
        <v>1600</v>
      </c>
      <c r="EE44" s="422">
        <f t="shared" si="100"/>
        <v>100</v>
      </c>
      <c r="EF44" s="438" t="str">
        <f t="shared" si="101"/>
        <v>A1</v>
      </c>
      <c r="EG44" s="422" t="str">
        <f t="shared" si="102"/>
        <v>DISTINTION</v>
      </c>
      <c r="EH44" s="439">
        <v>1</v>
      </c>
      <c r="EI44" s="422">
        <f t="shared" si="103"/>
        <v>1600</v>
      </c>
      <c r="EJ44" s="440">
        <f t="shared" si="104"/>
        <v>1</v>
      </c>
      <c r="EK44" s="438" t="s">
        <v>573</v>
      </c>
      <c r="EL44" s="438" t="s">
        <v>762</v>
      </c>
    </row>
    <row r="45" spans="1:142" ht="30.75" thickBot="1">
      <c r="A45" s="781"/>
      <c r="B45" s="798" t="s">
        <v>368</v>
      </c>
      <c r="C45" s="799"/>
      <c r="D45" s="799"/>
      <c r="E45" s="413" t="e">
        <f>VLOOKUP(D19,AB:EL,99,FALSE)</f>
        <v>#N/A</v>
      </c>
      <c r="F45" s="413" t="e">
        <f>VLOOKUP(D19,AB:EL,100,FALSE)</f>
        <v>#N/A</v>
      </c>
      <c r="G45" s="413" t="e">
        <f>VLOOKUP(D19,AB:EL,101,FALSE)</f>
        <v>#N/A</v>
      </c>
      <c r="H45" s="413"/>
      <c r="I45" s="413"/>
      <c r="J45" s="413"/>
      <c r="K45" s="413" t="e">
        <f>VLOOKUP(D19,AB:EL,102,FALSE)</f>
        <v>#N/A</v>
      </c>
      <c r="L45" s="415" t="e">
        <f t="shared" si="247"/>
        <v>#N/A</v>
      </c>
      <c r="M45" s="714"/>
      <c r="N45" s="774" t="s">
        <v>382</v>
      </c>
      <c r="O45" s="775"/>
      <c r="P45" s="674" t="e">
        <f>VLOOKUP(D19,AB:EL,29,FALSE)</f>
        <v>#N/A</v>
      </c>
      <c r="Q45" s="680"/>
      <c r="R45" s="674" t="e">
        <f t="shared" si="351"/>
        <v>#N/A</v>
      </c>
      <c r="S45" s="675"/>
      <c r="T45" s="390"/>
      <c r="U45" s="390"/>
      <c r="V45" s="714"/>
      <c r="W45" s="714"/>
      <c r="X45" s="714"/>
      <c r="Y45" s="391"/>
      <c r="Z45" s="391"/>
      <c r="AA45" s="420">
        <f t="shared" si="1"/>
        <v>44</v>
      </c>
      <c r="AB45" s="435" t="s">
        <v>58</v>
      </c>
      <c r="AC45" s="422" t="s">
        <v>394</v>
      </c>
      <c r="AD45" s="422" t="s">
        <v>326</v>
      </c>
      <c r="AE45" s="422">
        <v>19.714285714285701</v>
      </c>
      <c r="AF45" s="422">
        <f>'SSS1 ATTENDANCE '!FJ51</f>
        <v>128</v>
      </c>
      <c r="AG45" s="422">
        <f>'SSS1 ATTENDANCE '!FH51</f>
        <v>0</v>
      </c>
      <c r="AH45" s="422">
        <f>'SSS1 ATTENDANCE '!FI51</f>
        <v>128</v>
      </c>
      <c r="AI45" s="436" t="s">
        <v>617</v>
      </c>
      <c r="AJ45" s="437">
        <v>40844</v>
      </c>
      <c r="AK45" s="435" t="s">
        <v>396</v>
      </c>
      <c r="AL45" s="424">
        <v>25</v>
      </c>
      <c r="AM45" s="422">
        <v>47.714285714285701</v>
      </c>
      <c r="AN45" s="438">
        <v>4</v>
      </c>
      <c r="AO45" s="422" t="str">
        <f t="shared" si="64"/>
        <v>3</v>
      </c>
      <c r="AP45" s="438">
        <v>5</v>
      </c>
      <c r="AQ45" s="422">
        <v>4</v>
      </c>
      <c r="AR45" s="438">
        <v>4</v>
      </c>
      <c r="AS45" s="438">
        <v>4</v>
      </c>
      <c r="AT45" s="438">
        <v>4</v>
      </c>
      <c r="AU45" s="438">
        <v>3</v>
      </c>
      <c r="AV45" s="438">
        <v>4</v>
      </c>
      <c r="AW45" s="438">
        <v>4</v>
      </c>
      <c r="AX45" s="438">
        <v>3</v>
      </c>
      <c r="AY45" s="438">
        <v>4</v>
      </c>
      <c r="AZ45" s="438">
        <v>3</v>
      </c>
      <c r="BA45" s="438">
        <v>3</v>
      </c>
      <c r="BB45" s="438">
        <v>3</v>
      </c>
      <c r="BC45" s="438">
        <v>4</v>
      </c>
      <c r="BD45" s="438">
        <v>4</v>
      </c>
      <c r="BE45" s="438">
        <v>4</v>
      </c>
      <c r="BF45" s="438">
        <v>3</v>
      </c>
      <c r="BG45" s="438">
        <v>3</v>
      </c>
      <c r="BH45" s="438">
        <v>3</v>
      </c>
      <c r="BI45" s="438">
        <v>5</v>
      </c>
      <c r="BJ45" s="438">
        <v>4</v>
      </c>
      <c r="BK45" s="438">
        <v>3</v>
      </c>
      <c r="BL45" s="438">
        <v>5</v>
      </c>
      <c r="BM45" s="438">
        <v>3</v>
      </c>
      <c r="BN45" s="422" t="s">
        <v>443</v>
      </c>
      <c r="BO45" s="438">
        <v>14.285714285714301</v>
      </c>
      <c r="BP45" s="438">
        <v>-134.42857142857099</v>
      </c>
      <c r="BQ45" s="422">
        <f t="shared" ref="BQ45:BQ50" si="368">SUM(BO45:BP45)</f>
        <v>-120.14285714285668</v>
      </c>
      <c r="BR45" s="438" t="str">
        <f t="shared" ref="BR45:BR50" si="369">IF(BQ45&gt;=80,"A1",
IF(BQ45&gt;=75,"A",
IF(BQ45&gt;=70,"B2",
IF(BQ45&gt;=65,"B3",
IF(BQ45&gt;=60,"C4",
IF(BQ45&gt;=55,"C5",
IF(BQ45&gt;=50,"C6",
IF(BQ45&gt;=45,"D7",
IF(BQ45&gt;=40,"E8",
IF(BQ45&gt;=1,"F9",""))))))))))</f>
        <v/>
      </c>
      <c r="BS45" s="422">
        <v>14.285714285714301</v>
      </c>
      <c r="BT45" s="438">
        <v>-88.285714285714306</v>
      </c>
      <c r="BU45" s="422">
        <f t="shared" ref="BU45:BU50" si="370">SUM(BS45:BT45)</f>
        <v>-74</v>
      </c>
      <c r="BV45" s="438" t="str">
        <f t="shared" ref="BV45:BV50" si="371">IF(BU45&gt;=80,"A1",
IF(BU45&gt;=75,"A",
IF(BU45&gt;=70,"B2",
IF(BU45&gt;=65,"B3",
IF(BU45&gt;=60,"C4",
IF(BU45&gt;=55,"C5",
IF(BU45&gt;=50,"C6",
IF(BU45&gt;=45,"D7",
IF(BU45&gt;=40,"E8",
IF(BU45&gt;=1,"F9",""))))))))))</f>
        <v/>
      </c>
      <c r="BW45" s="422">
        <v>14.285714285714301</v>
      </c>
      <c r="BX45" s="422">
        <v>-87.285714285714405</v>
      </c>
      <c r="BY45" s="422">
        <f t="shared" ref="BY45:BY50" si="372">SUM(BW45:BX45)</f>
        <v>-73.000000000000099</v>
      </c>
      <c r="BZ45" s="438" t="str">
        <f t="shared" ref="BZ45:BZ50" si="373">IF(BY45&gt;=80,"A1",
IF(BY45&gt;=75,"A",
IF(BY45&gt;=70,"B2",
IF(BY45&gt;=65,"B3",
IF(BY45&gt;=60,"C4",
IF(BY45&gt;=55,"C5",
IF(BY45&gt;=50,"C6",
IF(BY45&gt;=45,"D7",
IF(BY45&gt;=40,"E8",
IF(BY45&gt;=1,"F9",""))))))))))</f>
        <v/>
      </c>
      <c r="CA45" s="422">
        <v>14.285714285714301</v>
      </c>
      <c r="CB45" s="422">
        <v>-94.285714285714604</v>
      </c>
      <c r="CC45" s="422">
        <f t="shared" ref="CC45:CC50" si="374">SUM(CA45:CB45)</f>
        <v>-80.000000000000298</v>
      </c>
      <c r="CD45" s="438" t="str">
        <f t="shared" ref="CD45:CD50" si="375">IF(CC45&gt;=80,"A1",
IF(CC45&gt;=75,"A",
IF(CC45&gt;=70,"B2",
IF(CC45&gt;=65,"B3",
IF(CC45&gt;=60,"C4",
IF(CC45&gt;=55,"C5",
IF(CC45&gt;=50,"C6",
IF(CC45&gt;=45,"D7",
IF(CC45&gt;=40,"E8",
IF(CC45&gt;=1,"F9",""))))))))))</f>
        <v/>
      </c>
      <c r="CE45" s="422">
        <v>35</v>
      </c>
      <c r="CF45" s="422">
        <v>-87.714285714285595</v>
      </c>
      <c r="CG45" s="422">
        <f t="shared" ref="CG45:CG50" si="376">SUM(CE45:CF45)</f>
        <v>-52.714285714285595</v>
      </c>
      <c r="CH45" s="438" t="str">
        <f t="shared" ref="CH45:CH50" si="377">IF(CG45&gt;=80,"A1",
IF(CG45&gt;=75,"A",
IF(CG45&gt;=70,"B2",
IF(CG45&gt;=65,"B3",
IF(CG45&gt;=60,"C4",
IF(CG45&gt;=55,"C5",
IF(CG45&gt;=50,"C6",
IF(CG45&gt;=45,"D7",
IF(CG45&gt;=40,"E8",
IF(CG45&gt;=1,"F9",""))))))))))</f>
        <v/>
      </c>
      <c r="CI45" s="422">
        <v>14.285714285714301</v>
      </c>
      <c r="CJ45" s="422">
        <v>-32.857142857142897</v>
      </c>
      <c r="CK45" s="422">
        <f t="shared" ref="CK45:CK50" si="378">SUM(CI45:CJ45)</f>
        <v>-18.571428571428598</v>
      </c>
      <c r="CL45" s="438" t="str">
        <f t="shared" ref="CL45:CL50" si="379">IF(CK45&gt;=80,"A1",
IF(CK45&gt;=75,"A",
IF(CK45&gt;=70,"B2",
IF(CK45&gt;=65,"B3",
IF(CK45&gt;=60,"C4",
IF(CK45&gt;=55,"C5",
IF(CK45&gt;=50,"C6",
IF(CK45&gt;=45,"D7",
IF(CK45&gt;=40,"E8",
IF(CK45&gt;=1,"F9",""))))))))))</f>
        <v/>
      </c>
      <c r="CM45" s="422">
        <v>14.285714285714301</v>
      </c>
      <c r="CN45" s="422"/>
      <c r="CO45" s="422"/>
      <c r="CP45" s="422">
        <f t="shared" ref="CP45:CP46" si="380">CM45</f>
        <v>14.285714285714301</v>
      </c>
      <c r="CQ45" s="422">
        <v>36.706896551724199</v>
      </c>
      <c r="CR45" s="422">
        <f t="shared" ref="CR45:CR50" si="381">SUM(CP45:CQ45)</f>
        <v>50.992610837438498</v>
      </c>
      <c r="CS45" s="438" t="str">
        <f t="shared" ref="CS45:CS50" si="382">IF(CR45&gt;=80,"A1",
IF(CR45&gt;=75,"A",
IF(CR45&gt;=70,"B2",
IF(CR45&gt;=65,"B3",
IF(CR45&gt;=60,"C4",
IF(CR45&gt;=55,"C5",
IF(CR45&gt;=50,"C6",
IF(CR45&gt;=45,"D7",
IF(CR45&gt;=40,"E8",
IF(CR45&gt;=1,"F9",""))))))))))</f>
        <v>C6</v>
      </c>
      <c r="CT45" s="422">
        <v>0.52631578947361402</v>
      </c>
      <c r="CU45" s="422">
        <v>-97.894736842105701</v>
      </c>
      <c r="CV45" s="422">
        <f t="shared" ref="CV45:CV50" si="383">SUM(CT45:CU45)</f>
        <v>-97.368421052632087</v>
      </c>
      <c r="CW45" s="438" t="str">
        <f t="shared" ref="CW45:CW50" si="384">IF(CV45&gt;=80,"A1",
IF(CV45&gt;=75,"A",
IF(CV45&gt;=70,"B2",
IF(CV45&gt;=65,"B3",
IF(CV45&gt;=60,"C4",
IF(CV45&gt;=55,"C5",
IF(CV45&gt;=50,"C6",
IF(CV45&gt;=45,"D7",
IF(CV45&gt;=40,"E8",
IF(CV45&gt;=1,"F9",""))))))))))</f>
        <v/>
      </c>
      <c r="CX45" s="422">
        <v>-8.3333333333333393</v>
      </c>
      <c r="CY45" s="422">
        <v>-94.285714285714604</v>
      </c>
      <c r="CZ45" s="422">
        <f t="shared" ref="CZ45:CZ50" si="385">SUM(CX45:CY45)</f>
        <v>-102.61904761904795</v>
      </c>
      <c r="DA45" s="438" t="str">
        <f t="shared" ref="DA45:DA50" si="386">IF(CZ45&gt;=80,"A1",
IF(CZ45&gt;=75,"A",
IF(CZ45&gt;=70,"B2",
IF(CZ45&gt;=65,"B3",
IF(CZ45&gt;=60,"C4",
IF(CZ45&gt;=55,"C5",
IF(CZ45&gt;=50,"C6",
IF(CZ45&gt;=45,"D7",
IF(CZ45&gt;=40,"E8",
IF(CZ45&gt;=1,"F9",""))))))))))</f>
        <v/>
      </c>
      <c r="DB45" s="422">
        <v>-90</v>
      </c>
      <c r="DC45" s="422">
        <v>-68.5714285714282</v>
      </c>
      <c r="DD45" s="422">
        <f t="shared" ref="DD45:DD50" si="387">SUM(DB45:DC45)</f>
        <v>-158.57142857142821</v>
      </c>
      <c r="DE45" s="422" t="str">
        <f t="shared" ref="DE45:DE50" si="388">IF(DD45&gt;=80,"A1",
IF(DD45&gt;=75,"A",
IF(DD45&gt;=70,"B2",
IF(DD45&gt;=65,"B3",
IF(DD45&gt;=60,"C4",
IF(DD45&gt;=55,"C5",
IF(DD45&gt;=50,"C6",
IF(DD45&gt;=45,"D7",
IF(DD45&gt;=40,"E8",
IF(DD45&gt;=1,"F9",""))))))))))</f>
        <v/>
      </c>
      <c r="DF45" s="422">
        <f t="shared" ref="DF45:DF50" si="389">DB45</f>
        <v>-90</v>
      </c>
      <c r="DG45" s="422">
        <v>-94.285714285714604</v>
      </c>
      <c r="DH45" s="422">
        <f t="shared" ref="DH45:DH50" si="390">SUM(DF45:DG45)</f>
        <v>-184.28571428571462</v>
      </c>
      <c r="DI45" s="422" t="str">
        <f t="shared" ref="DI45:DI50" si="391">IF(DH45&gt;=80,"A1",
IF(DH45&gt;=75,"A",
IF(DH45&gt;=70,"B2",
IF(DH45&gt;=65,"B3",
IF(DH45&gt;=60,"C4",
IF(DH45&gt;=55,"C5",
IF(DH45&gt;=50,"C6",
IF(DH45&gt;=45,"D7",
IF(DH45&gt;=40,"E8",
IF(DH45&gt;=1,"F9",""))))))))))</f>
        <v/>
      </c>
      <c r="DJ45" s="422">
        <v>-25</v>
      </c>
      <c r="DK45" s="422">
        <v>40.142857142857103</v>
      </c>
      <c r="DL45" s="422">
        <f t="shared" ref="DL45:DL50" si="392">SUM(DJ45:DK45)</f>
        <v>15.142857142857103</v>
      </c>
      <c r="DM45" s="422" t="str">
        <f t="shared" ref="DM45:DM50" si="393">IF(DL45&gt;=80,"A1",
IF(DL45&gt;=75,"A",
IF(DL45&gt;=70,"B2",
IF(DL45&gt;=65,"B3",
IF(DL45&gt;=60,"C4",
IF(DL45&gt;=55,"C5",
IF(DL45&gt;=50,"C6",
IF(DL45&gt;=45,"D7",
IF(DL45&gt;=40,"E8",
IF(DL45&gt;=1,"F9",""))))))))))</f>
        <v>F9</v>
      </c>
      <c r="DN45" s="422">
        <v>-25</v>
      </c>
      <c r="DO45" s="422">
        <v>22.1428571428571</v>
      </c>
      <c r="DP45" s="422">
        <f t="shared" ref="DP45:DP50" si="394">SUM(DN45:DO45)</f>
        <v>-2.8571428571429003</v>
      </c>
      <c r="DQ45" s="438" t="str">
        <f t="shared" ref="DQ45:DQ50" si="395">IF(DP45&gt;=80,"A1",
IF(DP45&gt;=75,"A",
IF(DP45&gt;=70,"B2",
IF(DP45&gt;=65,"B3",
IF(DP45&gt;=60,"C4",
IF(DP45&gt;=55,"C5",
IF(DP45&gt;=50,"C6",
IF(DP45&gt;=45,"D7",
IF(DP45&gt;=40,"E8",
IF(DP45&gt;=1,"F9",""))))))))))</f>
        <v/>
      </c>
      <c r="DR45" s="422">
        <v>-155</v>
      </c>
      <c r="DS45" s="422">
        <v>-72.285714285714405</v>
      </c>
      <c r="DT45" s="422">
        <f t="shared" ref="DT45:DT50" si="396">SUM(DR45:DS45)</f>
        <v>-227.28571428571439</v>
      </c>
      <c r="DU45" s="438" t="str">
        <f t="shared" ref="DU45:DU50" si="397">IF(DT45&gt;=80,"A1",
IF(DT45&gt;=75,"A",
IF(DT45&gt;=70,"B2",
IF(DT45&gt;=65,"B3",
IF(DT45&gt;=60,"C4",
IF(DT45&gt;=55,"C5",
IF(DT45&gt;=50,"C6",
IF(DT45&gt;=45,"D7",
IF(DT45&gt;=40,"E8",
IF(DT45&gt;=1,"F9",""))))))))))</f>
        <v/>
      </c>
      <c r="DV45" s="422">
        <v>-25</v>
      </c>
      <c r="DW45" s="422">
        <v>44.285714285714299</v>
      </c>
      <c r="DX45" s="422">
        <f t="shared" ref="DX45:DX50" si="398">SUM(DV45:DW45)</f>
        <v>19.285714285714299</v>
      </c>
      <c r="DY45" s="438" t="str">
        <f t="shared" ref="DY45:DY50" si="399">IF(DX45&gt;=80,"A1",
IF(DX45&gt;=75,"A",
IF(DX45&gt;=70,"B2",
IF(DX45&gt;=65,"B3",
IF(DX45&gt;=60,"C4",
IF(DX45&gt;=55,"C5",
IF(DX45&gt;=50,"C6",
IF(DX45&gt;=45,"D7",
IF(DX45&gt;=40,"E8",
IF(DX45&gt;=1,"F9",""))))))))))</f>
        <v>F9</v>
      </c>
      <c r="DZ45" s="422">
        <f t="shared" ref="DZ45:DZ50" si="400">DV45</f>
        <v>-25</v>
      </c>
      <c r="EA45" s="422">
        <v>12</v>
      </c>
      <c r="EB45" s="422">
        <f t="shared" ref="EB45:EB50" si="401">SUM(DZ45:EA45)</f>
        <v>-13</v>
      </c>
      <c r="EC45" s="438" t="str">
        <f t="shared" ref="EC45:EC50" si="402">IF(EB45&gt;=80,"A1",
IF(EB45&gt;=75,"A",
IF(EB45&gt;=70,"B2",
IF(EB45&gt;=65,"B3",
IF(EB45&gt;=60,"C4",
IF(EB45&gt;=55,"C5",
IF(EB45&gt;=50,"C6",
IF(EB45&gt;=45,"D7",
IF(EB45&gt;=40,"E8",
IF(EB45&gt;=1,"F9",""))))))))))</f>
        <v/>
      </c>
      <c r="ED45" s="422">
        <f t="shared" si="63"/>
        <v>-1118.9948578342417</v>
      </c>
      <c r="EE45" s="422">
        <f t="shared" si="100"/>
        <v>-69.937178614640104</v>
      </c>
      <c r="EF45" s="438" t="str">
        <f t="shared" si="101"/>
        <v/>
      </c>
      <c r="EG45" s="422" t="str">
        <f t="shared" si="102"/>
        <v/>
      </c>
      <c r="EH45" s="439">
        <v>1</v>
      </c>
      <c r="EI45" s="422">
        <f t="shared" si="103"/>
        <v>-1118.9948578342417</v>
      </c>
      <c r="EJ45" s="440">
        <f t="shared" si="104"/>
        <v>-0.69937178614640105</v>
      </c>
      <c r="EK45" s="438" t="s">
        <v>573</v>
      </c>
      <c r="EL45" s="438" t="s">
        <v>762</v>
      </c>
    </row>
    <row r="46" spans="1:142" ht="30.75" thickBot="1">
      <c r="A46" s="781"/>
      <c r="B46" s="798" t="s">
        <v>369</v>
      </c>
      <c r="C46" s="799"/>
      <c r="D46" s="799"/>
      <c r="E46" s="417" t="e">
        <f>VLOOKUP(D19,AB:EL,103,FALSE)</f>
        <v>#N/A</v>
      </c>
      <c r="F46" s="414" t="e">
        <f>VLOOKUP(D19,AB:EL,104,FALSE)</f>
        <v>#N/A</v>
      </c>
      <c r="G46" s="414" t="e">
        <f>VLOOKUP(D19,AB:EL,105,FALSE)</f>
        <v>#N/A</v>
      </c>
      <c r="H46" s="414"/>
      <c r="I46" s="414"/>
      <c r="J46" s="414"/>
      <c r="K46" s="414" t="e">
        <f>VLOOKUP(D19,AB:EL,106,FALSE)</f>
        <v>#N/A</v>
      </c>
      <c r="L46" s="415" t="e">
        <f t="shared" si="247"/>
        <v>#N/A</v>
      </c>
      <c r="M46" s="714"/>
      <c r="N46" s="774" t="s">
        <v>383</v>
      </c>
      <c r="O46" s="775"/>
      <c r="P46" s="674" t="e">
        <f>VLOOKUP(D19,AB:EL,30,FALSE)</f>
        <v>#N/A</v>
      </c>
      <c r="Q46" s="680"/>
      <c r="R46" s="674" t="e">
        <f t="shared" si="351"/>
        <v>#N/A</v>
      </c>
      <c r="S46" s="675"/>
      <c r="T46" s="390"/>
      <c r="U46" s="390"/>
      <c r="V46" s="714"/>
      <c r="W46" s="714"/>
      <c r="X46" s="714"/>
      <c r="Y46" s="391"/>
      <c r="Z46" s="391"/>
      <c r="AA46" s="420">
        <f t="shared" si="1"/>
        <v>45</v>
      </c>
      <c r="AB46" s="435" t="s">
        <v>59</v>
      </c>
      <c r="AC46" s="422" t="s">
        <v>394</v>
      </c>
      <c r="AD46" s="422" t="s">
        <v>326</v>
      </c>
      <c r="AE46" s="422">
        <v>19.8571428571429</v>
      </c>
      <c r="AF46" s="422">
        <f>'SSS1 ATTENDANCE '!FJ52</f>
        <v>128</v>
      </c>
      <c r="AG46" s="422">
        <f>'SSS1 ATTENDANCE '!FH52</f>
        <v>0</v>
      </c>
      <c r="AH46" s="422">
        <f>'SSS1 ATTENDANCE '!FI52</f>
        <v>128</v>
      </c>
      <c r="AI46" s="436" t="s">
        <v>618</v>
      </c>
      <c r="AJ46" s="437">
        <v>40754</v>
      </c>
      <c r="AK46" s="435" t="s">
        <v>396</v>
      </c>
      <c r="AL46" s="424">
        <v>25</v>
      </c>
      <c r="AM46" s="422">
        <v>48.25</v>
      </c>
      <c r="AN46" s="438">
        <v>4</v>
      </c>
      <c r="AO46" s="422" t="str">
        <f t="shared" si="64"/>
        <v>3</v>
      </c>
      <c r="AP46" s="438">
        <v>5</v>
      </c>
      <c r="AQ46" s="422">
        <v>4</v>
      </c>
      <c r="AR46" s="438">
        <v>4</v>
      </c>
      <c r="AS46" s="438">
        <v>4</v>
      </c>
      <c r="AT46" s="438">
        <v>4</v>
      </c>
      <c r="AU46" s="438">
        <v>3</v>
      </c>
      <c r="AV46" s="438">
        <v>4</v>
      </c>
      <c r="AW46" s="438">
        <v>4</v>
      </c>
      <c r="AX46" s="438">
        <v>3</v>
      </c>
      <c r="AY46" s="438">
        <v>4</v>
      </c>
      <c r="AZ46" s="438">
        <v>3</v>
      </c>
      <c r="BA46" s="438">
        <v>3</v>
      </c>
      <c r="BB46" s="438">
        <v>3</v>
      </c>
      <c r="BC46" s="438">
        <v>4</v>
      </c>
      <c r="BD46" s="438">
        <v>4</v>
      </c>
      <c r="BE46" s="438">
        <v>4</v>
      </c>
      <c r="BF46" s="438">
        <v>3</v>
      </c>
      <c r="BG46" s="438">
        <v>3</v>
      </c>
      <c r="BH46" s="438">
        <v>3</v>
      </c>
      <c r="BI46" s="438">
        <v>5</v>
      </c>
      <c r="BJ46" s="438">
        <v>4</v>
      </c>
      <c r="BK46" s="438">
        <v>3</v>
      </c>
      <c r="BL46" s="438">
        <v>5</v>
      </c>
      <c r="BM46" s="438">
        <v>3</v>
      </c>
      <c r="BN46" s="422" t="s">
        <v>444</v>
      </c>
      <c r="BO46" s="438">
        <v>13.75</v>
      </c>
      <c r="BP46" s="438">
        <v>-138.607142857143</v>
      </c>
      <c r="BQ46" s="422">
        <f t="shared" si="368"/>
        <v>-124.857142857143</v>
      </c>
      <c r="BR46" s="438" t="str">
        <f t="shared" si="369"/>
        <v/>
      </c>
      <c r="BS46" s="422">
        <v>13.75</v>
      </c>
      <c r="BT46" s="438">
        <v>-91.535714285714306</v>
      </c>
      <c r="BU46" s="422">
        <f t="shared" si="370"/>
        <v>-77.785714285714306</v>
      </c>
      <c r="BV46" s="438" t="str">
        <f t="shared" si="371"/>
        <v/>
      </c>
      <c r="BW46" s="422">
        <v>13.75</v>
      </c>
      <c r="BX46" s="422">
        <v>-90.392857142857395</v>
      </c>
      <c r="BY46" s="422">
        <f t="shared" si="372"/>
        <v>-76.642857142857395</v>
      </c>
      <c r="BZ46" s="438" t="str">
        <f t="shared" si="373"/>
        <v/>
      </c>
      <c r="CA46" s="422">
        <v>13.75</v>
      </c>
      <c r="CB46" s="422">
        <v>-97.499999999999602</v>
      </c>
      <c r="CC46" s="422">
        <f t="shared" si="374"/>
        <v>-83.749999999999602</v>
      </c>
      <c r="CD46" s="438" t="str">
        <f t="shared" si="375"/>
        <v/>
      </c>
      <c r="CE46" s="422">
        <v>35</v>
      </c>
      <c r="CF46" s="422">
        <v>-90.857142857142605</v>
      </c>
      <c r="CG46" s="422">
        <f t="shared" si="376"/>
        <v>-55.857142857142605</v>
      </c>
      <c r="CH46" s="438" t="str">
        <f t="shared" si="377"/>
        <v/>
      </c>
      <c r="CI46" s="422">
        <v>13.75</v>
      </c>
      <c r="CJ46" s="422">
        <v>-34.678571428571502</v>
      </c>
      <c r="CK46" s="422">
        <f t="shared" si="378"/>
        <v>-20.928571428571502</v>
      </c>
      <c r="CL46" s="438" t="str">
        <f t="shared" si="379"/>
        <v/>
      </c>
      <c r="CM46" s="422">
        <v>13.75</v>
      </c>
      <c r="CN46" s="422"/>
      <c r="CO46" s="422"/>
      <c r="CP46" s="422">
        <f t="shared" si="380"/>
        <v>13.75</v>
      </c>
      <c r="CQ46" s="422">
        <v>36.422413793103502</v>
      </c>
      <c r="CR46" s="422">
        <f t="shared" si="381"/>
        <v>50.172413793103502</v>
      </c>
      <c r="CS46" s="438" t="str">
        <f t="shared" si="382"/>
        <v>C6</v>
      </c>
      <c r="CT46" s="422">
        <v>-0.52631578947368496</v>
      </c>
      <c r="CU46" s="422">
        <v>-102.105263157895</v>
      </c>
      <c r="CV46" s="422">
        <f t="shared" si="383"/>
        <v>-102.63157894736868</v>
      </c>
      <c r="CW46" s="438" t="str">
        <f t="shared" si="384"/>
        <v/>
      </c>
      <c r="CX46" s="422">
        <v>-10.8333333333333</v>
      </c>
      <c r="CY46" s="422">
        <v>-97.499999999999602</v>
      </c>
      <c r="CZ46" s="422">
        <f t="shared" si="385"/>
        <v>-108.3333333333329</v>
      </c>
      <c r="DA46" s="438" t="str">
        <f t="shared" si="386"/>
        <v/>
      </c>
      <c r="DB46" s="422">
        <f t="shared" ref="DB46:DB50" si="403">CX46</f>
        <v>-10.8333333333333</v>
      </c>
      <c r="DC46" s="422">
        <v>-71.250000000000099</v>
      </c>
      <c r="DD46" s="422">
        <f t="shared" si="387"/>
        <v>-82.0833333333334</v>
      </c>
      <c r="DE46" s="422" t="str">
        <f t="shared" si="388"/>
        <v/>
      </c>
      <c r="DF46" s="422">
        <f t="shared" si="389"/>
        <v>-10.8333333333333</v>
      </c>
      <c r="DG46" s="422">
        <v>-97.499999999999602</v>
      </c>
      <c r="DH46" s="422">
        <f t="shared" si="390"/>
        <v>-108.3333333333329</v>
      </c>
      <c r="DI46" s="422" t="str">
        <f t="shared" si="391"/>
        <v/>
      </c>
      <c r="DJ46" s="422">
        <f t="shared" ref="DJ46:DJ50" si="404">DF46</f>
        <v>-10.8333333333333</v>
      </c>
      <c r="DK46" s="422">
        <v>39.964285714285701</v>
      </c>
      <c r="DL46" s="422">
        <f t="shared" si="392"/>
        <v>29.130952380952401</v>
      </c>
      <c r="DM46" s="422" t="str">
        <f t="shared" si="393"/>
        <v>F9</v>
      </c>
      <c r="DN46" s="422">
        <f t="shared" ref="DN46:DN50" si="405">DJ46</f>
        <v>-10.8333333333333</v>
      </c>
      <c r="DO46" s="422">
        <v>21.535714285714299</v>
      </c>
      <c r="DP46" s="422">
        <f t="shared" si="394"/>
        <v>10.702380952380999</v>
      </c>
      <c r="DQ46" s="438" t="str">
        <f t="shared" si="395"/>
        <v>F9</v>
      </c>
      <c r="DR46" s="422">
        <f t="shared" ref="DR46:DR50" si="406">DN46</f>
        <v>-10.8333333333333</v>
      </c>
      <c r="DS46" s="422">
        <v>-74.892857142857395</v>
      </c>
      <c r="DT46" s="422">
        <f t="shared" si="396"/>
        <v>-85.726190476190695</v>
      </c>
      <c r="DU46" s="438" t="str">
        <f t="shared" si="397"/>
        <v/>
      </c>
      <c r="DV46" s="422">
        <f t="shared" ref="DV46:DV50" si="407">DR46</f>
        <v>-10.8333333333333</v>
      </c>
      <c r="DW46" s="422">
        <v>44.214285714285701</v>
      </c>
      <c r="DX46" s="422">
        <f t="shared" si="398"/>
        <v>33.380952380952401</v>
      </c>
      <c r="DY46" s="438" t="str">
        <f t="shared" si="399"/>
        <v>F9</v>
      </c>
      <c r="DZ46" s="422">
        <f t="shared" si="400"/>
        <v>-10.8333333333333</v>
      </c>
      <c r="EA46" s="422">
        <v>11.25</v>
      </c>
      <c r="EB46" s="422">
        <f t="shared" si="401"/>
        <v>0.41666666666669983</v>
      </c>
      <c r="EC46" s="438" t="str">
        <f t="shared" si="402"/>
        <v/>
      </c>
      <c r="ED46" s="422">
        <f t="shared" si="63"/>
        <v>-803.1258318209309</v>
      </c>
      <c r="EE46" s="422">
        <f t="shared" si="100"/>
        <v>-50.195364488808181</v>
      </c>
      <c r="EF46" s="438" t="str">
        <f t="shared" si="101"/>
        <v/>
      </c>
      <c r="EG46" s="422" t="str">
        <f t="shared" si="102"/>
        <v/>
      </c>
      <c r="EH46" s="439">
        <v>1</v>
      </c>
      <c r="EI46" s="422">
        <f t="shared" si="103"/>
        <v>-803.1258318209309</v>
      </c>
      <c r="EJ46" s="440">
        <f t="shared" si="104"/>
        <v>-0.50195364488808181</v>
      </c>
      <c r="EK46" s="438" t="s">
        <v>573</v>
      </c>
      <c r="EL46" s="438" t="s">
        <v>762</v>
      </c>
    </row>
    <row r="47" spans="1:142" ht="30">
      <c r="A47" s="781"/>
      <c r="B47" s="394"/>
      <c r="C47" s="394"/>
      <c r="D47" s="394"/>
      <c r="E47" s="390"/>
      <c r="F47" s="390"/>
      <c r="G47" s="390"/>
      <c r="H47" s="447" t="s">
        <v>760</v>
      </c>
      <c r="I47" s="390"/>
      <c r="J47" s="390"/>
      <c r="K47" s="390"/>
      <c r="L47" s="390"/>
      <c r="M47" s="714"/>
      <c r="N47" s="776" t="s">
        <v>384</v>
      </c>
      <c r="O47" s="777"/>
      <c r="P47" s="674" t="e">
        <f>VLOOKUP(D19,AB:EL,31,FALSE)</f>
        <v>#N/A</v>
      </c>
      <c r="Q47" s="680"/>
      <c r="R47" s="674" t="e">
        <f>IF(P47&gt;=6,"EXCELLENT",
IF(P47&gt;=6,"EXCELLENT",
IF(P47&gt;=5,"EXCELLENT",
IF(P47&gt;=4,"V.GOOD",
IF(P47&gt;=3,"POOR",
IF(P47&gt;=2,"POOR",
IF(P47&gt;=2,"POOR",
IF(P47&gt;=1,"POOR",
IF(P47&gt;=0,"POOR",
IF(P47&gt;=1,"POOR",""))))))))))</f>
        <v>#N/A</v>
      </c>
      <c r="S47" s="675"/>
      <c r="T47" s="390"/>
      <c r="U47" s="390"/>
      <c r="V47" s="714"/>
      <c r="W47" s="714"/>
      <c r="X47" s="714"/>
      <c r="Y47" s="391"/>
      <c r="Z47" s="391"/>
      <c r="AA47" s="420">
        <f t="shared" si="1"/>
        <v>46</v>
      </c>
      <c r="AB47" s="435" t="s">
        <v>60</v>
      </c>
      <c r="AC47" s="422" t="s">
        <v>394</v>
      </c>
      <c r="AD47" s="422" t="s">
        <v>326</v>
      </c>
      <c r="AE47" s="422">
        <v>20</v>
      </c>
      <c r="AF47" s="422">
        <f>'SSS1 ATTENDANCE '!FJ53</f>
        <v>128</v>
      </c>
      <c r="AG47" s="422">
        <f>'SSS1 ATTENDANCE '!FH53</f>
        <v>0</v>
      </c>
      <c r="AH47" s="422">
        <f>'SSS1 ATTENDANCE '!FI53</f>
        <v>128</v>
      </c>
      <c r="AI47" s="436" t="s">
        <v>619</v>
      </c>
      <c r="AJ47" s="437">
        <v>40900</v>
      </c>
      <c r="AK47" s="435" t="s">
        <v>396</v>
      </c>
      <c r="AL47" s="424">
        <v>25</v>
      </c>
      <c r="AM47" s="422">
        <v>48.785714285714299</v>
      </c>
      <c r="AN47" s="438">
        <v>4</v>
      </c>
      <c r="AO47" s="422" t="str">
        <f t="shared" si="64"/>
        <v>3</v>
      </c>
      <c r="AP47" s="438">
        <v>5</v>
      </c>
      <c r="AQ47" s="422">
        <v>4</v>
      </c>
      <c r="AR47" s="438">
        <v>4</v>
      </c>
      <c r="AS47" s="438">
        <v>4</v>
      </c>
      <c r="AT47" s="438">
        <v>4</v>
      </c>
      <c r="AU47" s="438">
        <v>3</v>
      </c>
      <c r="AV47" s="438">
        <v>4</v>
      </c>
      <c r="AW47" s="438">
        <v>4</v>
      </c>
      <c r="AX47" s="438">
        <v>3</v>
      </c>
      <c r="AY47" s="438">
        <v>4</v>
      </c>
      <c r="AZ47" s="438">
        <v>3</v>
      </c>
      <c r="BA47" s="438">
        <v>3</v>
      </c>
      <c r="BB47" s="438">
        <v>3</v>
      </c>
      <c r="BC47" s="438">
        <v>4</v>
      </c>
      <c r="BD47" s="438">
        <v>4</v>
      </c>
      <c r="BE47" s="438">
        <v>4</v>
      </c>
      <c r="BF47" s="438">
        <v>3</v>
      </c>
      <c r="BG47" s="438">
        <v>3</v>
      </c>
      <c r="BH47" s="438">
        <v>3</v>
      </c>
      <c r="BI47" s="438">
        <v>5</v>
      </c>
      <c r="BJ47" s="438">
        <v>4</v>
      </c>
      <c r="BK47" s="438">
        <v>3</v>
      </c>
      <c r="BL47" s="438">
        <v>5</v>
      </c>
      <c r="BM47" s="438">
        <v>3</v>
      </c>
      <c r="BN47" s="422" t="s">
        <v>445</v>
      </c>
      <c r="BO47" s="438">
        <v>13.214285714285699</v>
      </c>
      <c r="BP47" s="438">
        <v>-142.78571428571399</v>
      </c>
      <c r="BQ47" s="422">
        <f t="shared" si="368"/>
        <v>-129.5714285714283</v>
      </c>
      <c r="BR47" s="438" t="str">
        <f t="shared" si="369"/>
        <v/>
      </c>
      <c r="BS47" s="422">
        <v>13.214285714285699</v>
      </c>
      <c r="BT47" s="438">
        <v>-94.785714285714306</v>
      </c>
      <c r="BU47" s="422">
        <f t="shared" si="370"/>
        <v>-81.571428571428612</v>
      </c>
      <c r="BV47" s="438" t="str">
        <f t="shared" si="371"/>
        <v/>
      </c>
      <c r="BW47" s="422">
        <v>13.214285714285699</v>
      </c>
      <c r="BX47" s="422">
        <v>-93.500000000000398</v>
      </c>
      <c r="BY47" s="422">
        <f t="shared" si="372"/>
        <v>-80.285714285714704</v>
      </c>
      <c r="BZ47" s="438" t="str">
        <f t="shared" si="373"/>
        <v/>
      </c>
      <c r="CA47" s="422">
        <v>13.214285714285699</v>
      </c>
      <c r="CB47" s="422">
        <v>-100.71428571428601</v>
      </c>
      <c r="CC47" s="422">
        <f t="shared" si="374"/>
        <v>-87.500000000000313</v>
      </c>
      <c r="CD47" s="438" t="str">
        <f t="shared" si="375"/>
        <v/>
      </c>
      <c r="CE47" s="422">
        <v>35</v>
      </c>
      <c r="CF47" s="422">
        <v>-93.999999999999602</v>
      </c>
      <c r="CG47" s="422">
        <f t="shared" si="376"/>
        <v>-58.999999999999602</v>
      </c>
      <c r="CH47" s="438" t="str">
        <f t="shared" si="377"/>
        <v/>
      </c>
      <c r="CI47" s="422">
        <v>13.214285714285699</v>
      </c>
      <c r="CJ47" s="422">
        <v>-36.5</v>
      </c>
      <c r="CK47" s="422">
        <f t="shared" si="378"/>
        <v>-23.285714285714299</v>
      </c>
      <c r="CL47" s="438" t="str">
        <f t="shared" si="379"/>
        <v/>
      </c>
      <c r="CM47" s="422">
        <v>13.214285714285699</v>
      </c>
      <c r="CN47" s="422"/>
      <c r="CO47" s="422"/>
      <c r="CP47" s="422"/>
      <c r="CQ47" s="422">
        <v>36.137931034482797</v>
      </c>
      <c r="CR47" s="422">
        <f t="shared" si="381"/>
        <v>36.137931034482797</v>
      </c>
      <c r="CS47" s="438" t="str">
        <f t="shared" si="382"/>
        <v>F9</v>
      </c>
      <c r="CT47" s="422">
        <v>-1.57894736842108</v>
      </c>
      <c r="CU47" s="422">
        <v>-106.315789473685</v>
      </c>
      <c r="CV47" s="422">
        <f t="shared" si="383"/>
        <v>-107.89473684210608</v>
      </c>
      <c r="CW47" s="438" t="str">
        <f t="shared" si="384"/>
        <v/>
      </c>
      <c r="CX47" s="422">
        <f t="shared" ref="CX47" si="408">CT47</f>
        <v>-1.57894736842108</v>
      </c>
      <c r="CY47" s="422">
        <v>-100.71428571428601</v>
      </c>
      <c r="CZ47" s="422">
        <f t="shared" si="385"/>
        <v>-102.29323308270709</v>
      </c>
      <c r="DA47" s="438" t="str">
        <f t="shared" si="386"/>
        <v/>
      </c>
      <c r="DB47" s="422">
        <f t="shared" si="403"/>
        <v>-1.57894736842108</v>
      </c>
      <c r="DC47" s="422">
        <v>-73.928571428571104</v>
      </c>
      <c r="DD47" s="422">
        <f t="shared" si="387"/>
        <v>-75.507518796992187</v>
      </c>
      <c r="DE47" s="422" t="str">
        <f t="shared" si="388"/>
        <v/>
      </c>
      <c r="DF47" s="422">
        <f t="shared" si="389"/>
        <v>-1.57894736842108</v>
      </c>
      <c r="DG47" s="422">
        <v>-100.71428571428601</v>
      </c>
      <c r="DH47" s="422">
        <f t="shared" si="390"/>
        <v>-102.29323308270709</v>
      </c>
      <c r="DI47" s="422" t="str">
        <f t="shared" si="391"/>
        <v/>
      </c>
      <c r="DJ47" s="422">
        <f t="shared" si="404"/>
        <v>-1.57894736842108</v>
      </c>
      <c r="DK47" s="422">
        <v>39.785714285714199</v>
      </c>
      <c r="DL47" s="422">
        <f t="shared" si="392"/>
        <v>38.206766917293116</v>
      </c>
      <c r="DM47" s="422" t="str">
        <f t="shared" si="393"/>
        <v>F9</v>
      </c>
      <c r="DN47" s="422">
        <f t="shared" si="405"/>
        <v>-1.57894736842108</v>
      </c>
      <c r="DO47" s="422">
        <v>20.928571428571399</v>
      </c>
      <c r="DP47" s="422">
        <f t="shared" si="394"/>
        <v>19.349624060150319</v>
      </c>
      <c r="DQ47" s="438" t="str">
        <f t="shared" si="395"/>
        <v>F9</v>
      </c>
      <c r="DR47" s="422">
        <f t="shared" si="406"/>
        <v>-1.57894736842108</v>
      </c>
      <c r="DS47" s="422">
        <v>-77.500000000000398</v>
      </c>
      <c r="DT47" s="422">
        <f t="shared" si="396"/>
        <v>-79.078947368421481</v>
      </c>
      <c r="DU47" s="438" t="str">
        <f t="shared" si="397"/>
        <v/>
      </c>
      <c r="DV47" s="422">
        <f t="shared" si="407"/>
        <v>-1.57894736842108</v>
      </c>
      <c r="DW47" s="422">
        <v>44.142857142857103</v>
      </c>
      <c r="DX47" s="422">
        <f t="shared" si="398"/>
        <v>42.56390977443602</v>
      </c>
      <c r="DY47" s="438" t="str">
        <f t="shared" si="399"/>
        <v>E8</v>
      </c>
      <c r="DZ47" s="422">
        <f t="shared" si="400"/>
        <v>-1.57894736842108</v>
      </c>
      <c r="EA47" s="422">
        <v>10.5</v>
      </c>
      <c r="EB47" s="422">
        <f t="shared" si="401"/>
        <v>8.9210526315789203</v>
      </c>
      <c r="EC47" s="438" t="str">
        <f t="shared" si="402"/>
        <v>F9</v>
      </c>
      <c r="ED47" s="422">
        <f t="shared" si="63"/>
        <v>-783.10267046927845</v>
      </c>
      <c r="EE47" s="422">
        <f t="shared" si="100"/>
        <v>-48.943916904329903</v>
      </c>
      <c r="EF47" s="438" t="str">
        <f t="shared" si="101"/>
        <v/>
      </c>
      <c r="EG47" s="422" t="str">
        <f t="shared" si="102"/>
        <v/>
      </c>
      <c r="EH47" s="439">
        <v>1</v>
      </c>
      <c r="EI47" s="422">
        <f t="shared" si="103"/>
        <v>-783.10267046927845</v>
      </c>
      <c r="EJ47" s="440">
        <f t="shared" si="104"/>
        <v>-0.48943916904329904</v>
      </c>
      <c r="EK47" s="438" t="s">
        <v>573</v>
      </c>
      <c r="EL47" s="438" t="s">
        <v>762</v>
      </c>
    </row>
    <row r="48" spans="1:142" ht="32.25" thickBot="1">
      <c r="A48" s="781"/>
      <c r="B48" s="376"/>
      <c r="C48" s="376"/>
      <c r="D48" s="376"/>
      <c r="E48" s="376"/>
      <c r="F48" s="376"/>
      <c r="G48" s="376"/>
      <c r="H48" s="376"/>
      <c r="I48" s="376"/>
      <c r="J48" s="376"/>
      <c r="K48" s="738" t="s">
        <v>349</v>
      </c>
      <c r="L48" s="739"/>
      <c r="M48" s="714"/>
      <c r="N48" s="768" t="s">
        <v>385</v>
      </c>
      <c r="O48" s="735"/>
      <c r="P48" s="674" t="e">
        <f>VLOOKUP(D19,AB:EL,32,FALSE)</f>
        <v>#N/A</v>
      </c>
      <c r="Q48" s="680"/>
      <c r="R48" s="674" t="e">
        <f t="shared" ref="R48:R49" si="409">IF(P48&gt;=6,"EXCELLENT",
IF(P48&gt;=6,"EXCELLENT",
IF(P48&gt;=5,"EXCELLENT",
IF(P48&gt;=4,"V.GOOD",
IF(P48&gt;=3,"POOR",
IF(P48&gt;=2,"POOR",
IF(P48&gt;=2,"POOR",
IF(P48&gt;=1,"POOR",
IF(P48&gt;=0,"POOR",
IF(P48&gt;=1,"POOR",""))))))))))</f>
        <v>#N/A</v>
      </c>
      <c r="S48" s="675"/>
      <c r="T48" s="390"/>
      <c r="U48" s="390"/>
      <c r="V48" s="714"/>
      <c r="W48" s="714"/>
      <c r="X48" s="714"/>
      <c r="Y48" s="391"/>
      <c r="Z48" s="391"/>
      <c r="AA48" s="420">
        <f t="shared" si="1"/>
        <v>47</v>
      </c>
      <c r="AB48" s="435" t="s">
        <v>61</v>
      </c>
      <c r="AC48" s="422" t="s">
        <v>394</v>
      </c>
      <c r="AD48" s="422" t="s">
        <v>326</v>
      </c>
      <c r="AE48" s="422">
        <v>20.1428571428571</v>
      </c>
      <c r="AF48" s="422">
        <f>'SSS1 ATTENDANCE '!FJ54</f>
        <v>128</v>
      </c>
      <c r="AG48" s="422">
        <f>'SSS1 ATTENDANCE '!FH54</f>
        <v>0</v>
      </c>
      <c r="AH48" s="422">
        <f>'SSS1 ATTENDANCE '!FI54</f>
        <v>128</v>
      </c>
      <c r="AI48" s="436" t="s">
        <v>620</v>
      </c>
      <c r="AJ48" s="437">
        <v>40368</v>
      </c>
      <c r="AK48" s="435" t="s">
        <v>396</v>
      </c>
      <c r="AL48" s="424">
        <v>25</v>
      </c>
      <c r="AM48" s="422">
        <v>49.321428571428498</v>
      </c>
      <c r="AN48" s="438">
        <v>4</v>
      </c>
      <c r="AO48" s="422" t="str">
        <f t="shared" si="64"/>
        <v>3</v>
      </c>
      <c r="AP48" s="438">
        <v>5</v>
      </c>
      <c r="AQ48" s="422">
        <v>4</v>
      </c>
      <c r="AR48" s="438">
        <v>4</v>
      </c>
      <c r="AS48" s="438">
        <v>4</v>
      </c>
      <c r="AT48" s="438">
        <v>4</v>
      </c>
      <c r="AU48" s="438">
        <v>3</v>
      </c>
      <c r="AV48" s="438">
        <v>4</v>
      </c>
      <c r="AW48" s="438">
        <v>4</v>
      </c>
      <c r="AX48" s="438">
        <v>3</v>
      </c>
      <c r="AY48" s="438">
        <v>4</v>
      </c>
      <c r="AZ48" s="438">
        <v>3</v>
      </c>
      <c r="BA48" s="438">
        <v>3</v>
      </c>
      <c r="BB48" s="438">
        <v>3</v>
      </c>
      <c r="BC48" s="438">
        <v>4</v>
      </c>
      <c r="BD48" s="438">
        <v>4</v>
      </c>
      <c r="BE48" s="438">
        <v>4</v>
      </c>
      <c r="BF48" s="438">
        <v>3</v>
      </c>
      <c r="BG48" s="438">
        <v>3</v>
      </c>
      <c r="BH48" s="438">
        <v>3</v>
      </c>
      <c r="BI48" s="438">
        <v>5</v>
      </c>
      <c r="BJ48" s="438">
        <v>4</v>
      </c>
      <c r="BK48" s="438">
        <v>3</v>
      </c>
      <c r="BL48" s="438">
        <v>5</v>
      </c>
      <c r="BM48" s="438">
        <v>3</v>
      </c>
      <c r="BN48" s="422" t="s">
        <v>446</v>
      </c>
      <c r="BO48" s="438">
        <v>12.6785714285715</v>
      </c>
      <c r="BP48" s="438">
        <v>-146.96428571428601</v>
      </c>
      <c r="BQ48" s="422">
        <f t="shared" si="368"/>
        <v>-134.2857142857145</v>
      </c>
      <c r="BR48" s="438" t="str">
        <f t="shared" si="369"/>
        <v/>
      </c>
      <c r="BS48" s="422">
        <v>12.6785714285715</v>
      </c>
      <c r="BT48" s="438">
        <v>-98.035714285714306</v>
      </c>
      <c r="BU48" s="422">
        <f t="shared" si="370"/>
        <v>-85.357142857142804</v>
      </c>
      <c r="BV48" s="438" t="str">
        <f t="shared" si="371"/>
        <v/>
      </c>
      <c r="BW48" s="422">
        <v>12.6785714285715</v>
      </c>
      <c r="BX48" s="422">
        <v>-96.607142857142406</v>
      </c>
      <c r="BY48" s="422">
        <f t="shared" si="372"/>
        <v>-83.928571428570905</v>
      </c>
      <c r="BZ48" s="438" t="str">
        <f t="shared" si="373"/>
        <v/>
      </c>
      <c r="CA48" s="422">
        <v>12.6785714285715</v>
      </c>
      <c r="CB48" s="422">
        <v>-103.928571428572</v>
      </c>
      <c r="CC48" s="422">
        <f t="shared" si="374"/>
        <v>-91.250000000000497</v>
      </c>
      <c r="CD48" s="438" t="str">
        <f t="shared" si="375"/>
        <v/>
      </c>
      <c r="CE48" s="422">
        <v>35</v>
      </c>
      <c r="CF48" s="422">
        <v>-97.142857142857594</v>
      </c>
      <c r="CG48" s="422">
        <f t="shared" si="376"/>
        <v>-62.142857142857594</v>
      </c>
      <c r="CH48" s="438" t="str">
        <f t="shared" si="377"/>
        <v/>
      </c>
      <c r="CI48" s="422">
        <v>12.6785714285715</v>
      </c>
      <c r="CJ48" s="422">
        <v>-38.321428571428598</v>
      </c>
      <c r="CK48" s="422">
        <f t="shared" si="378"/>
        <v>-25.642857142857096</v>
      </c>
      <c r="CL48" s="438" t="str">
        <f t="shared" si="379"/>
        <v/>
      </c>
      <c r="CM48" s="422">
        <v>12.6785714285715</v>
      </c>
      <c r="CN48" s="422"/>
      <c r="CO48" s="422"/>
      <c r="CP48" s="422">
        <f t="shared" ref="CP48" si="410">CM48</f>
        <v>12.6785714285715</v>
      </c>
      <c r="CQ48" s="422">
        <v>35.8534482758621</v>
      </c>
      <c r="CR48" s="422">
        <f t="shared" si="381"/>
        <v>48.532019704433601</v>
      </c>
      <c r="CS48" s="438" t="str">
        <f t="shared" si="382"/>
        <v>D7</v>
      </c>
      <c r="CT48" s="422">
        <v>-2.6315789473684799</v>
      </c>
      <c r="CU48" s="422">
        <v>-110.526315789474</v>
      </c>
      <c r="CV48" s="422">
        <f t="shared" si="383"/>
        <v>-113.15789473684248</v>
      </c>
      <c r="CW48" s="438" t="str">
        <f t="shared" si="384"/>
        <v/>
      </c>
      <c r="CX48" s="422">
        <v>35</v>
      </c>
      <c r="CY48" s="422">
        <v>-103.928571428572</v>
      </c>
      <c r="CZ48" s="422">
        <f t="shared" si="385"/>
        <v>-68.928571428571999</v>
      </c>
      <c r="DA48" s="438" t="str">
        <f t="shared" si="386"/>
        <v/>
      </c>
      <c r="DB48" s="422">
        <f t="shared" si="403"/>
        <v>35</v>
      </c>
      <c r="DC48" s="422">
        <v>-76.607142857143103</v>
      </c>
      <c r="DD48" s="422">
        <f t="shared" si="387"/>
        <v>-41.607142857143103</v>
      </c>
      <c r="DE48" s="422" t="str">
        <f t="shared" si="388"/>
        <v/>
      </c>
      <c r="DF48" s="422">
        <f t="shared" si="389"/>
        <v>35</v>
      </c>
      <c r="DG48" s="422">
        <v>-103.928571428572</v>
      </c>
      <c r="DH48" s="422">
        <f t="shared" si="390"/>
        <v>-68.928571428571999</v>
      </c>
      <c r="DI48" s="422" t="str">
        <f t="shared" si="391"/>
        <v/>
      </c>
      <c r="DJ48" s="422">
        <f t="shared" si="404"/>
        <v>35</v>
      </c>
      <c r="DK48" s="422">
        <v>39.607142857142797</v>
      </c>
      <c r="DL48" s="422">
        <f t="shared" si="392"/>
        <v>74.607142857142804</v>
      </c>
      <c r="DM48" s="422" t="str">
        <f t="shared" si="393"/>
        <v>B2</v>
      </c>
      <c r="DN48" s="422">
        <f t="shared" si="405"/>
        <v>35</v>
      </c>
      <c r="DO48" s="422">
        <v>20.321428571428601</v>
      </c>
      <c r="DP48" s="422">
        <f t="shared" si="394"/>
        <v>55.321428571428598</v>
      </c>
      <c r="DQ48" s="438" t="str">
        <f t="shared" si="395"/>
        <v>C5</v>
      </c>
      <c r="DR48" s="422">
        <f t="shared" si="406"/>
        <v>35</v>
      </c>
      <c r="DS48" s="422">
        <v>-80.107142857142406</v>
      </c>
      <c r="DT48" s="422">
        <f t="shared" si="396"/>
        <v>-45.107142857142406</v>
      </c>
      <c r="DU48" s="438" t="str">
        <f t="shared" si="397"/>
        <v/>
      </c>
      <c r="DV48" s="422">
        <f t="shared" si="407"/>
        <v>35</v>
      </c>
      <c r="DW48" s="422">
        <v>44.071428571428498</v>
      </c>
      <c r="DX48" s="422">
        <f t="shared" si="398"/>
        <v>79.071428571428498</v>
      </c>
      <c r="DY48" s="438" t="str">
        <f t="shared" si="399"/>
        <v>A</v>
      </c>
      <c r="DZ48" s="422">
        <f t="shared" si="400"/>
        <v>35</v>
      </c>
      <c r="EA48" s="422">
        <v>9.75</v>
      </c>
      <c r="EB48" s="422">
        <f t="shared" si="401"/>
        <v>44.75</v>
      </c>
      <c r="EC48" s="438" t="str">
        <f t="shared" si="402"/>
        <v>E8</v>
      </c>
      <c r="ED48" s="422">
        <f t="shared" si="63"/>
        <v>-518.05444646098204</v>
      </c>
      <c r="EE48" s="422">
        <f t="shared" si="100"/>
        <v>-32.378402903811377</v>
      </c>
      <c r="EF48" s="438" t="str">
        <f t="shared" si="101"/>
        <v/>
      </c>
      <c r="EG48" s="422" t="str">
        <f t="shared" si="102"/>
        <v/>
      </c>
      <c r="EH48" s="439">
        <v>1</v>
      </c>
      <c r="EI48" s="422">
        <f t="shared" si="103"/>
        <v>-518.05444646098204</v>
      </c>
      <c r="EJ48" s="440">
        <f t="shared" si="104"/>
        <v>-0.32378402903811376</v>
      </c>
      <c r="EK48" s="438" t="s">
        <v>746</v>
      </c>
      <c r="EL48" s="438" t="s">
        <v>762</v>
      </c>
    </row>
    <row r="49" spans="1:142" ht="30.75" thickBot="1">
      <c r="A49" s="781"/>
      <c r="B49" s="376"/>
      <c r="C49" s="376"/>
      <c r="D49" s="376"/>
      <c r="E49" s="376"/>
      <c r="F49" s="376"/>
      <c r="G49" s="376"/>
      <c r="H49" s="376"/>
      <c r="I49" s="376"/>
      <c r="J49" s="376"/>
      <c r="K49" s="740" t="s">
        <v>757</v>
      </c>
      <c r="L49" s="741"/>
      <c r="M49" s="714"/>
      <c r="N49" s="734" t="s">
        <v>278</v>
      </c>
      <c r="O49" s="735"/>
      <c r="P49" s="674" t="e">
        <f>VLOOKUP(D19,AB:EL,33,FALSE)</f>
        <v>#N/A</v>
      </c>
      <c r="Q49" s="680"/>
      <c r="R49" s="674" t="e">
        <f t="shared" si="409"/>
        <v>#N/A</v>
      </c>
      <c r="S49" s="675"/>
      <c r="T49" s="390"/>
      <c r="U49" s="390"/>
      <c r="V49" s="714"/>
      <c r="W49" s="714"/>
      <c r="X49" s="714"/>
      <c r="Y49" s="391"/>
      <c r="Z49" s="391"/>
      <c r="AA49" s="420">
        <f t="shared" si="1"/>
        <v>48</v>
      </c>
      <c r="AB49" s="435" t="s">
        <v>62</v>
      </c>
      <c r="AC49" s="422" t="s">
        <v>394</v>
      </c>
      <c r="AD49" s="422" t="s">
        <v>326</v>
      </c>
      <c r="AE49" s="422">
        <v>20.285714285714299</v>
      </c>
      <c r="AF49" s="422">
        <f>'SSS1 ATTENDANCE '!FJ55</f>
        <v>128</v>
      </c>
      <c r="AG49" s="422">
        <f>'SSS1 ATTENDANCE '!FH55</f>
        <v>0</v>
      </c>
      <c r="AH49" s="422">
        <f>'SSS1 ATTENDANCE '!FI55</f>
        <v>128</v>
      </c>
      <c r="AI49" s="436" t="s">
        <v>621</v>
      </c>
      <c r="AJ49" s="437">
        <v>40852</v>
      </c>
      <c r="AK49" s="435" t="s">
        <v>396</v>
      </c>
      <c r="AL49" s="424">
        <v>25</v>
      </c>
      <c r="AM49" s="422">
        <v>49.857142857142797</v>
      </c>
      <c r="AN49" s="438">
        <v>4</v>
      </c>
      <c r="AO49" s="422" t="str">
        <f t="shared" si="64"/>
        <v>3</v>
      </c>
      <c r="AP49" s="438">
        <v>5</v>
      </c>
      <c r="AQ49" s="422">
        <v>4</v>
      </c>
      <c r="AR49" s="438">
        <v>4</v>
      </c>
      <c r="AS49" s="438">
        <v>4</v>
      </c>
      <c r="AT49" s="438">
        <v>4</v>
      </c>
      <c r="AU49" s="438">
        <v>3</v>
      </c>
      <c r="AV49" s="438">
        <v>4</v>
      </c>
      <c r="AW49" s="438">
        <v>4</v>
      </c>
      <c r="AX49" s="438">
        <v>3</v>
      </c>
      <c r="AY49" s="438">
        <v>4</v>
      </c>
      <c r="AZ49" s="438">
        <v>3</v>
      </c>
      <c r="BA49" s="438">
        <v>3</v>
      </c>
      <c r="BB49" s="438">
        <v>3</v>
      </c>
      <c r="BC49" s="438">
        <v>4</v>
      </c>
      <c r="BD49" s="438">
        <v>4</v>
      </c>
      <c r="BE49" s="438">
        <v>4</v>
      </c>
      <c r="BF49" s="438">
        <v>3</v>
      </c>
      <c r="BG49" s="438">
        <v>3</v>
      </c>
      <c r="BH49" s="438">
        <v>3</v>
      </c>
      <c r="BI49" s="438">
        <v>5</v>
      </c>
      <c r="BJ49" s="438">
        <v>4</v>
      </c>
      <c r="BK49" s="438">
        <v>3</v>
      </c>
      <c r="BL49" s="438">
        <v>5</v>
      </c>
      <c r="BM49" s="438">
        <v>3</v>
      </c>
      <c r="BN49" s="422" t="s">
        <v>447</v>
      </c>
      <c r="BO49" s="438">
        <v>12.142857142857199</v>
      </c>
      <c r="BP49" s="438">
        <v>-151.142857142857</v>
      </c>
      <c r="BQ49" s="422">
        <f t="shared" si="368"/>
        <v>-138.9999999999998</v>
      </c>
      <c r="BR49" s="438" t="str">
        <f t="shared" si="369"/>
        <v/>
      </c>
      <c r="BS49" s="422">
        <v>12.142857142857199</v>
      </c>
      <c r="BT49" s="438">
        <v>-101.28571428571399</v>
      </c>
      <c r="BU49" s="422">
        <f t="shared" si="370"/>
        <v>-89.142857142856798</v>
      </c>
      <c r="BV49" s="438" t="str">
        <f t="shared" si="371"/>
        <v/>
      </c>
      <c r="BW49" s="422">
        <v>12.142857142857199</v>
      </c>
      <c r="BX49" s="422">
        <v>-99.714285714285396</v>
      </c>
      <c r="BY49" s="422">
        <f t="shared" si="372"/>
        <v>-87.5714285714282</v>
      </c>
      <c r="BZ49" s="438" t="str">
        <f t="shared" si="373"/>
        <v/>
      </c>
      <c r="CA49" s="422">
        <v>12.142857142857199</v>
      </c>
      <c r="CB49" s="422">
        <v>-107.14285714285801</v>
      </c>
      <c r="CC49" s="422">
        <f t="shared" si="374"/>
        <v>-95.00000000000081</v>
      </c>
      <c r="CD49" s="438" t="str">
        <f t="shared" si="375"/>
        <v/>
      </c>
      <c r="CE49" s="422">
        <v>35</v>
      </c>
      <c r="CF49" s="422">
        <v>-100.285714285715</v>
      </c>
      <c r="CG49" s="422">
        <f t="shared" si="376"/>
        <v>-65.285714285715002</v>
      </c>
      <c r="CH49" s="438" t="str">
        <f t="shared" si="377"/>
        <v/>
      </c>
      <c r="CI49" s="422">
        <v>12.142857142857199</v>
      </c>
      <c r="CJ49" s="422">
        <v>-40.142857142857203</v>
      </c>
      <c r="CK49" s="422">
        <f t="shared" si="378"/>
        <v>-28.000000000000004</v>
      </c>
      <c r="CL49" s="438" t="str">
        <f t="shared" si="379"/>
        <v/>
      </c>
      <c r="CM49" s="422">
        <v>12.142857142857199</v>
      </c>
      <c r="CN49" s="422"/>
      <c r="CO49" s="422"/>
      <c r="CP49" s="422"/>
      <c r="CQ49" s="422">
        <v>35.568965517241402</v>
      </c>
      <c r="CR49" s="422">
        <f t="shared" si="381"/>
        <v>35.568965517241402</v>
      </c>
      <c r="CS49" s="438" t="str">
        <f t="shared" si="382"/>
        <v>F9</v>
      </c>
      <c r="CT49" s="422">
        <v>-3.6842105263157898</v>
      </c>
      <c r="CU49" s="422">
        <v>-114.736842105264</v>
      </c>
      <c r="CV49" s="422">
        <f t="shared" si="383"/>
        <v>-118.4210526315798</v>
      </c>
      <c r="CW49" s="438" t="str">
        <f t="shared" si="384"/>
        <v/>
      </c>
      <c r="CX49" s="422">
        <f t="shared" ref="CX49" si="411">CT49</f>
        <v>-3.6842105263157898</v>
      </c>
      <c r="CY49" s="422">
        <v>-107.14285714285801</v>
      </c>
      <c r="CZ49" s="422">
        <f t="shared" si="385"/>
        <v>-110.8270676691738</v>
      </c>
      <c r="DA49" s="438" t="str">
        <f t="shared" si="386"/>
        <v/>
      </c>
      <c r="DB49" s="422">
        <f t="shared" si="403"/>
        <v>-3.6842105263157898</v>
      </c>
      <c r="DC49" s="422">
        <v>-79.285714285714107</v>
      </c>
      <c r="DD49" s="422">
        <f t="shared" si="387"/>
        <v>-82.969924812029902</v>
      </c>
      <c r="DE49" s="422" t="str">
        <f t="shared" si="388"/>
        <v/>
      </c>
      <c r="DF49" s="422">
        <f t="shared" si="389"/>
        <v>-3.6842105263157898</v>
      </c>
      <c r="DG49" s="422">
        <v>-107.14285714285801</v>
      </c>
      <c r="DH49" s="422">
        <f t="shared" si="390"/>
        <v>-110.8270676691738</v>
      </c>
      <c r="DI49" s="422" t="str">
        <f t="shared" si="391"/>
        <v/>
      </c>
      <c r="DJ49" s="422">
        <f t="shared" si="404"/>
        <v>-3.6842105263157898</v>
      </c>
      <c r="DK49" s="422">
        <v>39.428571428571402</v>
      </c>
      <c r="DL49" s="422">
        <f t="shared" si="392"/>
        <v>35.744360902255615</v>
      </c>
      <c r="DM49" s="422" t="str">
        <f t="shared" si="393"/>
        <v>F9</v>
      </c>
      <c r="DN49" s="422">
        <f t="shared" si="405"/>
        <v>-3.6842105263157898</v>
      </c>
      <c r="DO49" s="422">
        <v>19.714285714285701</v>
      </c>
      <c r="DP49" s="422">
        <f t="shared" si="394"/>
        <v>16.03007518796991</v>
      </c>
      <c r="DQ49" s="438" t="str">
        <f t="shared" si="395"/>
        <v>F9</v>
      </c>
      <c r="DR49" s="422">
        <f t="shared" si="406"/>
        <v>-3.6842105263157898</v>
      </c>
      <c r="DS49" s="422">
        <v>-82.714285714285396</v>
      </c>
      <c r="DT49" s="422">
        <f t="shared" si="396"/>
        <v>-86.39849624060119</v>
      </c>
      <c r="DU49" s="438" t="str">
        <f t="shared" si="397"/>
        <v/>
      </c>
      <c r="DV49" s="422">
        <f t="shared" si="407"/>
        <v>-3.6842105263157898</v>
      </c>
      <c r="DW49" s="422">
        <v>44</v>
      </c>
      <c r="DX49" s="422">
        <f t="shared" si="398"/>
        <v>40.315789473684212</v>
      </c>
      <c r="DY49" s="438" t="str">
        <f t="shared" si="399"/>
        <v>E8</v>
      </c>
      <c r="DZ49" s="422">
        <f t="shared" si="400"/>
        <v>-3.6842105263157898</v>
      </c>
      <c r="EA49" s="422">
        <v>9</v>
      </c>
      <c r="EB49" s="422">
        <f t="shared" si="401"/>
        <v>5.3157894736842106</v>
      </c>
      <c r="EC49" s="438" t="str">
        <f t="shared" si="402"/>
        <v>F9</v>
      </c>
      <c r="ED49" s="422">
        <f t="shared" si="63"/>
        <v>-880.46862846772376</v>
      </c>
      <c r="EE49" s="422">
        <f t="shared" si="100"/>
        <v>-55.029289279232735</v>
      </c>
      <c r="EF49" s="438" t="str">
        <f t="shared" si="101"/>
        <v/>
      </c>
      <c r="EG49" s="422" t="str">
        <f t="shared" si="102"/>
        <v/>
      </c>
      <c r="EH49" s="439">
        <v>1</v>
      </c>
      <c r="EI49" s="422">
        <f t="shared" si="103"/>
        <v>-880.46862846772376</v>
      </c>
      <c r="EJ49" s="440">
        <f t="shared" si="104"/>
        <v>-0.5502928927923274</v>
      </c>
      <c r="EK49" s="438" t="s">
        <v>747</v>
      </c>
      <c r="EL49" s="438" t="s">
        <v>762</v>
      </c>
    </row>
    <row r="50" spans="1:142" ht="30.75" thickBot="1">
      <c r="A50" s="781"/>
      <c r="B50" s="376"/>
      <c r="C50" s="376"/>
      <c r="D50" s="376"/>
      <c r="E50" s="376"/>
      <c r="F50" s="376"/>
      <c r="G50" s="376"/>
      <c r="H50" s="376"/>
      <c r="I50" s="376"/>
      <c r="J50" s="376"/>
      <c r="K50" s="742" t="s">
        <v>756</v>
      </c>
      <c r="L50" s="743"/>
      <c r="M50" s="714"/>
      <c r="N50" s="734" t="s">
        <v>279</v>
      </c>
      <c r="O50" s="769"/>
      <c r="P50" s="674" t="e">
        <f>VLOOKUP(D19,AB:EL,34,FALSE)</f>
        <v>#N/A</v>
      </c>
      <c r="Q50" s="680"/>
      <c r="R50" s="674" t="e">
        <f>IF(P50&gt;=6,"EXCELLENT",
IF(P50&gt;=6,"EXCELLENT",
IF(P50&gt;=5,"EXCELLENT",
IF(P50&gt;=4,"V.GOOD",
IF(P50&gt;=3,"POOR",
IF(P50&gt;=2,"POOR",
IF(P50&gt;=2,"POOR",
IF(P50&gt;=1,"POOR",
IF(P50&gt;=0,"POOR",
IF(P50&gt;=1,"POOR",""))))))))))</f>
        <v>#N/A</v>
      </c>
      <c r="S50" s="675"/>
      <c r="T50" s="390"/>
      <c r="U50" s="390"/>
      <c r="V50" s="714"/>
      <c r="W50" s="714"/>
      <c r="X50" s="714"/>
      <c r="Y50" s="391"/>
      <c r="Z50" s="391"/>
      <c r="AA50" s="420">
        <f t="shared" si="1"/>
        <v>49</v>
      </c>
      <c r="AB50" s="435" t="s">
        <v>63</v>
      </c>
      <c r="AC50" s="422" t="s">
        <v>394</v>
      </c>
      <c r="AD50" s="422" t="s">
        <v>326</v>
      </c>
      <c r="AE50" s="422">
        <v>20.428571428571399</v>
      </c>
      <c r="AF50" s="422">
        <f>'SSS1 ATTENDANCE '!FJ56</f>
        <v>128</v>
      </c>
      <c r="AG50" s="422">
        <f>'SSS1 ATTENDANCE '!FH56</f>
        <v>0</v>
      </c>
      <c r="AH50" s="422">
        <f>'SSS1 ATTENDANCE '!FI56</f>
        <v>128</v>
      </c>
      <c r="AI50" s="436" t="s">
        <v>622</v>
      </c>
      <c r="AJ50" s="437">
        <v>40881</v>
      </c>
      <c r="AK50" s="435" t="s">
        <v>396</v>
      </c>
      <c r="AL50" s="424">
        <v>25</v>
      </c>
      <c r="AM50" s="422">
        <v>50.392857142857103</v>
      </c>
      <c r="AN50" s="438">
        <v>4</v>
      </c>
      <c r="AO50" s="422" t="str">
        <f t="shared" si="64"/>
        <v>3</v>
      </c>
      <c r="AP50" s="438">
        <v>5</v>
      </c>
      <c r="AQ50" s="422">
        <v>4</v>
      </c>
      <c r="AR50" s="438">
        <v>4</v>
      </c>
      <c r="AS50" s="438">
        <v>4</v>
      </c>
      <c r="AT50" s="438">
        <v>4</v>
      </c>
      <c r="AU50" s="438">
        <v>3</v>
      </c>
      <c r="AV50" s="438">
        <v>4</v>
      </c>
      <c r="AW50" s="438">
        <v>4</v>
      </c>
      <c r="AX50" s="438">
        <v>3</v>
      </c>
      <c r="AY50" s="438">
        <v>4</v>
      </c>
      <c r="AZ50" s="438">
        <v>3</v>
      </c>
      <c r="BA50" s="438">
        <v>3</v>
      </c>
      <c r="BB50" s="438">
        <v>3</v>
      </c>
      <c r="BC50" s="438">
        <v>4</v>
      </c>
      <c r="BD50" s="438">
        <v>4</v>
      </c>
      <c r="BE50" s="438">
        <v>4</v>
      </c>
      <c r="BF50" s="438">
        <v>3</v>
      </c>
      <c r="BG50" s="438">
        <v>3</v>
      </c>
      <c r="BH50" s="438">
        <v>3</v>
      </c>
      <c r="BI50" s="438">
        <v>5</v>
      </c>
      <c r="BJ50" s="438">
        <v>4</v>
      </c>
      <c r="BK50" s="438">
        <v>3</v>
      </c>
      <c r="BL50" s="438">
        <v>5</v>
      </c>
      <c r="BM50" s="438">
        <v>3</v>
      </c>
      <c r="BN50" s="422" t="s">
        <v>448</v>
      </c>
      <c r="BO50" s="438">
        <v>11.6071428571429</v>
      </c>
      <c r="BP50" s="438">
        <v>-155.32142857142799</v>
      </c>
      <c r="BQ50" s="422">
        <f t="shared" si="368"/>
        <v>-143.7142857142851</v>
      </c>
      <c r="BR50" s="438" t="str">
        <f t="shared" si="369"/>
        <v/>
      </c>
      <c r="BS50" s="422">
        <v>11.6071428571429</v>
      </c>
      <c r="BT50" s="438">
        <v>-104.53571428571399</v>
      </c>
      <c r="BU50" s="422">
        <f t="shared" si="370"/>
        <v>-92.92857142857109</v>
      </c>
      <c r="BV50" s="438" t="str">
        <f t="shared" si="371"/>
        <v/>
      </c>
      <c r="BW50" s="422">
        <v>11.6071428571429</v>
      </c>
      <c r="BX50" s="422">
        <v>-102.821428571428</v>
      </c>
      <c r="BY50" s="422">
        <f t="shared" si="372"/>
        <v>-91.214285714285097</v>
      </c>
      <c r="BZ50" s="438" t="str">
        <f t="shared" si="373"/>
        <v/>
      </c>
      <c r="CA50" s="422">
        <v>11.6071428571429</v>
      </c>
      <c r="CB50" s="422">
        <v>-110.357142857143</v>
      </c>
      <c r="CC50" s="422">
        <f t="shared" si="374"/>
        <v>-98.750000000000099</v>
      </c>
      <c r="CD50" s="438" t="str">
        <f t="shared" si="375"/>
        <v/>
      </c>
      <c r="CE50" s="422">
        <v>35</v>
      </c>
      <c r="CF50" s="422">
        <v>-103.428571428572</v>
      </c>
      <c r="CG50" s="422">
        <f t="shared" si="376"/>
        <v>-68.428571428571999</v>
      </c>
      <c r="CH50" s="438" t="str">
        <f t="shared" si="377"/>
        <v/>
      </c>
      <c r="CI50" s="422">
        <v>11.6071428571429</v>
      </c>
      <c r="CJ50" s="422">
        <v>-41.964285714285701</v>
      </c>
      <c r="CK50" s="422">
        <f t="shared" si="378"/>
        <v>-30.357142857142801</v>
      </c>
      <c r="CL50" s="438" t="str">
        <f t="shared" si="379"/>
        <v/>
      </c>
      <c r="CM50" s="422">
        <v>11.6071428571429</v>
      </c>
      <c r="CN50" s="422"/>
      <c r="CO50" s="422"/>
      <c r="CP50" s="422">
        <f t="shared" ref="CP50" si="412">CM50</f>
        <v>11.6071428571429</v>
      </c>
      <c r="CQ50" s="422">
        <v>35.284482758620697</v>
      </c>
      <c r="CR50" s="422">
        <f t="shared" si="381"/>
        <v>46.891625615763601</v>
      </c>
      <c r="CS50" s="438" t="str">
        <f t="shared" si="382"/>
        <v>D7</v>
      </c>
      <c r="CT50" s="422"/>
      <c r="CU50" s="422"/>
      <c r="CV50" s="422">
        <f t="shared" si="383"/>
        <v>0</v>
      </c>
      <c r="CW50" s="438" t="str">
        <f t="shared" si="384"/>
        <v/>
      </c>
      <c r="CX50" s="422">
        <v>35</v>
      </c>
      <c r="CY50" s="422">
        <v>-110.357142857143</v>
      </c>
      <c r="CZ50" s="422">
        <f t="shared" si="385"/>
        <v>-75.357142857143003</v>
      </c>
      <c r="DA50" s="438" t="str">
        <f t="shared" si="386"/>
        <v/>
      </c>
      <c r="DB50" s="422">
        <f t="shared" si="403"/>
        <v>35</v>
      </c>
      <c r="DC50" s="422">
        <v>-81.964285714286106</v>
      </c>
      <c r="DD50" s="422">
        <f t="shared" si="387"/>
        <v>-46.964285714286106</v>
      </c>
      <c r="DE50" s="422" t="str">
        <f t="shared" si="388"/>
        <v/>
      </c>
      <c r="DF50" s="422">
        <f t="shared" si="389"/>
        <v>35</v>
      </c>
      <c r="DG50" s="422">
        <v>-110.357142857143</v>
      </c>
      <c r="DH50" s="422">
        <f t="shared" si="390"/>
        <v>-75.357142857143003</v>
      </c>
      <c r="DI50" s="422" t="str">
        <f t="shared" si="391"/>
        <v/>
      </c>
      <c r="DJ50" s="422">
        <f t="shared" si="404"/>
        <v>35</v>
      </c>
      <c r="DK50" s="422">
        <v>39.25</v>
      </c>
      <c r="DL50" s="422">
        <f t="shared" si="392"/>
        <v>74.25</v>
      </c>
      <c r="DM50" s="422" t="str">
        <f t="shared" si="393"/>
        <v>B2</v>
      </c>
      <c r="DN50" s="422">
        <f t="shared" si="405"/>
        <v>35</v>
      </c>
      <c r="DO50" s="422">
        <v>19.107142857142801</v>
      </c>
      <c r="DP50" s="422">
        <f t="shared" si="394"/>
        <v>54.107142857142804</v>
      </c>
      <c r="DQ50" s="438" t="str">
        <f t="shared" si="395"/>
        <v>C6</v>
      </c>
      <c r="DR50" s="422">
        <f t="shared" si="406"/>
        <v>35</v>
      </c>
      <c r="DS50" s="422">
        <v>-85.321428571428399</v>
      </c>
      <c r="DT50" s="422">
        <f t="shared" si="396"/>
        <v>-50.321428571428399</v>
      </c>
      <c r="DU50" s="438" t="str">
        <f t="shared" si="397"/>
        <v/>
      </c>
      <c r="DV50" s="422">
        <f t="shared" si="407"/>
        <v>35</v>
      </c>
      <c r="DW50" s="422">
        <v>43.928571428571402</v>
      </c>
      <c r="DX50" s="422">
        <f t="shared" si="398"/>
        <v>78.928571428571402</v>
      </c>
      <c r="DY50" s="438" t="str">
        <f t="shared" si="399"/>
        <v>A</v>
      </c>
      <c r="DZ50" s="422">
        <f t="shared" si="400"/>
        <v>35</v>
      </c>
      <c r="EA50" s="422">
        <v>8.25</v>
      </c>
      <c r="EB50" s="422">
        <f t="shared" si="401"/>
        <v>43.25</v>
      </c>
      <c r="EC50" s="438" t="str">
        <f t="shared" si="402"/>
        <v>E8</v>
      </c>
      <c r="ED50" s="422">
        <f t="shared" si="63"/>
        <v>-475.96551724137896</v>
      </c>
      <c r="EE50" s="422">
        <f t="shared" si="100"/>
        <v>-29.747844827586185</v>
      </c>
      <c r="EF50" s="438" t="str">
        <f t="shared" si="101"/>
        <v/>
      </c>
      <c r="EG50" s="422" t="str">
        <f t="shared" si="102"/>
        <v/>
      </c>
      <c r="EH50" s="439">
        <v>1</v>
      </c>
      <c r="EI50" s="422">
        <f t="shared" si="103"/>
        <v>-475.96551724137896</v>
      </c>
      <c r="EJ50" s="440">
        <f t="shared" si="104"/>
        <v>-0.29747844827586184</v>
      </c>
      <c r="EK50" s="438" t="s">
        <v>573</v>
      </c>
      <c r="EL50" s="438" t="s">
        <v>762</v>
      </c>
    </row>
    <row r="51" spans="1:142" ht="30.75" thickBot="1">
      <c r="A51" s="781"/>
      <c r="B51" s="376"/>
      <c r="C51" s="376"/>
      <c r="D51" s="376"/>
      <c r="E51" s="376"/>
      <c r="F51" s="376"/>
      <c r="G51" s="376"/>
      <c r="H51" s="376"/>
      <c r="I51" s="376"/>
      <c r="J51" s="376"/>
      <c r="K51" s="744" t="s">
        <v>755</v>
      </c>
      <c r="L51" s="745"/>
      <c r="M51" s="714"/>
      <c r="N51" s="732" t="s">
        <v>280</v>
      </c>
      <c r="O51" s="733"/>
      <c r="P51" s="674" t="e">
        <f>VLOOKUP(D19,AB:EL,35,FALSE)</f>
        <v>#N/A</v>
      </c>
      <c r="Q51" s="680"/>
      <c r="R51" s="674" t="e">
        <f t="shared" ref="R51:R53" si="413">IF(P51&gt;=6,"EXCELLENT",
IF(P51&gt;=6,"EXCELLENT",
IF(P51&gt;=5,"EXCELLENT",
IF(P51&gt;=4,"V.GOOD",
IF(P51&gt;=3,"POOR",
IF(P51&gt;=2,"POOR",
IF(P51&gt;=2,"POOR",
IF(P51&gt;=1,"POOR",
IF(P51&gt;=0,"POOR",
IF(P51&gt;=1,"POOR",""))))))))))</f>
        <v>#N/A</v>
      </c>
      <c r="S51" s="675"/>
      <c r="T51" s="390"/>
      <c r="U51" s="390"/>
      <c r="V51" s="714"/>
      <c r="W51" s="714"/>
      <c r="X51" s="714"/>
      <c r="Y51" s="391"/>
      <c r="Z51" s="391"/>
      <c r="AA51" s="420">
        <f t="shared" si="1"/>
        <v>50</v>
      </c>
      <c r="AB51" s="435" t="s">
        <v>57</v>
      </c>
      <c r="AC51" s="422" t="s">
        <v>394</v>
      </c>
      <c r="AD51" s="422" t="s">
        <v>326</v>
      </c>
      <c r="AE51" s="422">
        <v>20.571428571428601</v>
      </c>
      <c r="AF51" s="422">
        <f>'SSS1 ATTENDANCE '!FJ57</f>
        <v>0</v>
      </c>
      <c r="AG51" s="422">
        <f>'SSS1 ATTENDANCE '!FH57</f>
        <v>0</v>
      </c>
      <c r="AH51" s="422">
        <f>'SSS1 ATTENDANCE '!FI57</f>
        <v>0</v>
      </c>
      <c r="AI51" s="436" t="s">
        <v>623</v>
      </c>
      <c r="AJ51" s="437">
        <v>41122</v>
      </c>
      <c r="AK51" s="435" t="s">
        <v>396</v>
      </c>
      <c r="AL51" s="424">
        <v>25</v>
      </c>
      <c r="AM51" s="422">
        <v>50.928571428571402</v>
      </c>
      <c r="AN51" s="438">
        <v>4</v>
      </c>
      <c r="AO51" s="422" t="str">
        <f t="shared" si="64"/>
        <v>3</v>
      </c>
      <c r="AP51" s="438">
        <v>5</v>
      </c>
      <c r="AQ51" s="422">
        <v>4</v>
      </c>
      <c r="AR51" s="438">
        <v>4</v>
      </c>
      <c r="AS51" s="438">
        <v>4</v>
      </c>
      <c r="AT51" s="438">
        <v>4</v>
      </c>
      <c r="AU51" s="438">
        <v>3</v>
      </c>
      <c r="AV51" s="438">
        <v>4</v>
      </c>
      <c r="AW51" s="438">
        <v>4</v>
      </c>
      <c r="AX51" s="438">
        <v>3</v>
      </c>
      <c r="AY51" s="438">
        <v>4</v>
      </c>
      <c r="AZ51" s="438">
        <v>3</v>
      </c>
      <c r="BA51" s="438">
        <v>3</v>
      </c>
      <c r="BB51" s="438">
        <v>3</v>
      </c>
      <c r="BC51" s="438">
        <v>4</v>
      </c>
      <c r="BD51" s="438">
        <v>4</v>
      </c>
      <c r="BE51" s="438">
        <v>4</v>
      </c>
      <c r="BF51" s="438">
        <v>3</v>
      </c>
      <c r="BG51" s="438">
        <v>3</v>
      </c>
      <c r="BH51" s="438">
        <v>3</v>
      </c>
      <c r="BI51" s="438">
        <v>5</v>
      </c>
      <c r="BJ51" s="438">
        <v>4</v>
      </c>
      <c r="BK51" s="438">
        <v>3</v>
      </c>
      <c r="BL51" s="438">
        <v>5</v>
      </c>
      <c r="BM51" s="438">
        <v>3</v>
      </c>
      <c r="BN51" s="422" t="s">
        <v>449</v>
      </c>
      <c r="BO51" s="422">
        <v>11.0714285714286</v>
      </c>
      <c r="BP51" s="422">
        <v>-159.5</v>
      </c>
      <c r="BQ51" s="422">
        <v>100</v>
      </c>
      <c r="BR51" s="438" t="s">
        <v>749</v>
      </c>
      <c r="BS51" s="422">
        <v>11.0714285714286</v>
      </c>
      <c r="BT51" s="422">
        <v>-107.78571428571399</v>
      </c>
      <c r="BU51" s="422">
        <v>100</v>
      </c>
      <c r="BV51" s="438" t="s">
        <v>749</v>
      </c>
      <c r="BW51" s="422">
        <v>11.0714285714286</v>
      </c>
      <c r="BX51" s="422">
        <v>-105.928571428571</v>
      </c>
      <c r="BY51" s="422">
        <v>100</v>
      </c>
      <c r="BZ51" s="422" t="str">
        <f t="shared" ref="BZ51" si="414">BV51</f>
        <v>Grades</v>
      </c>
      <c r="CA51" s="422">
        <v>11.0714285714286</v>
      </c>
      <c r="CB51" s="422">
        <v>-113.571428571429</v>
      </c>
      <c r="CC51" s="422">
        <v>100</v>
      </c>
      <c r="CD51" s="422" t="str">
        <f t="shared" ref="CD51" si="415">BZ51</f>
        <v>Grades</v>
      </c>
      <c r="CE51" s="422">
        <f t="shared" ref="CE51" si="416">CA51</f>
        <v>11.0714285714286</v>
      </c>
      <c r="CF51" s="422">
        <v>-106.571428571429</v>
      </c>
      <c r="CG51" s="422">
        <v>100</v>
      </c>
      <c r="CH51" s="422" t="str">
        <f t="shared" ref="CH51" si="417">CD51</f>
        <v>Grades</v>
      </c>
      <c r="CI51" s="422">
        <v>11.0714285714286</v>
      </c>
      <c r="CJ51" s="422">
        <v>-43.785714285714299</v>
      </c>
      <c r="CK51" s="422">
        <v>100</v>
      </c>
      <c r="CL51" s="422" t="str">
        <f t="shared" ref="CL51" si="418">CH51</f>
        <v>Grades</v>
      </c>
      <c r="CM51" s="422">
        <v>11.0714285714286</v>
      </c>
      <c r="CN51" s="422">
        <v>60</v>
      </c>
      <c r="CO51" s="422"/>
      <c r="CP51" s="422">
        <v>40</v>
      </c>
      <c r="CQ51" s="422">
        <v>35.000000000000099</v>
      </c>
      <c r="CR51" s="422">
        <v>100</v>
      </c>
      <c r="CS51" s="438" t="str">
        <f t="shared" ref="CS51" si="419">CL51</f>
        <v>Grades</v>
      </c>
      <c r="CT51" s="422">
        <v>-4.7368421052631904</v>
      </c>
      <c r="CU51" s="422">
        <v>-118.947368421053</v>
      </c>
      <c r="CV51" s="422">
        <v>100</v>
      </c>
      <c r="CW51" s="438" t="str">
        <f t="shared" ref="CW51" si="420">CS51</f>
        <v>Grades</v>
      </c>
      <c r="CX51" s="422">
        <v>-13.3333333333333</v>
      </c>
      <c r="CY51" s="422">
        <v>-113.571428571429</v>
      </c>
      <c r="CZ51" s="422">
        <v>100</v>
      </c>
      <c r="DA51" s="438" t="str">
        <f t="shared" ref="DA51" si="421">CW51</f>
        <v>Grades</v>
      </c>
      <c r="DB51" s="422">
        <v>-100</v>
      </c>
      <c r="DC51" s="422">
        <v>-84.642857142857096</v>
      </c>
      <c r="DD51" s="422">
        <v>100</v>
      </c>
      <c r="DE51" s="422" t="str">
        <f t="shared" ref="DE51" si="422">DA51</f>
        <v>Grades</v>
      </c>
      <c r="DF51" s="422">
        <v>40</v>
      </c>
      <c r="DG51" s="422">
        <v>-113.571428571429</v>
      </c>
      <c r="DH51" s="422">
        <v>100</v>
      </c>
      <c r="DI51" s="422" t="str">
        <f t="shared" ref="DI51" si="423">DE51</f>
        <v>Grades</v>
      </c>
      <c r="DJ51" s="422">
        <v>-30</v>
      </c>
      <c r="DK51" s="422">
        <v>39.071428571428498</v>
      </c>
      <c r="DL51" s="422">
        <v>100</v>
      </c>
      <c r="DM51" s="422" t="str">
        <f t="shared" ref="DM51" si="424">DI51</f>
        <v>Grades</v>
      </c>
      <c r="DN51" s="422">
        <v>-30</v>
      </c>
      <c r="DO51" s="422">
        <v>18.5</v>
      </c>
      <c r="DP51" s="422">
        <v>100</v>
      </c>
      <c r="DQ51" s="438" t="str">
        <f t="shared" ref="DQ51" si="425">DM51</f>
        <v>Grades</v>
      </c>
      <c r="DR51" s="422">
        <v>-170</v>
      </c>
      <c r="DS51" s="422">
        <v>-87.928571428571402</v>
      </c>
      <c r="DT51" s="422">
        <v>100</v>
      </c>
      <c r="DU51" s="438" t="str">
        <f t="shared" ref="DU51" si="426">DQ51</f>
        <v>Grades</v>
      </c>
      <c r="DV51" s="422">
        <v>-30</v>
      </c>
      <c r="DW51" s="422">
        <v>43.857142857142797</v>
      </c>
      <c r="DX51" s="422">
        <v>100</v>
      </c>
      <c r="DY51" s="438" t="str">
        <f t="shared" ref="DY51" si="427">DU51</f>
        <v>Grades</v>
      </c>
      <c r="DZ51" s="422">
        <v>40</v>
      </c>
      <c r="EA51" s="422">
        <v>7.5</v>
      </c>
      <c r="EB51" s="422">
        <v>100</v>
      </c>
      <c r="EC51" s="438" t="str">
        <f t="shared" ref="EC51" si="428">DY51</f>
        <v>Grades</v>
      </c>
      <c r="ED51" s="422">
        <f t="shared" si="63"/>
        <v>1600</v>
      </c>
      <c r="EE51" s="422">
        <f t="shared" si="100"/>
        <v>100</v>
      </c>
      <c r="EF51" s="438" t="str">
        <f t="shared" si="101"/>
        <v>A1</v>
      </c>
      <c r="EG51" s="422" t="str">
        <f t="shared" si="102"/>
        <v>DISTINTION</v>
      </c>
      <c r="EH51" s="439">
        <v>1</v>
      </c>
      <c r="EI51" s="422">
        <f t="shared" si="103"/>
        <v>1600</v>
      </c>
      <c r="EJ51" s="440">
        <f t="shared" si="104"/>
        <v>1</v>
      </c>
      <c r="EK51" s="438" t="s">
        <v>573</v>
      </c>
      <c r="EL51" s="438" t="s">
        <v>762</v>
      </c>
    </row>
    <row r="52" spans="1:142" ht="30.75" thickBot="1">
      <c r="A52" s="781"/>
      <c r="B52" s="376"/>
      <c r="C52" s="376"/>
      <c r="D52" s="376"/>
      <c r="E52" s="376"/>
      <c r="F52" s="376"/>
      <c r="G52" s="376"/>
      <c r="H52" s="376"/>
      <c r="I52" s="376"/>
      <c r="J52" s="376"/>
      <c r="K52" s="746" t="s">
        <v>754</v>
      </c>
      <c r="L52" s="747"/>
      <c r="M52" s="714"/>
      <c r="N52" s="734" t="s">
        <v>281</v>
      </c>
      <c r="O52" s="735"/>
      <c r="P52" s="674" t="e">
        <f>VLOOKUP(D19,AB:EL,36,FALSE)</f>
        <v>#N/A</v>
      </c>
      <c r="Q52" s="680"/>
      <c r="R52" s="674" t="e">
        <f t="shared" si="413"/>
        <v>#N/A</v>
      </c>
      <c r="S52" s="675"/>
      <c r="T52" s="390"/>
      <c r="U52" s="390"/>
      <c r="V52" s="714"/>
      <c r="W52" s="714"/>
      <c r="X52" s="714"/>
      <c r="Y52" s="391"/>
      <c r="Z52" s="391"/>
      <c r="AA52" s="420">
        <f t="shared" si="1"/>
        <v>51</v>
      </c>
      <c r="AB52" s="435" t="s">
        <v>58</v>
      </c>
      <c r="AC52" s="422" t="s">
        <v>394</v>
      </c>
      <c r="AD52" s="422" t="s">
        <v>326</v>
      </c>
      <c r="AE52" s="422">
        <v>20.714285714285701</v>
      </c>
      <c r="AF52" s="422">
        <f>'SSS1 ATTENDANCE '!FJ58</f>
        <v>0</v>
      </c>
      <c r="AG52" s="422">
        <f>'SSS1 ATTENDANCE '!FH58</f>
        <v>0</v>
      </c>
      <c r="AH52" s="422">
        <f>'SSS1 ATTENDANCE '!FI58</f>
        <v>0</v>
      </c>
      <c r="AI52" s="436" t="s">
        <v>624</v>
      </c>
      <c r="AJ52" s="437">
        <v>40844</v>
      </c>
      <c r="AK52" s="435" t="s">
        <v>396</v>
      </c>
      <c r="AL52" s="424">
        <v>25</v>
      </c>
      <c r="AM52" s="422">
        <v>51.464285714285701</v>
      </c>
      <c r="AN52" s="438">
        <v>4</v>
      </c>
      <c r="AO52" s="422" t="str">
        <f t="shared" si="64"/>
        <v>3</v>
      </c>
      <c r="AP52" s="438">
        <v>5</v>
      </c>
      <c r="AQ52" s="422">
        <v>4</v>
      </c>
      <c r="AR52" s="438">
        <v>4</v>
      </c>
      <c r="AS52" s="438">
        <v>4</v>
      </c>
      <c r="AT52" s="438">
        <v>4</v>
      </c>
      <c r="AU52" s="438">
        <v>3</v>
      </c>
      <c r="AV52" s="438">
        <v>4</v>
      </c>
      <c r="AW52" s="438">
        <v>4</v>
      </c>
      <c r="AX52" s="438">
        <v>3</v>
      </c>
      <c r="AY52" s="438">
        <v>4</v>
      </c>
      <c r="AZ52" s="438">
        <v>3</v>
      </c>
      <c r="BA52" s="438">
        <v>3</v>
      </c>
      <c r="BB52" s="438">
        <v>3</v>
      </c>
      <c r="BC52" s="438">
        <v>4</v>
      </c>
      <c r="BD52" s="438">
        <v>4</v>
      </c>
      <c r="BE52" s="438">
        <v>4</v>
      </c>
      <c r="BF52" s="438">
        <v>3</v>
      </c>
      <c r="BG52" s="438">
        <v>3</v>
      </c>
      <c r="BH52" s="438">
        <v>3</v>
      </c>
      <c r="BI52" s="438">
        <v>5</v>
      </c>
      <c r="BJ52" s="438">
        <v>4</v>
      </c>
      <c r="BK52" s="438">
        <v>3</v>
      </c>
      <c r="BL52" s="438">
        <v>5</v>
      </c>
      <c r="BM52" s="438">
        <v>3</v>
      </c>
      <c r="BN52" s="422" t="s">
        <v>450</v>
      </c>
      <c r="BO52" s="438">
        <v>10.535714285714301</v>
      </c>
      <c r="BP52" s="438">
        <v>-163.67857142857099</v>
      </c>
      <c r="BQ52" s="422">
        <f t="shared" ref="BQ52:BQ57" si="429">SUM(BO52:BP52)</f>
        <v>-153.14285714285668</v>
      </c>
      <c r="BR52" s="438" t="str">
        <f t="shared" ref="BR52:BR57" si="430">IF(BQ52&gt;=80,"A1",
IF(BQ52&gt;=75,"A",
IF(BQ52&gt;=70,"B2",
IF(BQ52&gt;=65,"B3",
IF(BQ52&gt;=60,"C4",
IF(BQ52&gt;=55,"C5",
IF(BQ52&gt;=50,"C6",
IF(BQ52&gt;=45,"D7",
IF(BQ52&gt;=40,"E8",
IF(BQ52&gt;=1,"F9",""))))))))))</f>
        <v/>
      </c>
      <c r="BS52" s="422">
        <v>10.535714285714301</v>
      </c>
      <c r="BT52" s="438">
        <v>-111.03571428571399</v>
      </c>
      <c r="BU52" s="422">
        <f t="shared" ref="BU52:BU57" si="431">SUM(BS52:BT52)</f>
        <v>-100.49999999999969</v>
      </c>
      <c r="BV52" s="438" t="str">
        <f t="shared" ref="BV52:BV57" si="432">IF(BU52&gt;=80,"A1",
IF(BU52&gt;=75,"A",
IF(BU52&gt;=70,"B2",
IF(BU52&gt;=65,"B3",
IF(BU52&gt;=60,"C4",
IF(BU52&gt;=55,"C5",
IF(BU52&gt;=50,"C6",
IF(BU52&gt;=45,"D7",
IF(BU52&gt;=40,"E8",
IF(BU52&gt;=1,"F9",""))))))))))</f>
        <v/>
      </c>
      <c r="BW52" s="422">
        <v>10.535714285714301</v>
      </c>
      <c r="BX52" s="422">
        <v>-109.03571428571399</v>
      </c>
      <c r="BY52" s="422">
        <f t="shared" ref="BY52:BY57" si="433">SUM(BW52:BX52)</f>
        <v>-98.499999999999687</v>
      </c>
      <c r="BZ52" s="438" t="str">
        <f t="shared" ref="BZ52:BZ57" si="434">IF(BY52&gt;=80,"A1",
IF(BY52&gt;=75,"A",
IF(BY52&gt;=70,"B2",
IF(BY52&gt;=65,"B3",
IF(BY52&gt;=60,"C4",
IF(BY52&gt;=55,"C5",
IF(BY52&gt;=50,"C6",
IF(BY52&gt;=45,"D7",
IF(BY52&gt;=40,"E8",
IF(BY52&gt;=1,"F9",""))))))))))</f>
        <v/>
      </c>
      <c r="CA52" s="422">
        <v>10.535714285714301</v>
      </c>
      <c r="CB52" s="422">
        <v>-116.785714285715</v>
      </c>
      <c r="CC52" s="422">
        <f t="shared" ref="CC52:CC57" si="435">SUM(CA52:CB52)</f>
        <v>-106.2500000000007</v>
      </c>
      <c r="CD52" s="438" t="str">
        <f t="shared" ref="CD52:CD57" si="436">IF(CC52&gt;=80,"A1",
IF(CC52&gt;=75,"A",
IF(CC52&gt;=70,"B2",
IF(CC52&gt;=65,"B3",
IF(CC52&gt;=60,"C4",
IF(CC52&gt;=55,"C5",
IF(CC52&gt;=50,"C6",
IF(CC52&gt;=45,"D7",
IF(CC52&gt;=40,"E8",
IF(CC52&gt;=1,"F9",""))))))))))</f>
        <v/>
      </c>
      <c r="CE52" s="422">
        <v>35</v>
      </c>
      <c r="CF52" s="422">
        <v>-109.71428571428601</v>
      </c>
      <c r="CG52" s="422">
        <f t="shared" ref="CG52:CG57" si="437">SUM(CE52:CF52)</f>
        <v>-74.714285714286007</v>
      </c>
      <c r="CH52" s="438" t="str">
        <f t="shared" ref="CH52:CH57" si="438">IF(CG52&gt;=80,"A1",
IF(CG52&gt;=75,"A",
IF(CG52&gt;=70,"B2",
IF(CG52&gt;=65,"B3",
IF(CG52&gt;=60,"C4",
IF(CG52&gt;=55,"C5",
IF(CG52&gt;=50,"C6",
IF(CG52&gt;=45,"D7",
IF(CG52&gt;=40,"E8",
IF(CG52&gt;=1,"F9",""))))))))))</f>
        <v/>
      </c>
      <c r="CI52" s="422">
        <v>10.535714285714301</v>
      </c>
      <c r="CJ52" s="422">
        <v>-45.607142857142897</v>
      </c>
      <c r="CK52" s="422">
        <f t="shared" ref="CK52:CK57" si="439">SUM(CI52:CJ52)</f>
        <v>-35.071428571428598</v>
      </c>
      <c r="CL52" s="438" t="str">
        <f t="shared" ref="CL52:CL57" si="440">IF(CK52&gt;=80,"A1",
IF(CK52&gt;=75,"A",
IF(CK52&gt;=70,"B2",
IF(CK52&gt;=65,"B3",
IF(CK52&gt;=60,"C4",
IF(CK52&gt;=55,"C5",
IF(CK52&gt;=50,"C6",
IF(CK52&gt;=45,"D7",
IF(CK52&gt;=40,"E8",
IF(CK52&gt;=1,"F9",""))))))))))</f>
        <v/>
      </c>
      <c r="CM52" s="422">
        <v>10.535714285714301</v>
      </c>
      <c r="CN52" s="422"/>
      <c r="CO52" s="422"/>
      <c r="CP52" s="422">
        <f t="shared" ref="CP52:CP53" si="441">CM52</f>
        <v>10.535714285714301</v>
      </c>
      <c r="CQ52" s="422">
        <v>34.715517241379402</v>
      </c>
      <c r="CR52" s="422">
        <f t="shared" ref="CR52:CR57" si="442">SUM(CP52:CQ52)</f>
        <v>45.251231527093701</v>
      </c>
      <c r="CS52" s="438" t="str">
        <f t="shared" ref="CS52:CS57" si="443">IF(CR52&gt;=80,"A1",
IF(CR52&gt;=75,"A",
IF(CR52&gt;=70,"B2",
IF(CR52&gt;=65,"B3",
IF(CR52&gt;=60,"C4",
IF(CR52&gt;=55,"C5",
IF(CR52&gt;=50,"C6",
IF(CR52&gt;=45,"D7",
IF(CR52&gt;=40,"E8",
IF(CR52&gt;=1,"F9",""))))))))))</f>
        <v>D7</v>
      </c>
      <c r="CT52" s="422">
        <v>-5.7894736842105798</v>
      </c>
      <c r="CU52" s="422">
        <v>-123.157894736842</v>
      </c>
      <c r="CV52" s="422">
        <f t="shared" ref="CV52:CV57" si="444">SUM(CT52:CU52)</f>
        <v>-128.94736842105257</v>
      </c>
      <c r="CW52" s="438" t="str">
        <f t="shared" ref="CW52:CW57" si="445">IF(CV52&gt;=80,"A1",
IF(CV52&gt;=75,"A",
IF(CV52&gt;=70,"B2",
IF(CV52&gt;=65,"B3",
IF(CV52&gt;=60,"C4",
IF(CV52&gt;=55,"C5",
IF(CV52&gt;=50,"C6",
IF(CV52&gt;=45,"D7",
IF(CV52&gt;=40,"E8",
IF(CV52&gt;=1,"F9",""))))))))))</f>
        <v/>
      </c>
      <c r="CX52" s="422">
        <v>-15.8333333333333</v>
      </c>
      <c r="CY52" s="422">
        <v>-116.785714285715</v>
      </c>
      <c r="CZ52" s="422">
        <f t="shared" ref="CZ52:CZ57" si="446">SUM(CX52:CY52)</f>
        <v>-132.6190476190483</v>
      </c>
      <c r="DA52" s="438" t="str">
        <f t="shared" ref="DA52:DA57" si="447">IF(CZ52&gt;=80,"A1",
IF(CZ52&gt;=75,"A",
IF(CZ52&gt;=70,"B2",
IF(CZ52&gt;=65,"B3",
IF(CZ52&gt;=60,"C4",
IF(CZ52&gt;=55,"C5",
IF(CZ52&gt;=50,"C6",
IF(CZ52&gt;=45,"D7",
IF(CZ52&gt;=40,"E8",
IF(CZ52&gt;=1,"F9",""))))))))))</f>
        <v/>
      </c>
      <c r="DB52" s="422">
        <v>-110</v>
      </c>
      <c r="DC52" s="422">
        <v>-87.3214285714281</v>
      </c>
      <c r="DD52" s="422">
        <f t="shared" ref="DD52:DD57" si="448">SUM(DB52:DC52)</f>
        <v>-197.3214285714281</v>
      </c>
      <c r="DE52" s="422" t="str">
        <f t="shared" ref="DE52:DE57" si="449">IF(DD52&gt;=80,"A1",
IF(DD52&gt;=75,"A",
IF(DD52&gt;=70,"B2",
IF(DD52&gt;=65,"B3",
IF(DD52&gt;=60,"C4",
IF(DD52&gt;=55,"C5",
IF(DD52&gt;=50,"C6",
IF(DD52&gt;=45,"D7",
IF(DD52&gt;=40,"E8",
IF(DD52&gt;=1,"F9",""))))))))))</f>
        <v/>
      </c>
      <c r="DF52" s="422">
        <f t="shared" ref="DF52:DF57" si="450">DB52</f>
        <v>-110</v>
      </c>
      <c r="DG52" s="422">
        <v>-116.785714285715</v>
      </c>
      <c r="DH52" s="422">
        <f t="shared" ref="DH52:DH57" si="451">SUM(DF52:DG52)</f>
        <v>-226.78571428571502</v>
      </c>
      <c r="DI52" s="422" t="str">
        <f t="shared" ref="DI52:DI57" si="452">IF(DH52&gt;=80,"A1",
IF(DH52&gt;=75,"A",
IF(DH52&gt;=70,"B2",
IF(DH52&gt;=65,"B3",
IF(DH52&gt;=60,"C4",
IF(DH52&gt;=55,"C5",
IF(DH52&gt;=50,"C6",
IF(DH52&gt;=45,"D7",
IF(DH52&gt;=40,"E8",
IF(DH52&gt;=1,"F9",""))))))))))</f>
        <v/>
      </c>
      <c r="DJ52" s="422">
        <v>-35</v>
      </c>
      <c r="DK52" s="422">
        <v>38.892857142857103</v>
      </c>
      <c r="DL52" s="422">
        <f t="shared" ref="DL52:DL57" si="453">SUM(DJ52:DK52)</f>
        <v>3.8928571428571033</v>
      </c>
      <c r="DM52" s="422" t="str">
        <f t="shared" ref="DM52:DM57" si="454">IF(DL52&gt;=80,"A1",
IF(DL52&gt;=75,"A",
IF(DL52&gt;=70,"B2",
IF(DL52&gt;=65,"B3",
IF(DL52&gt;=60,"C4",
IF(DL52&gt;=55,"C5",
IF(DL52&gt;=50,"C6",
IF(DL52&gt;=45,"D7",
IF(DL52&gt;=40,"E8",
IF(DL52&gt;=1,"F9",""))))))))))</f>
        <v>F9</v>
      </c>
      <c r="DN52" s="422">
        <v>-35</v>
      </c>
      <c r="DO52" s="422">
        <v>17.8928571428571</v>
      </c>
      <c r="DP52" s="422">
        <f t="shared" ref="DP52:DP57" si="455">SUM(DN52:DO52)</f>
        <v>-17.1071428571429</v>
      </c>
      <c r="DQ52" s="438" t="str">
        <f t="shared" ref="DQ52:DQ57" si="456">IF(DP52&gt;=80,"A1",
IF(DP52&gt;=75,"A",
IF(DP52&gt;=70,"B2",
IF(DP52&gt;=65,"B3",
IF(DP52&gt;=60,"C4",
IF(DP52&gt;=55,"C5",
IF(DP52&gt;=50,"C6",
IF(DP52&gt;=45,"D7",
IF(DP52&gt;=40,"E8",
IF(DP52&gt;=1,"F9",""))))))))))</f>
        <v/>
      </c>
      <c r="DR52" s="422">
        <v>-185</v>
      </c>
      <c r="DS52" s="422">
        <v>-90.535714285714405</v>
      </c>
      <c r="DT52" s="422">
        <f t="shared" ref="DT52:DT57" si="457">SUM(DR52:DS52)</f>
        <v>-275.53571428571439</v>
      </c>
      <c r="DU52" s="438" t="str">
        <f t="shared" ref="DU52:DU57" si="458">IF(DT52&gt;=80,"A1",
IF(DT52&gt;=75,"A",
IF(DT52&gt;=70,"B2",
IF(DT52&gt;=65,"B3",
IF(DT52&gt;=60,"C4",
IF(DT52&gt;=55,"C5",
IF(DT52&gt;=50,"C6",
IF(DT52&gt;=45,"D7",
IF(DT52&gt;=40,"E8",
IF(DT52&gt;=1,"F9",""))))))))))</f>
        <v/>
      </c>
      <c r="DV52" s="422">
        <v>-35</v>
      </c>
      <c r="DW52" s="422">
        <v>43.785714285714299</v>
      </c>
      <c r="DX52" s="422">
        <f t="shared" ref="DX52:DX57" si="459">SUM(DV52:DW52)</f>
        <v>8.7857142857142989</v>
      </c>
      <c r="DY52" s="438" t="str">
        <f t="shared" ref="DY52:DY57" si="460">IF(DX52&gt;=80,"A1",
IF(DX52&gt;=75,"A",
IF(DX52&gt;=70,"B2",
IF(DX52&gt;=65,"B3",
IF(DX52&gt;=60,"C4",
IF(DX52&gt;=55,"C5",
IF(DX52&gt;=50,"C6",
IF(DX52&gt;=45,"D7",
IF(DX52&gt;=40,"E8",
IF(DX52&gt;=1,"F9",""))))))))))</f>
        <v>F9</v>
      </c>
      <c r="DZ52" s="422">
        <f t="shared" ref="DZ52:DZ57" si="461">DV52</f>
        <v>-35</v>
      </c>
      <c r="EA52" s="422">
        <v>6.75</v>
      </c>
      <c r="EB52" s="422">
        <f t="shared" ref="EB52:EB57" si="462">SUM(DZ52:EA52)</f>
        <v>-28.25</v>
      </c>
      <c r="EC52" s="438" t="str">
        <f t="shared" ref="EC52:EC57" si="463">IF(EB52&gt;=80,"A1",
IF(EB52&gt;=75,"A",
IF(EB52&gt;=70,"B2",
IF(EB52&gt;=65,"B3",
IF(EB52&gt;=60,"C4",
IF(EB52&gt;=55,"C5",
IF(EB52&gt;=50,"C6",
IF(EB52&gt;=45,"D7",
IF(EB52&gt;=40,"E8",
IF(EB52&gt;=1,"F9",""))))))))))</f>
        <v/>
      </c>
      <c r="ED52" s="422">
        <f t="shared" si="63"/>
        <v>-1516.8151845130076</v>
      </c>
      <c r="EE52" s="422">
        <f t="shared" si="100"/>
        <v>-94.800949032062974</v>
      </c>
      <c r="EF52" s="438" t="str">
        <f t="shared" si="101"/>
        <v/>
      </c>
      <c r="EG52" s="422" t="str">
        <f t="shared" si="102"/>
        <v/>
      </c>
      <c r="EH52" s="439">
        <v>1</v>
      </c>
      <c r="EI52" s="422">
        <f t="shared" si="103"/>
        <v>-1516.8151845130076</v>
      </c>
      <c r="EJ52" s="440">
        <f t="shared" si="104"/>
        <v>-0.94800949032062976</v>
      </c>
      <c r="EK52" s="438" t="s">
        <v>573</v>
      </c>
      <c r="EL52" s="438" t="s">
        <v>762</v>
      </c>
    </row>
    <row r="53" spans="1:142" ht="30.75" thickBot="1">
      <c r="A53" s="781"/>
      <c r="B53" s="376"/>
      <c r="C53" s="376"/>
      <c r="D53" s="376"/>
      <c r="E53" s="376"/>
      <c r="F53" s="376"/>
      <c r="G53" s="376"/>
      <c r="H53" s="376"/>
      <c r="I53" s="376"/>
      <c r="J53" s="376"/>
      <c r="K53" s="748" t="s">
        <v>753</v>
      </c>
      <c r="L53" s="749"/>
      <c r="M53" s="714"/>
      <c r="N53" s="734" t="s">
        <v>350</v>
      </c>
      <c r="O53" s="735"/>
      <c r="P53" s="674" t="e">
        <f>VLOOKUP(D19,AB:EL,37,FALSE)</f>
        <v>#N/A</v>
      </c>
      <c r="Q53" s="680"/>
      <c r="R53" s="674" t="e">
        <f t="shared" si="413"/>
        <v>#N/A</v>
      </c>
      <c r="S53" s="675"/>
      <c r="T53" s="390"/>
      <c r="U53" s="390"/>
      <c r="V53" s="714"/>
      <c r="W53" s="714"/>
      <c r="X53" s="714"/>
      <c r="Y53" s="391"/>
      <c r="Z53" s="391"/>
      <c r="AA53" s="420">
        <f t="shared" si="1"/>
        <v>52</v>
      </c>
      <c r="AB53" s="435" t="s">
        <v>59</v>
      </c>
      <c r="AC53" s="422" t="s">
        <v>394</v>
      </c>
      <c r="AD53" s="422" t="s">
        <v>326</v>
      </c>
      <c r="AE53" s="422">
        <v>20.8571428571429</v>
      </c>
      <c r="AF53" s="422">
        <f>'SSS1 ATTENDANCE '!FJ59</f>
        <v>0</v>
      </c>
      <c r="AG53" s="422">
        <f>'SSS1 ATTENDANCE '!FH59</f>
        <v>0</v>
      </c>
      <c r="AH53" s="422">
        <f>'SSS1 ATTENDANCE '!FI59</f>
        <v>0</v>
      </c>
      <c r="AI53" s="436" t="s">
        <v>625</v>
      </c>
      <c r="AJ53" s="437">
        <v>40754</v>
      </c>
      <c r="AK53" s="435" t="s">
        <v>396</v>
      </c>
      <c r="AL53" s="424">
        <v>25</v>
      </c>
      <c r="AM53" s="422">
        <v>52</v>
      </c>
      <c r="AN53" s="438">
        <v>4</v>
      </c>
      <c r="AO53" s="422" t="str">
        <f t="shared" si="64"/>
        <v>3</v>
      </c>
      <c r="AP53" s="438">
        <v>5</v>
      </c>
      <c r="AQ53" s="422">
        <v>4</v>
      </c>
      <c r="AR53" s="438">
        <v>4</v>
      </c>
      <c r="AS53" s="438">
        <v>4</v>
      </c>
      <c r="AT53" s="438">
        <v>4</v>
      </c>
      <c r="AU53" s="438">
        <v>3</v>
      </c>
      <c r="AV53" s="438">
        <v>4</v>
      </c>
      <c r="AW53" s="438">
        <v>4</v>
      </c>
      <c r="AX53" s="438">
        <v>3</v>
      </c>
      <c r="AY53" s="438">
        <v>4</v>
      </c>
      <c r="AZ53" s="438">
        <v>3</v>
      </c>
      <c r="BA53" s="438">
        <v>3</v>
      </c>
      <c r="BB53" s="438">
        <v>3</v>
      </c>
      <c r="BC53" s="438">
        <v>4</v>
      </c>
      <c r="BD53" s="438">
        <v>4</v>
      </c>
      <c r="BE53" s="438">
        <v>4</v>
      </c>
      <c r="BF53" s="438">
        <v>3</v>
      </c>
      <c r="BG53" s="438">
        <v>3</v>
      </c>
      <c r="BH53" s="438">
        <v>3</v>
      </c>
      <c r="BI53" s="438">
        <v>5</v>
      </c>
      <c r="BJ53" s="438">
        <v>4</v>
      </c>
      <c r="BK53" s="438">
        <v>3</v>
      </c>
      <c r="BL53" s="438">
        <v>5</v>
      </c>
      <c r="BM53" s="438">
        <v>3</v>
      </c>
      <c r="BN53" s="422" t="s">
        <v>451</v>
      </c>
      <c r="BO53" s="438">
        <v>9.9999999999999805</v>
      </c>
      <c r="BP53" s="438">
        <v>-167.857142857143</v>
      </c>
      <c r="BQ53" s="422">
        <f t="shared" si="429"/>
        <v>-157.85714285714303</v>
      </c>
      <c r="BR53" s="438" t="str">
        <f t="shared" si="430"/>
        <v/>
      </c>
      <c r="BS53" s="422">
        <v>9.9999999999999805</v>
      </c>
      <c r="BT53" s="438">
        <v>-114.28571428571399</v>
      </c>
      <c r="BU53" s="422">
        <f t="shared" si="431"/>
        <v>-104.28571428571401</v>
      </c>
      <c r="BV53" s="438" t="str">
        <f t="shared" si="432"/>
        <v/>
      </c>
      <c r="BW53" s="422">
        <v>9.9999999999999805</v>
      </c>
      <c r="BX53" s="422">
        <v>-112.142857142857</v>
      </c>
      <c r="BY53" s="422">
        <f t="shared" si="433"/>
        <v>-102.14285714285701</v>
      </c>
      <c r="BZ53" s="438" t="str">
        <f t="shared" si="434"/>
        <v/>
      </c>
      <c r="CA53" s="422">
        <v>9.9999999999999805</v>
      </c>
      <c r="CB53" s="422">
        <v>-120</v>
      </c>
      <c r="CC53" s="422">
        <f t="shared" si="435"/>
        <v>-110.00000000000001</v>
      </c>
      <c r="CD53" s="438" t="str">
        <f t="shared" si="436"/>
        <v/>
      </c>
      <c r="CE53" s="422">
        <v>35</v>
      </c>
      <c r="CF53" s="422">
        <v>-112.857142857143</v>
      </c>
      <c r="CG53" s="422">
        <f t="shared" si="437"/>
        <v>-77.857142857143003</v>
      </c>
      <c r="CH53" s="438" t="str">
        <f t="shared" si="438"/>
        <v/>
      </c>
      <c r="CI53" s="422">
        <v>9.9999999999999805</v>
      </c>
      <c r="CJ53" s="422">
        <v>-47.428571428571502</v>
      </c>
      <c r="CK53" s="422">
        <f t="shared" si="439"/>
        <v>-37.428571428571523</v>
      </c>
      <c r="CL53" s="438" t="str">
        <f t="shared" si="440"/>
        <v/>
      </c>
      <c r="CM53" s="422">
        <v>9.9999999999999805</v>
      </c>
      <c r="CN53" s="422"/>
      <c r="CO53" s="422"/>
      <c r="CP53" s="422">
        <f t="shared" si="441"/>
        <v>9.9999999999999805</v>
      </c>
      <c r="CQ53" s="422">
        <v>34.431034482758697</v>
      </c>
      <c r="CR53" s="422">
        <f t="shared" si="442"/>
        <v>44.431034482758676</v>
      </c>
      <c r="CS53" s="438" t="str">
        <f t="shared" si="443"/>
        <v>E8</v>
      </c>
      <c r="CT53" s="422">
        <v>-6.8421052631578796</v>
      </c>
      <c r="CU53" s="422">
        <v>-127.368421052632</v>
      </c>
      <c r="CV53" s="422">
        <f t="shared" si="444"/>
        <v>-134.21052631578988</v>
      </c>
      <c r="CW53" s="438" t="str">
        <f t="shared" si="445"/>
        <v/>
      </c>
      <c r="CX53" s="422">
        <v>-18.3333333333333</v>
      </c>
      <c r="CY53" s="422">
        <v>-120</v>
      </c>
      <c r="CZ53" s="422">
        <f t="shared" si="446"/>
        <v>-138.33333333333331</v>
      </c>
      <c r="DA53" s="438" t="str">
        <f t="shared" si="447"/>
        <v/>
      </c>
      <c r="DB53" s="422">
        <f t="shared" ref="DB53:DB57" si="464">CX53</f>
        <v>-18.3333333333333</v>
      </c>
      <c r="DC53" s="422">
        <v>-90.000000000000099</v>
      </c>
      <c r="DD53" s="422">
        <f t="shared" si="448"/>
        <v>-108.3333333333334</v>
      </c>
      <c r="DE53" s="422" t="str">
        <f t="shared" si="449"/>
        <v/>
      </c>
      <c r="DF53" s="422">
        <f t="shared" si="450"/>
        <v>-18.3333333333333</v>
      </c>
      <c r="DG53" s="422">
        <v>-120</v>
      </c>
      <c r="DH53" s="422">
        <f t="shared" si="451"/>
        <v>-138.33333333333331</v>
      </c>
      <c r="DI53" s="422" t="str">
        <f t="shared" si="452"/>
        <v/>
      </c>
      <c r="DJ53" s="422">
        <f t="shared" ref="DJ53:DJ57" si="465">DF53</f>
        <v>-18.3333333333333</v>
      </c>
      <c r="DK53" s="422">
        <v>38.714285714285701</v>
      </c>
      <c r="DL53" s="422">
        <f t="shared" si="453"/>
        <v>20.380952380952401</v>
      </c>
      <c r="DM53" s="422" t="str">
        <f t="shared" si="454"/>
        <v>F9</v>
      </c>
      <c r="DN53" s="422">
        <f t="shared" ref="DN53:DN57" si="466">DJ53</f>
        <v>-18.3333333333333</v>
      </c>
      <c r="DO53" s="422">
        <v>17.285714285714299</v>
      </c>
      <c r="DP53" s="422">
        <f t="shared" si="455"/>
        <v>-1.0476190476190013</v>
      </c>
      <c r="DQ53" s="438" t="str">
        <f t="shared" si="456"/>
        <v/>
      </c>
      <c r="DR53" s="422">
        <f t="shared" ref="DR53:DR57" si="467">DN53</f>
        <v>-18.3333333333333</v>
      </c>
      <c r="DS53" s="422">
        <v>-93.142857142857395</v>
      </c>
      <c r="DT53" s="422">
        <f t="shared" si="457"/>
        <v>-111.47619047619069</v>
      </c>
      <c r="DU53" s="438" t="str">
        <f t="shared" si="458"/>
        <v/>
      </c>
      <c r="DV53" s="422">
        <f t="shared" ref="DV53:DV57" si="468">DR53</f>
        <v>-18.3333333333333</v>
      </c>
      <c r="DW53" s="422">
        <v>43.714285714285701</v>
      </c>
      <c r="DX53" s="422">
        <f t="shared" si="459"/>
        <v>25.380952380952401</v>
      </c>
      <c r="DY53" s="438" t="str">
        <f t="shared" si="460"/>
        <v>F9</v>
      </c>
      <c r="DZ53" s="422">
        <f t="shared" si="461"/>
        <v>-18.3333333333333</v>
      </c>
      <c r="EA53" s="422">
        <v>6</v>
      </c>
      <c r="EB53" s="422">
        <f t="shared" si="462"/>
        <v>-12.3333333333333</v>
      </c>
      <c r="EC53" s="438" t="str">
        <f t="shared" si="463"/>
        <v/>
      </c>
      <c r="ED53" s="422">
        <f t="shared" si="63"/>
        <v>-1143.4461584996982</v>
      </c>
      <c r="EE53" s="422">
        <f t="shared" si="100"/>
        <v>-71.465384906231137</v>
      </c>
      <c r="EF53" s="438" t="str">
        <f t="shared" si="101"/>
        <v/>
      </c>
      <c r="EG53" s="422" t="str">
        <f t="shared" si="102"/>
        <v/>
      </c>
      <c r="EH53" s="439">
        <v>1</v>
      </c>
      <c r="EI53" s="422">
        <f t="shared" si="103"/>
        <v>-1143.4461584996982</v>
      </c>
      <c r="EJ53" s="440">
        <f t="shared" si="104"/>
        <v>-0.71465384906231133</v>
      </c>
      <c r="EK53" s="438" t="s">
        <v>573</v>
      </c>
      <c r="EL53" s="438" t="s">
        <v>762</v>
      </c>
    </row>
    <row r="54" spans="1:142" ht="30">
      <c r="A54" s="781"/>
      <c r="B54" s="376"/>
      <c r="C54" s="376"/>
      <c r="D54" s="376"/>
      <c r="E54" s="376"/>
      <c r="F54" s="376"/>
      <c r="G54" s="376"/>
      <c r="H54" s="376"/>
      <c r="I54" s="376"/>
      <c r="J54" s="376"/>
      <c r="K54" s="750"/>
      <c r="L54" s="750"/>
      <c r="M54" s="714"/>
      <c r="N54" s="734" t="s">
        <v>387</v>
      </c>
      <c r="O54" s="735"/>
      <c r="P54" s="674" t="e">
        <f>VLOOKUP(D19,AB:EL,38,FALSE)</f>
        <v>#N/A</v>
      </c>
      <c r="Q54" s="680"/>
      <c r="R54" s="674" t="e">
        <f>IF(P54&gt;=6,"EXCELLENT",
IF(P54&gt;=6,"EXCELLENT",
IF(P54&gt;=5,"EXCELLENT",
IF(P54&gt;=4,"V.GOOD",
IF(P54&gt;=3,"POOR",
IF(P54&gt;=2,"POOR",
IF(P54&gt;=2,"POOR",
IF(P54&gt;=1,"POOR",
IF(P54&gt;=0,"POOR",
IF(P54&gt;=1,"POOR",""))))))))))</f>
        <v>#N/A</v>
      </c>
      <c r="S54" s="675"/>
      <c r="T54" s="390"/>
      <c r="U54" s="390"/>
      <c r="V54" s="714"/>
      <c r="W54" s="714"/>
      <c r="X54" s="714"/>
      <c r="Y54" s="391"/>
      <c r="Z54" s="391"/>
      <c r="AA54" s="420">
        <f t="shared" si="1"/>
        <v>53</v>
      </c>
      <c r="AB54" s="435" t="s">
        <v>60</v>
      </c>
      <c r="AC54" s="422" t="s">
        <v>394</v>
      </c>
      <c r="AD54" s="422" t="s">
        <v>326</v>
      </c>
      <c r="AE54" s="422">
        <v>21</v>
      </c>
      <c r="AF54" s="422">
        <f>'SSS1 ATTENDANCE '!FJ60</f>
        <v>128</v>
      </c>
      <c r="AG54" s="422">
        <f>'SSS1 ATTENDANCE '!FH60</f>
        <v>122</v>
      </c>
      <c r="AH54" s="422">
        <f>'SSS1 ATTENDANCE '!FI60</f>
        <v>6</v>
      </c>
      <c r="AI54" s="436" t="s">
        <v>626</v>
      </c>
      <c r="AJ54" s="437">
        <v>40900</v>
      </c>
      <c r="AK54" s="435" t="s">
        <v>396</v>
      </c>
      <c r="AL54" s="424">
        <v>25</v>
      </c>
      <c r="AM54" s="422">
        <v>52.535714285714299</v>
      </c>
      <c r="AN54" s="438">
        <v>4</v>
      </c>
      <c r="AO54" s="422" t="str">
        <f t="shared" si="64"/>
        <v>5</v>
      </c>
      <c r="AP54" s="438">
        <v>5</v>
      </c>
      <c r="AQ54" s="422">
        <v>4</v>
      </c>
      <c r="AR54" s="438">
        <v>4</v>
      </c>
      <c r="AS54" s="438">
        <v>4</v>
      </c>
      <c r="AT54" s="438">
        <v>4</v>
      </c>
      <c r="AU54" s="438">
        <v>3</v>
      </c>
      <c r="AV54" s="438">
        <v>4</v>
      </c>
      <c r="AW54" s="438">
        <v>4</v>
      </c>
      <c r="AX54" s="438">
        <v>3</v>
      </c>
      <c r="AY54" s="438">
        <v>4</v>
      </c>
      <c r="AZ54" s="438">
        <v>3</v>
      </c>
      <c r="BA54" s="438">
        <v>3</v>
      </c>
      <c r="BB54" s="438">
        <v>3</v>
      </c>
      <c r="BC54" s="438">
        <v>4</v>
      </c>
      <c r="BD54" s="438">
        <v>4</v>
      </c>
      <c r="BE54" s="438">
        <v>4</v>
      </c>
      <c r="BF54" s="438">
        <v>3</v>
      </c>
      <c r="BG54" s="438">
        <v>3</v>
      </c>
      <c r="BH54" s="438">
        <v>3</v>
      </c>
      <c r="BI54" s="438">
        <v>5</v>
      </c>
      <c r="BJ54" s="438">
        <v>4</v>
      </c>
      <c r="BK54" s="438">
        <v>3</v>
      </c>
      <c r="BL54" s="438">
        <v>5</v>
      </c>
      <c r="BM54" s="438">
        <v>3</v>
      </c>
      <c r="BN54" s="422" t="s">
        <v>452</v>
      </c>
      <c r="BO54" s="438">
        <v>9.4642857142856798</v>
      </c>
      <c r="BP54" s="438">
        <v>-172.03571428571399</v>
      </c>
      <c r="BQ54" s="422">
        <f t="shared" si="429"/>
        <v>-162.57142857142833</v>
      </c>
      <c r="BR54" s="438" t="str">
        <f t="shared" si="430"/>
        <v/>
      </c>
      <c r="BS54" s="422">
        <v>9.4642857142856798</v>
      </c>
      <c r="BT54" s="438">
        <v>-117.53571428571399</v>
      </c>
      <c r="BU54" s="422">
        <f t="shared" si="431"/>
        <v>-108.07142857142831</v>
      </c>
      <c r="BV54" s="438" t="str">
        <f t="shared" si="432"/>
        <v/>
      </c>
      <c r="BW54" s="422">
        <v>9.4642857142856798</v>
      </c>
      <c r="BX54" s="422">
        <v>-115.25</v>
      </c>
      <c r="BY54" s="422">
        <f t="shared" si="433"/>
        <v>-105.78571428571432</v>
      </c>
      <c r="BZ54" s="438" t="str">
        <f t="shared" si="434"/>
        <v/>
      </c>
      <c r="CA54" s="422">
        <v>9.4642857142856798</v>
      </c>
      <c r="CB54" s="422">
        <v>-123.21428571428601</v>
      </c>
      <c r="CC54" s="422">
        <f t="shared" si="435"/>
        <v>-113.75000000000033</v>
      </c>
      <c r="CD54" s="438" t="str">
        <f t="shared" si="436"/>
        <v/>
      </c>
      <c r="CE54" s="422">
        <v>35</v>
      </c>
      <c r="CF54" s="422">
        <v>-116</v>
      </c>
      <c r="CG54" s="422">
        <f t="shared" si="437"/>
        <v>-81</v>
      </c>
      <c r="CH54" s="438" t="str">
        <f t="shared" si="438"/>
        <v/>
      </c>
      <c r="CI54" s="422">
        <v>9.4642857142856798</v>
      </c>
      <c r="CJ54" s="422">
        <v>-49.25</v>
      </c>
      <c r="CK54" s="422">
        <f t="shared" si="439"/>
        <v>-39.78571428571432</v>
      </c>
      <c r="CL54" s="438" t="str">
        <f t="shared" si="440"/>
        <v/>
      </c>
      <c r="CM54" s="422">
        <v>9.4642857142856798</v>
      </c>
      <c r="CN54" s="422"/>
      <c r="CO54" s="422"/>
      <c r="CP54" s="422"/>
      <c r="CQ54" s="422">
        <v>34.146551724138</v>
      </c>
      <c r="CR54" s="422">
        <f t="shared" si="442"/>
        <v>34.146551724138</v>
      </c>
      <c r="CS54" s="438" t="str">
        <f t="shared" si="443"/>
        <v>F9</v>
      </c>
      <c r="CT54" s="422">
        <v>-7.8947368421052797</v>
      </c>
      <c r="CU54" s="422">
        <v>-131.57894736842101</v>
      </c>
      <c r="CV54" s="422">
        <f t="shared" si="444"/>
        <v>-139.4736842105263</v>
      </c>
      <c r="CW54" s="438" t="str">
        <f t="shared" si="445"/>
        <v/>
      </c>
      <c r="CX54" s="422">
        <f t="shared" ref="CX54" si="469">CT54</f>
        <v>-7.8947368421052797</v>
      </c>
      <c r="CY54" s="422">
        <v>-123.21428571428601</v>
      </c>
      <c r="CZ54" s="422">
        <f t="shared" si="446"/>
        <v>-131.1090225563913</v>
      </c>
      <c r="DA54" s="438" t="str">
        <f t="shared" si="447"/>
        <v/>
      </c>
      <c r="DB54" s="422">
        <f t="shared" si="464"/>
        <v>-7.8947368421052797</v>
      </c>
      <c r="DC54" s="422">
        <v>-92.678571428571104</v>
      </c>
      <c r="DD54" s="422">
        <f t="shared" si="448"/>
        <v>-100.57330827067638</v>
      </c>
      <c r="DE54" s="422" t="str">
        <f t="shared" si="449"/>
        <v/>
      </c>
      <c r="DF54" s="422">
        <f t="shared" si="450"/>
        <v>-7.8947368421052797</v>
      </c>
      <c r="DG54" s="422">
        <v>-123.21428571428601</v>
      </c>
      <c r="DH54" s="422">
        <f t="shared" si="451"/>
        <v>-131.1090225563913</v>
      </c>
      <c r="DI54" s="422" t="str">
        <f t="shared" si="452"/>
        <v/>
      </c>
      <c r="DJ54" s="422">
        <f t="shared" si="465"/>
        <v>-7.8947368421052797</v>
      </c>
      <c r="DK54" s="422">
        <v>38.535714285714199</v>
      </c>
      <c r="DL54" s="422">
        <f t="shared" si="453"/>
        <v>30.640977443608918</v>
      </c>
      <c r="DM54" s="422" t="str">
        <f t="shared" si="454"/>
        <v>F9</v>
      </c>
      <c r="DN54" s="422">
        <f t="shared" si="466"/>
        <v>-7.8947368421052797</v>
      </c>
      <c r="DO54" s="422">
        <v>16.678571428571399</v>
      </c>
      <c r="DP54" s="422">
        <f t="shared" si="455"/>
        <v>8.7838345864661189</v>
      </c>
      <c r="DQ54" s="438" t="str">
        <f t="shared" si="456"/>
        <v>F9</v>
      </c>
      <c r="DR54" s="422">
        <f t="shared" si="467"/>
        <v>-7.8947368421052797</v>
      </c>
      <c r="DS54" s="422">
        <v>-95.750000000000398</v>
      </c>
      <c r="DT54" s="422">
        <f t="shared" si="457"/>
        <v>-103.64473684210567</v>
      </c>
      <c r="DU54" s="438" t="str">
        <f t="shared" si="458"/>
        <v/>
      </c>
      <c r="DV54" s="422">
        <f t="shared" si="468"/>
        <v>-7.8947368421052797</v>
      </c>
      <c r="DW54" s="422">
        <v>43.642857142857103</v>
      </c>
      <c r="DX54" s="422">
        <f t="shared" si="459"/>
        <v>35.748120300751822</v>
      </c>
      <c r="DY54" s="438" t="str">
        <f t="shared" si="460"/>
        <v>F9</v>
      </c>
      <c r="DZ54" s="422">
        <f t="shared" si="461"/>
        <v>-7.8947368421052797</v>
      </c>
      <c r="EA54" s="422">
        <v>5.25</v>
      </c>
      <c r="EB54" s="422">
        <f t="shared" si="462"/>
        <v>-2.6447368421052797</v>
      </c>
      <c r="EC54" s="438" t="str">
        <f t="shared" si="463"/>
        <v/>
      </c>
      <c r="ED54" s="422">
        <f t="shared" si="63"/>
        <v>-1110.1993129375167</v>
      </c>
      <c r="EE54" s="422">
        <f t="shared" si="100"/>
        <v>-69.387457058594791</v>
      </c>
      <c r="EF54" s="438" t="str">
        <f t="shared" si="101"/>
        <v/>
      </c>
      <c r="EG54" s="422" t="str">
        <f t="shared" si="102"/>
        <v/>
      </c>
      <c r="EH54" s="439">
        <v>1</v>
      </c>
      <c r="EI54" s="422">
        <f t="shared" si="103"/>
        <v>-1110.1993129375167</v>
      </c>
      <c r="EJ54" s="440">
        <f t="shared" si="104"/>
        <v>-0.69387457058594793</v>
      </c>
      <c r="EK54" s="438" t="s">
        <v>573</v>
      </c>
      <c r="EL54" s="438" t="s">
        <v>762</v>
      </c>
    </row>
    <row r="55" spans="1:142" ht="30">
      <c r="A55" s="781"/>
      <c r="B55" s="376"/>
      <c r="C55" s="376"/>
      <c r="D55" s="376"/>
      <c r="E55" s="376"/>
      <c r="F55" s="376"/>
      <c r="G55" s="376"/>
      <c r="H55" s="376"/>
      <c r="I55" s="376"/>
      <c r="J55" s="376"/>
      <c r="K55" s="690"/>
      <c r="L55" s="690"/>
      <c r="M55" s="714"/>
      <c r="N55" s="734" t="s">
        <v>267</v>
      </c>
      <c r="O55" s="735"/>
      <c r="P55" s="674" t="e">
        <f>P31</f>
        <v>#N/A</v>
      </c>
      <c r="Q55" s="680"/>
      <c r="R55" s="674" t="e">
        <f t="shared" ref="R55:R56" si="470">IF(P55&gt;=6,"EXCELLENT",
IF(P55&gt;=6,"EXCELLENT",
IF(P55&gt;=5,"EXCELLENT",
IF(P55&gt;=4,"V.GOOD",
IF(P55&gt;=3,"POOR",
IF(P55&gt;=2,"POOR",
IF(P55&gt;=2,"POOR",
IF(P55&gt;=1,"POOR",
IF(P55&gt;=0,"POOR",
IF(P55&gt;=1,"POOR",""))))))))))</f>
        <v>#N/A</v>
      </c>
      <c r="S55" s="675"/>
      <c r="T55" s="390"/>
      <c r="U55" s="390"/>
      <c r="V55" s="714"/>
      <c r="W55" s="714"/>
      <c r="X55" s="714"/>
      <c r="Y55" s="391"/>
      <c r="Z55" s="391"/>
      <c r="AA55" s="420">
        <f t="shared" si="1"/>
        <v>54</v>
      </c>
      <c r="AB55" s="435" t="s">
        <v>61</v>
      </c>
      <c r="AC55" s="422" t="s">
        <v>394</v>
      </c>
      <c r="AD55" s="422" t="s">
        <v>326</v>
      </c>
      <c r="AE55" s="422">
        <v>21.1428571428571</v>
      </c>
      <c r="AF55" s="422">
        <f>'SSS1 ATTENDANCE '!FJ61</f>
        <v>128</v>
      </c>
      <c r="AG55" s="422">
        <f>'SSS1 ATTENDANCE '!FH61</f>
        <v>124</v>
      </c>
      <c r="AH55" s="422">
        <f>'SSS1 ATTENDANCE '!FI61</f>
        <v>4</v>
      </c>
      <c r="AI55" s="436" t="s">
        <v>627</v>
      </c>
      <c r="AJ55" s="437">
        <v>40368</v>
      </c>
      <c r="AK55" s="435" t="s">
        <v>396</v>
      </c>
      <c r="AL55" s="424">
        <v>25</v>
      </c>
      <c r="AM55" s="422">
        <v>53.071428571428498</v>
      </c>
      <c r="AN55" s="438">
        <v>4</v>
      </c>
      <c r="AO55" s="422" t="str">
        <f t="shared" si="64"/>
        <v>5</v>
      </c>
      <c r="AP55" s="438">
        <v>5</v>
      </c>
      <c r="AQ55" s="422">
        <v>4</v>
      </c>
      <c r="AR55" s="438">
        <v>4</v>
      </c>
      <c r="AS55" s="438">
        <v>4</v>
      </c>
      <c r="AT55" s="438">
        <v>4</v>
      </c>
      <c r="AU55" s="438">
        <v>3</v>
      </c>
      <c r="AV55" s="438">
        <v>4</v>
      </c>
      <c r="AW55" s="438">
        <v>4</v>
      </c>
      <c r="AX55" s="438">
        <v>3</v>
      </c>
      <c r="AY55" s="438">
        <v>4</v>
      </c>
      <c r="AZ55" s="438">
        <v>3</v>
      </c>
      <c r="BA55" s="438">
        <v>3</v>
      </c>
      <c r="BB55" s="438">
        <v>3</v>
      </c>
      <c r="BC55" s="438">
        <v>4</v>
      </c>
      <c r="BD55" s="438">
        <v>4</v>
      </c>
      <c r="BE55" s="438">
        <v>4</v>
      </c>
      <c r="BF55" s="438">
        <v>3</v>
      </c>
      <c r="BG55" s="438">
        <v>3</v>
      </c>
      <c r="BH55" s="438">
        <v>3</v>
      </c>
      <c r="BI55" s="438">
        <v>5</v>
      </c>
      <c r="BJ55" s="438">
        <v>4</v>
      </c>
      <c r="BK55" s="438">
        <v>3</v>
      </c>
      <c r="BL55" s="438">
        <v>5</v>
      </c>
      <c r="BM55" s="438">
        <v>3</v>
      </c>
      <c r="BN55" s="422" t="s">
        <v>453</v>
      </c>
      <c r="BO55" s="438">
        <v>8.9285714285714803</v>
      </c>
      <c r="BP55" s="438">
        <v>-176.21428571428601</v>
      </c>
      <c r="BQ55" s="422">
        <f t="shared" si="429"/>
        <v>-167.28571428571453</v>
      </c>
      <c r="BR55" s="438" t="str">
        <f t="shared" si="430"/>
        <v/>
      </c>
      <c r="BS55" s="422">
        <v>8.9285714285714803</v>
      </c>
      <c r="BT55" s="438">
        <v>-120.78571428571399</v>
      </c>
      <c r="BU55" s="422">
        <f t="shared" si="431"/>
        <v>-111.85714285714252</v>
      </c>
      <c r="BV55" s="438" t="str">
        <f t="shared" si="432"/>
        <v/>
      </c>
      <c r="BW55" s="422">
        <v>8.9285714285714803</v>
      </c>
      <c r="BX55" s="422">
        <v>-118.35714285714199</v>
      </c>
      <c r="BY55" s="422">
        <f t="shared" si="433"/>
        <v>-109.42857142857051</v>
      </c>
      <c r="BZ55" s="438" t="str">
        <f t="shared" si="434"/>
        <v/>
      </c>
      <c r="CA55" s="422">
        <v>8.9285714285714803</v>
      </c>
      <c r="CB55" s="422">
        <v>-126.428571428572</v>
      </c>
      <c r="CC55" s="422">
        <f t="shared" si="435"/>
        <v>-117.50000000000051</v>
      </c>
      <c r="CD55" s="438" t="str">
        <f t="shared" si="436"/>
        <v/>
      </c>
      <c r="CE55" s="422">
        <v>35</v>
      </c>
      <c r="CF55" s="422">
        <v>-119.14285714285801</v>
      </c>
      <c r="CG55" s="422">
        <f t="shared" si="437"/>
        <v>-84.142857142858006</v>
      </c>
      <c r="CH55" s="438" t="str">
        <f t="shared" si="438"/>
        <v/>
      </c>
      <c r="CI55" s="422">
        <v>8.9285714285714803</v>
      </c>
      <c r="CJ55" s="422">
        <v>-51.071428571428598</v>
      </c>
      <c r="CK55" s="422">
        <f t="shared" si="439"/>
        <v>-42.142857142857117</v>
      </c>
      <c r="CL55" s="438" t="str">
        <f t="shared" si="440"/>
        <v/>
      </c>
      <c r="CM55" s="422">
        <v>8.9285714285714803</v>
      </c>
      <c r="CN55" s="422"/>
      <c r="CO55" s="422"/>
      <c r="CP55" s="422">
        <f t="shared" ref="CP55" si="471">CM55</f>
        <v>8.9285714285714803</v>
      </c>
      <c r="CQ55" s="422">
        <v>33.862068965517302</v>
      </c>
      <c r="CR55" s="422">
        <f t="shared" si="442"/>
        <v>42.790640394088783</v>
      </c>
      <c r="CS55" s="438" t="str">
        <f t="shared" si="443"/>
        <v>E8</v>
      </c>
      <c r="CT55" s="422">
        <v>-8.9473684210526905</v>
      </c>
      <c r="CU55" s="422">
        <v>-135.789473684211</v>
      </c>
      <c r="CV55" s="422">
        <f t="shared" si="444"/>
        <v>-144.73684210526369</v>
      </c>
      <c r="CW55" s="438" t="str">
        <f t="shared" si="445"/>
        <v/>
      </c>
      <c r="CX55" s="422">
        <v>35</v>
      </c>
      <c r="CY55" s="422">
        <v>-126.428571428572</v>
      </c>
      <c r="CZ55" s="422">
        <f t="shared" si="446"/>
        <v>-91.428571428571999</v>
      </c>
      <c r="DA55" s="438" t="str">
        <f t="shared" si="447"/>
        <v/>
      </c>
      <c r="DB55" s="422">
        <f t="shared" si="464"/>
        <v>35</v>
      </c>
      <c r="DC55" s="422">
        <v>-95.357142857143103</v>
      </c>
      <c r="DD55" s="422">
        <f t="shared" si="448"/>
        <v>-60.357142857143103</v>
      </c>
      <c r="DE55" s="422" t="str">
        <f t="shared" si="449"/>
        <v/>
      </c>
      <c r="DF55" s="422">
        <f t="shared" si="450"/>
        <v>35</v>
      </c>
      <c r="DG55" s="422">
        <v>-126.428571428572</v>
      </c>
      <c r="DH55" s="422">
        <f t="shared" si="451"/>
        <v>-91.428571428571999</v>
      </c>
      <c r="DI55" s="422" t="str">
        <f t="shared" si="452"/>
        <v/>
      </c>
      <c r="DJ55" s="422">
        <f t="shared" si="465"/>
        <v>35</v>
      </c>
      <c r="DK55" s="422">
        <v>38.357142857142797</v>
      </c>
      <c r="DL55" s="422">
        <f t="shared" si="453"/>
        <v>73.357142857142804</v>
      </c>
      <c r="DM55" s="422" t="str">
        <f t="shared" si="454"/>
        <v>B2</v>
      </c>
      <c r="DN55" s="422">
        <f t="shared" si="466"/>
        <v>35</v>
      </c>
      <c r="DO55" s="422">
        <v>16.071428571428601</v>
      </c>
      <c r="DP55" s="422">
        <f t="shared" si="455"/>
        <v>51.071428571428598</v>
      </c>
      <c r="DQ55" s="438" t="str">
        <f t="shared" si="456"/>
        <v>C6</v>
      </c>
      <c r="DR55" s="422">
        <f t="shared" si="467"/>
        <v>35</v>
      </c>
      <c r="DS55" s="422">
        <v>-98.357142857142406</v>
      </c>
      <c r="DT55" s="422">
        <f t="shared" si="457"/>
        <v>-63.357142857142406</v>
      </c>
      <c r="DU55" s="438" t="str">
        <f t="shared" si="458"/>
        <v/>
      </c>
      <c r="DV55" s="422">
        <f t="shared" si="468"/>
        <v>35</v>
      </c>
      <c r="DW55" s="422">
        <v>43.571428571428498</v>
      </c>
      <c r="DX55" s="422">
        <f t="shared" si="459"/>
        <v>78.571428571428498</v>
      </c>
      <c r="DY55" s="438" t="str">
        <f t="shared" si="460"/>
        <v>A</v>
      </c>
      <c r="DZ55" s="422">
        <f t="shared" si="461"/>
        <v>35</v>
      </c>
      <c r="EA55" s="422">
        <v>4.5</v>
      </c>
      <c r="EB55" s="422">
        <f t="shared" si="462"/>
        <v>39.5</v>
      </c>
      <c r="EC55" s="438" t="str">
        <f t="shared" si="463"/>
        <v>F9</v>
      </c>
      <c r="ED55" s="422">
        <f t="shared" si="63"/>
        <v>-798.37477313974773</v>
      </c>
      <c r="EE55" s="422">
        <f t="shared" si="100"/>
        <v>-49.898423321234233</v>
      </c>
      <c r="EF55" s="438" t="str">
        <f t="shared" si="101"/>
        <v/>
      </c>
      <c r="EG55" s="422" t="str">
        <f t="shared" si="102"/>
        <v/>
      </c>
      <c r="EH55" s="439">
        <v>1</v>
      </c>
      <c r="EI55" s="422">
        <f t="shared" si="103"/>
        <v>-798.37477313974773</v>
      </c>
      <c r="EJ55" s="440">
        <f t="shared" si="104"/>
        <v>-0.49898423321234231</v>
      </c>
      <c r="EK55" s="438" t="s">
        <v>746</v>
      </c>
      <c r="EL55" s="438" t="s">
        <v>762</v>
      </c>
    </row>
    <row r="56" spans="1:142" ht="30">
      <c r="A56" s="781"/>
      <c r="B56" s="376"/>
      <c r="C56" s="376"/>
      <c r="D56" s="376"/>
      <c r="E56" s="376"/>
      <c r="F56" s="376"/>
      <c r="G56" s="376"/>
      <c r="H56" s="376"/>
      <c r="I56" s="376"/>
      <c r="J56" s="376"/>
      <c r="K56" s="690"/>
      <c r="L56" s="690"/>
      <c r="M56" s="714"/>
      <c r="N56" s="734" t="s">
        <v>388</v>
      </c>
      <c r="O56" s="735"/>
      <c r="P56" s="674" t="e">
        <f>P30</f>
        <v>#N/A</v>
      </c>
      <c r="Q56" s="680"/>
      <c r="R56" s="674" t="e">
        <f t="shared" si="470"/>
        <v>#N/A</v>
      </c>
      <c r="S56" s="675"/>
      <c r="T56" s="390"/>
      <c r="U56" s="390"/>
      <c r="V56" s="714"/>
      <c r="W56" s="714"/>
      <c r="X56" s="714"/>
      <c r="Y56" s="391"/>
      <c r="Z56" s="391"/>
      <c r="AA56" s="420">
        <f t="shared" si="1"/>
        <v>55</v>
      </c>
      <c r="AB56" s="435" t="s">
        <v>62</v>
      </c>
      <c r="AC56" s="422" t="s">
        <v>394</v>
      </c>
      <c r="AD56" s="422" t="s">
        <v>326</v>
      </c>
      <c r="AE56" s="422">
        <v>21.285714285714299</v>
      </c>
      <c r="AF56" s="422">
        <f>'SSS1 ATTENDANCE '!FJ62</f>
        <v>128</v>
      </c>
      <c r="AG56" s="422">
        <f>'SSS1 ATTENDANCE '!FH62</f>
        <v>126</v>
      </c>
      <c r="AH56" s="422">
        <f>'SSS1 ATTENDANCE '!FI62</f>
        <v>2</v>
      </c>
      <c r="AI56" s="436" t="s">
        <v>628</v>
      </c>
      <c r="AJ56" s="437">
        <v>40852</v>
      </c>
      <c r="AK56" s="435" t="s">
        <v>396</v>
      </c>
      <c r="AL56" s="424">
        <v>25</v>
      </c>
      <c r="AM56" s="422">
        <v>53.607142857142797</v>
      </c>
      <c r="AN56" s="438">
        <v>4</v>
      </c>
      <c r="AO56" s="422" t="str">
        <f t="shared" si="64"/>
        <v>5</v>
      </c>
      <c r="AP56" s="438">
        <v>5</v>
      </c>
      <c r="AQ56" s="422">
        <v>4</v>
      </c>
      <c r="AR56" s="438">
        <v>4</v>
      </c>
      <c r="AS56" s="438">
        <v>4</v>
      </c>
      <c r="AT56" s="438">
        <v>4</v>
      </c>
      <c r="AU56" s="438">
        <v>3</v>
      </c>
      <c r="AV56" s="438">
        <v>4</v>
      </c>
      <c r="AW56" s="438">
        <v>4</v>
      </c>
      <c r="AX56" s="438">
        <v>3</v>
      </c>
      <c r="AY56" s="438">
        <v>4</v>
      </c>
      <c r="AZ56" s="438">
        <v>3</v>
      </c>
      <c r="BA56" s="438">
        <v>3</v>
      </c>
      <c r="BB56" s="438">
        <v>3</v>
      </c>
      <c r="BC56" s="438">
        <v>4</v>
      </c>
      <c r="BD56" s="438">
        <v>4</v>
      </c>
      <c r="BE56" s="438">
        <v>4</v>
      </c>
      <c r="BF56" s="438">
        <v>3</v>
      </c>
      <c r="BG56" s="438">
        <v>3</v>
      </c>
      <c r="BH56" s="438">
        <v>3</v>
      </c>
      <c r="BI56" s="438">
        <v>5</v>
      </c>
      <c r="BJ56" s="438">
        <v>4</v>
      </c>
      <c r="BK56" s="438">
        <v>3</v>
      </c>
      <c r="BL56" s="438">
        <v>5</v>
      </c>
      <c r="BM56" s="438">
        <v>3</v>
      </c>
      <c r="BN56" s="422" t="s">
        <v>454</v>
      </c>
      <c r="BO56" s="438">
        <v>8.3928571428571797</v>
      </c>
      <c r="BP56" s="438">
        <v>-180.392857142857</v>
      </c>
      <c r="BQ56" s="422">
        <f t="shared" si="429"/>
        <v>-171.99999999999983</v>
      </c>
      <c r="BR56" s="438" t="str">
        <f t="shared" si="430"/>
        <v/>
      </c>
      <c r="BS56" s="422">
        <v>8.3928571428571797</v>
      </c>
      <c r="BT56" s="438">
        <v>-124.03571428571399</v>
      </c>
      <c r="BU56" s="422">
        <f t="shared" si="431"/>
        <v>-115.64285714285681</v>
      </c>
      <c r="BV56" s="438" t="str">
        <f t="shared" si="432"/>
        <v/>
      </c>
      <c r="BW56" s="422">
        <v>8.3928571428571797</v>
      </c>
      <c r="BX56" s="422">
        <v>-121.464285714285</v>
      </c>
      <c r="BY56" s="422">
        <f t="shared" si="433"/>
        <v>-113.07142857142782</v>
      </c>
      <c r="BZ56" s="438" t="str">
        <f t="shared" si="434"/>
        <v/>
      </c>
      <c r="CA56" s="422">
        <v>8.3928571428571797</v>
      </c>
      <c r="CB56" s="422">
        <v>-129.64285714285799</v>
      </c>
      <c r="CC56" s="422">
        <f t="shared" si="435"/>
        <v>-121.25000000000081</v>
      </c>
      <c r="CD56" s="438" t="str">
        <f t="shared" si="436"/>
        <v/>
      </c>
      <c r="CE56" s="422">
        <v>35</v>
      </c>
      <c r="CF56" s="422">
        <v>-122.285714285715</v>
      </c>
      <c r="CG56" s="422">
        <f t="shared" si="437"/>
        <v>-87.285714285715002</v>
      </c>
      <c r="CH56" s="438" t="str">
        <f t="shared" si="438"/>
        <v/>
      </c>
      <c r="CI56" s="422">
        <v>8.3928571428571797</v>
      </c>
      <c r="CJ56" s="422">
        <v>-52.892857142857203</v>
      </c>
      <c r="CK56" s="422">
        <f t="shared" si="439"/>
        <v>-44.500000000000021</v>
      </c>
      <c r="CL56" s="438" t="str">
        <f t="shared" si="440"/>
        <v/>
      </c>
      <c r="CM56" s="422">
        <v>8.3928571428571797</v>
      </c>
      <c r="CN56" s="422"/>
      <c r="CO56" s="422"/>
      <c r="CP56" s="422"/>
      <c r="CQ56" s="422">
        <v>33.577586206896598</v>
      </c>
      <c r="CR56" s="422">
        <f t="shared" si="442"/>
        <v>33.577586206896598</v>
      </c>
      <c r="CS56" s="438" t="str">
        <f t="shared" si="443"/>
        <v>F9</v>
      </c>
      <c r="CT56" s="422">
        <v>-9.9999999999999893</v>
      </c>
      <c r="CU56" s="422">
        <v>-140</v>
      </c>
      <c r="CV56" s="422">
        <f t="shared" si="444"/>
        <v>-150</v>
      </c>
      <c r="CW56" s="438" t="str">
        <f t="shared" si="445"/>
        <v/>
      </c>
      <c r="CX56" s="422">
        <f t="shared" ref="CX56" si="472">CT56</f>
        <v>-9.9999999999999893</v>
      </c>
      <c r="CY56" s="422">
        <v>-129.64285714285799</v>
      </c>
      <c r="CZ56" s="422">
        <f t="shared" si="446"/>
        <v>-139.64285714285799</v>
      </c>
      <c r="DA56" s="438" t="str">
        <f t="shared" si="447"/>
        <v/>
      </c>
      <c r="DB56" s="422">
        <f t="shared" si="464"/>
        <v>-9.9999999999999893</v>
      </c>
      <c r="DC56" s="422">
        <v>-98.035714285714107</v>
      </c>
      <c r="DD56" s="422">
        <f t="shared" si="448"/>
        <v>-108.03571428571409</v>
      </c>
      <c r="DE56" s="422" t="str">
        <f t="shared" si="449"/>
        <v/>
      </c>
      <c r="DF56" s="422">
        <f t="shared" si="450"/>
        <v>-9.9999999999999893</v>
      </c>
      <c r="DG56" s="422">
        <v>-129.64285714285799</v>
      </c>
      <c r="DH56" s="422">
        <f t="shared" si="451"/>
        <v>-139.64285714285799</v>
      </c>
      <c r="DI56" s="422" t="str">
        <f t="shared" si="452"/>
        <v/>
      </c>
      <c r="DJ56" s="422">
        <f t="shared" si="465"/>
        <v>-9.9999999999999893</v>
      </c>
      <c r="DK56" s="422">
        <v>38.178571428571402</v>
      </c>
      <c r="DL56" s="422">
        <f t="shared" si="453"/>
        <v>28.178571428571413</v>
      </c>
      <c r="DM56" s="422" t="str">
        <f t="shared" si="454"/>
        <v>F9</v>
      </c>
      <c r="DN56" s="422">
        <f t="shared" si="466"/>
        <v>-9.9999999999999893</v>
      </c>
      <c r="DO56" s="422">
        <v>15.464285714285699</v>
      </c>
      <c r="DP56" s="422">
        <f t="shared" si="455"/>
        <v>5.46428571428571</v>
      </c>
      <c r="DQ56" s="438" t="str">
        <f t="shared" si="456"/>
        <v>F9</v>
      </c>
      <c r="DR56" s="422">
        <f t="shared" si="467"/>
        <v>-9.9999999999999893</v>
      </c>
      <c r="DS56" s="422">
        <v>-100.964285714285</v>
      </c>
      <c r="DT56" s="422">
        <f t="shared" si="457"/>
        <v>-110.96428571428498</v>
      </c>
      <c r="DU56" s="438" t="str">
        <f t="shared" si="458"/>
        <v/>
      </c>
      <c r="DV56" s="422">
        <f t="shared" si="468"/>
        <v>-9.9999999999999893</v>
      </c>
      <c r="DW56" s="422">
        <v>43.5</v>
      </c>
      <c r="DX56" s="422">
        <f t="shared" si="459"/>
        <v>33.500000000000014</v>
      </c>
      <c r="DY56" s="438" t="str">
        <f t="shared" si="460"/>
        <v>F9</v>
      </c>
      <c r="DZ56" s="422">
        <f t="shared" si="461"/>
        <v>-9.9999999999999893</v>
      </c>
      <c r="EA56" s="422">
        <v>3.75</v>
      </c>
      <c r="EB56" s="422">
        <f t="shared" si="462"/>
        <v>-6.2499999999999893</v>
      </c>
      <c r="EC56" s="438" t="str">
        <f t="shared" si="463"/>
        <v/>
      </c>
      <c r="ED56" s="422">
        <f t="shared" si="63"/>
        <v>-1207.5652709359615</v>
      </c>
      <c r="EE56" s="422">
        <f t="shared" si="100"/>
        <v>-75.472829433497594</v>
      </c>
      <c r="EF56" s="438" t="str">
        <f t="shared" si="101"/>
        <v/>
      </c>
      <c r="EG56" s="422" t="str">
        <f t="shared" si="102"/>
        <v/>
      </c>
      <c r="EH56" s="439">
        <v>1</v>
      </c>
      <c r="EI56" s="422">
        <f t="shared" si="103"/>
        <v>-1207.5652709359615</v>
      </c>
      <c r="EJ56" s="440">
        <f t="shared" si="104"/>
        <v>-0.7547282943349759</v>
      </c>
      <c r="EK56" s="438" t="s">
        <v>747</v>
      </c>
      <c r="EL56" s="438" t="s">
        <v>762</v>
      </c>
    </row>
    <row r="57" spans="1:142" ht="30.75" thickBot="1">
      <c r="A57" s="781"/>
      <c r="B57" s="376"/>
      <c r="C57" s="376"/>
      <c r="D57" s="376"/>
      <c r="E57" s="376"/>
      <c r="F57" s="376"/>
      <c r="G57" s="376"/>
      <c r="H57" s="376"/>
      <c r="I57" s="376"/>
      <c r="J57" s="376"/>
      <c r="K57" s="690"/>
      <c r="L57" s="690"/>
      <c r="M57" s="714"/>
      <c r="N57" s="751" t="s">
        <v>351</v>
      </c>
      <c r="O57" s="752"/>
      <c r="P57" s="736" t="e">
        <f>P52</f>
        <v>#N/A</v>
      </c>
      <c r="Q57" s="737"/>
      <c r="R57" s="674" t="e">
        <f>IF(P57&gt;=6,"EXCELLENT",
IF(P57&gt;=6,"EXCELLENT",
IF(P57&gt;=5,"EXCELLENT",
IF(P57&gt;=4,"V.GOOD",
IF(P57&gt;=3,"POOR",
IF(P57&gt;=2,"POOR",
IF(P57&gt;=2,"POOR",
IF(P57&gt;=1,"POOR",
IF(P57&gt;=0,"POOR",
IF(P57&gt;=1,"POOR",""))))))))))</f>
        <v>#N/A</v>
      </c>
      <c r="S57" s="675"/>
      <c r="T57" s="390"/>
      <c r="U57" s="390"/>
      <c r="V57" s="714"/>
      <c r="W57" s="714"/>
      <c r="X57" s="714"/>
      <c r="Y57" s="391"/>
      <c r="Z57" s="391"/>
      <c r="AA57" s="420">
        <f t="shared" si="1"/>
        <v>56</v>
      </c>
      <c r="AB57" s="435" t="s">
        <v>63</v>
      </c>
      <c r="AC57" s="422" t="s">
        <v>394</v>
      </c>
      <c r="AD57" s="422" t="s">
        <v>326</v>
      </c>
      <c r="AE57" s="422">
        <v>21.428571428571399</v>
      </c>
      <c r="AF57" s="422">
        <f>'SSS1 ATTENDANCE '!FJ63</f>
        <v>128</v>
      </c>
      <c r="AG57" s="422">
        <f>'SSS1 ATTENDANCE '!FH63</f>
        <v>122</v>
      </c>
      <c r="AH57" s="422">
        <f>'SSS1 ATTENDANCE '!FI63</f>
        <v>6</v>
      </c>
      <c r="AI57" s="436" t="s">
        <v>629</v>
      </c>
      <c r="AJ57" s="437">
        <v>40881</v>
      </c>
      <c r="AK57" s="435" t="s">
        <v>396</v>
      </c>
      <c r="AL57" s="424">
        <v>25</v>
      </c>
      <c r="AM57" s="422">
        <v>54.142857142857103</v>
      </c>
      <c r="AN57" s="438">
        <v>4</v>
      </c>
      <c r="AO57" s="422" t="str">
        <f t="shared" si="64"/>
        <v>5</v>
      </c>
      <c r="AP57" s="438">
        <v>5</v>
      </c>
      <c r="AQ57" s="422">
        <v>4</v>
      </c>
      <c r="AR57" s="438">
        <v>4</v>
      </c>
      <c r="AS57" s="438">
        <v>4</v>
      </c>
      <c r="AT57" s="438">
        <v>4</v>
      </c>
      <c r="AU57" s="438">
        <v>3</v>
      </c>
      <c r="AV57" s="438">
        <v>4</v>
      </c>
      <c r="AW57" s="438">
        <v>4</v>
      </c>
      <c r="AX57" s="438">
        <v>3</v>
      </c>
      <c r="AY57" s="438">
        <v>4</v>
      </c>
      <c r="AZ57" s="438">
        <v>3</v>
      </c>
      <c r="BA57" s="438">
        <v>3</v>
      </c>
      <c r="BB57" s="438">
        <v>3</v>
      </c>
      <c r="BC57" s="438">
        <v>4</v>
      </c>
      <c r="BD57" s="438">
        <v>4</v>
      </c>
      <c r="BE57" s="438">
        <v>4</v>
      </c>
      <c r="BF57" s="438">
        <v>3</v>
      </c>
      <c r="BG57" s="438">
        <v>3</v>
      </c>
      <c r="BH57" s="438">
        <v>3</v>
      </c>
      <c r="BI57" s="438">
        <v>5</v>
      </c>
      <c r="BJ57" s="438">
        <v>4</v>
      </c>
      <c r="BK57" s="438">
        <v>3</v>
      </c>
      <c r="BL57" s="438">
        <v>5</v>
      </c>
      <c r="BM57" s="438">
        <v>3</v>
      </c>
      <c r="BN57" s="422" t="s">
        <v>455</v>
      </c>
      <c r="BO57" s="438">
        <v>7.8571428571428799</v>
      </c>
      <c r="BP57" s="438">
        <v>-184.57142857142799</v>
      </c>
      <c r="BQ57" s="422">
        <f t="shared" si="429"/>
        <v>-176.7142857142851</v>
      </c>
      <c r="BR57" s="438" t="str">
        <f t="shared" si="430"/>
        <v/>
      </c>
      <c r="BS57" s="422">
        <v>7.8571428571428799</v>
      </c>
      <c r="BT57" s="438">
        <v>-127.28571428571399</v>
      </c>
      <c r="BU57" s="422">
        <f t="shared" si="431"/>
        <v>-119.42857142857112</v>
      </c>
      <c r="BV57" s="438" t="str">
        <f t="shared" si="432"/>
        <v/>
      </c>
      <c r="BW57" s="422">
        <v>7.8571428571428799</v>
      </c>
      <c r="BX57" s="422">
        <v>-124.571428571428</v>
      </c>
      <c r="BY57" s="422">
        <f t="shared" si="433"/>
        <v>-116.71428571428513</v>
      </c>
      <c r="BZ57" s="438" t="str">
        <f t="shared" si="434"/>
        <v/>
      </c>
      <c r="CA57" s="422">
        <v>7.8571428571428799</v>
      </c>
      <c r="CB57" s="422">
        <v>-132.857142857143</v>
      </c>
      <c r="CC57" s="422">
        <f t="shared" si="435"/>
        <v>-125.00000000000013</v>
      </c>
      <c r="CD57" s="438" t="str">
        <f t="shared" si="436"/>
        <v/>
      </c>
      <c r="CE57" s="422">
        <v>35</v>
      </c>
      <c r="CF57" s="422">
        <v>-125.428571428572</v>
      </c>
      <c r="CG57" s="422">
        <f t="shared" si="437"/>
        <v>-90.428571428571999</v>
      </c>
      <c r="CH57" s="438" t="str">
        <f t="shared" si="438"/>
        <v/>
      </c>
      <c r="CI57" s="422">
        <v>7.8571428571428799</v>
      </c>
      <c r="CJ57" s="422">
        <v>-54.714285714285303</v>
      </c>
      <c r="CK57" s="422">
        <f t="shared" si="439"/>
        <v>-46.857142857142421</v>
      </c>
      <c r="CL57" s="438" t="str">
        <f t="shared" si="440"/>
        <v/>
      </c>
      <c r="CM57" s="422">
        <v>7.8571428571428799</v>
      </c>
      <c r="CN57" s="422"/>
      <c r="CO57" s="422"/>
      <c r="CP57" s="422">
        <f t="shared" ref="CP57" si="473">CM57</f>
        <v>7.8571428571428799</v>
      </c>
      <c r="CQ57" s="422">
        <v>33.2931034482759</v>
      </c>
      <c r="CR57" s="422">
        <f t="shared" si="442"/>
        <v>41.150246305418783</v>
      </c>
      <c r="CS57" s="438" t="str">
        <f t="shared" si="443"/>
        <v>E8</v>
      </c>
      <c r="CT57" s="422"/>
      <c r="CU57" s="422"/>
      <c r="CV57" s="422">
        <f t="shared" si="444"/>
        <v>0</v>
      </c>
      <c r="CW57" s="438" t="str">
        <f t="shared" si="445"/>
        <v/>
      </c>
      <c r="CX57" s="422">
        <v>35</v>
      </c>
      <c r="CY57" s="422">
        <v>-132.857142857143</v>
      </c>
      <c r="CZ57" s="422">
        <f t="shared" si="446"/>
        <v>-97.857142857143003</v>
      </c>
      <c r="DA57" s="438" t="str">
        <f t="shared" si="447"/>
        <v/>
      </c>
      <c r="DB57" s="422">
        <f t="shared" si="464"/>
        <v>35</v>
      </c>
      <c r="DC57" s="422">
        <v>-100.71428571428601</v>
      </c>
      <c r="DD57" s="422">
        <f t="shared" si="448"/>
        <v>-65.714285714286007</v>
      </c>
      <c r="DE57" s="422" t="str">
        <f t="shared" si="449"/>
        <v/>
      </c>
      <c r="DF57" s="422">
        <f t="shared" si="450"/>
        <v>35</v>
      </c>
      <c r="DG57" s="422">
        <v>-132.857142857143</v>
      </c>
      <c r="DH57" s="422">
        <f t="shared" si="451"/>
        <v>-97.857142857143003</v>
      </c>
      <c r="DI57" s="422" t="str">
        <f t="shared" si="452"/>
        <v/>
      </c>
      <c r="DJ57" s="422">
        <f t="shared" si="465"/>
        <v>35</v>
      </c>
      <c r="DK57" s="422">
        <v>38</v>
      </c>
      <c r="DL57" s="422">
        <f t="shared" si="453"/>
        <v>73</v>
      </c>
      <c r="DM57" s="422" t="str">
        <f t="shared" si="454"/>
        <v>B2</v>
      </c>
      <c r="DN57" s="422">
        <f t="shared" si="466"/>
        <v>35</v>
      </c>
      <c r="DO57" s="422">
        <v>14.857142857142801</v>
      </c>
      <c r="DP57" s="422">
        <f t="shared" si="455"/>
        <v>49.857142857142804</v>
      </c>
      <c r="DQ57" s="438" t="str">
        <f t="shared" si="456"/>
        <v>D7</v>
      </c>
      <c r="DR57" s="422">
        <f t="shared" si="467"/>
        <v>35</v>
      </c>
      <c r="DS57" s="422">
        <v>-103.571428571428</v>
      </c>
      <c r="DT57" s="422">
        <f t="shared" si="457"/>
        <v>-68.571428571428001</v>
      </c>
      <c r="DU57" s="438" t="str">
        <f t="shared" si="458"/>
        <v/>
      </c>
      <c r="DV57" s="422">
        <f t="shared" si="468"/>
        <v>35</v>
      </c>
      <c r="DW57" s="422">
        <v>43.428571428571402</v>
      </c>
      <c r="DX57" s="422">
        <f t="shared" si="459"/>
        <v>78.428571428571402</v>
      </c>
      <c r="DY57" s="438" t="str">
        <f t="shared" si="460"/>
        <v>A</v>
      </c>
      <c r="DZ57" s="422">
        <f t="shared" si="461"/>
        <v>35</v>
      </c>
      <c r="EA57" s="422">
        <v>3</v>
      </c>
      <c r="EB57" s="422">
        <f t="shared" si="462"/>
        <v>38</v>
      </c>
      <c r="EC57" s="438" t="str">
        <f t="shared" si="463"/>
        <v>F9</v>
      </c>
      <c r="ED57" s="422">
        <f t="shared" si="63"/>
        <v>-724.70689655172282</v>
      </c>
      <c r="EE57" s="422">
        <f t="shared" si="100"/>
        <v>-45.294181034482676</v>
      </c>
      <c r="EF57" s="438" t="str">
        <f t="shared" si="101"/>
        <v/>
      </c>
      <c r="EG57" s="422" t="str">
        <f t="shared" si="102"/>
        <v/>
      </c>
      <c r="EH57" s="439">
        <v>1</v>
      </c>
      <c r="EI57" s="422">
        <f t="shared" si="103"/>
        <v>-724.70689655172282</v>
      </c>
      <c r="EJ57" s="440">
        <f t="shared" si="104"/>
        <v>-0.45294181034482678</v>
      </c>
      <c r="EK57" s="438" t="s">
        <v>573</v>
      </c>
      <c r="EL57" s="438" t="s">
        <v>762</v>
      </c>
    </row>
    <row r="58" spans="1:142" ht="30.75" thickBot="1">
      <c r="A58" s="781"/>
      <c r="B58" s="376"/>
      <c r="C58" s="376"/>
      <c r="D58" s="376"/>
      <c r="E58" s="376"/>
      <c r="F58" s="376"/>
      <c r="G58" s="376"/>
      <c r="H58" s="376"/>
      <c r="I58" s="376"/>
      <c r="J58" s="376"/>
      <c r="K58" s="690"/>
      <c r="L58" s="690"/>
      <c r="M58" s="714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  <c r="AA58" s="420">
        <f t="shared" si="1"/>
        <v>57</v>
      </c>
      <c r="AB58" s="435" t="s">
        <v>57</v>
      </c>
      <c r="AC58" s="422" t="s">
        <v>394</v>
      </c>
      <c r="AD58" s="422" t="s">
        <v>326</v>
      </c>
      <c r="AE58" s="422">
        <v>21.571428571428601</v>
      </c>
      <c r="AF58" s="422">
        <f>'SSS1 ATTENDANCE '!FJ64</f>
        <v>128</v>
      </c>
      <c r="AG58" s="422">
        <f>'SSS1 ATTENDANCE '!FH64</f>
        <v>114</v>
      </c>
      <c r="AH58" s="422">
        <f>'SSS1 ATTENDANCE '!FI64</f>
        <v>14</v>
      </c>
      <c r="AI58" s="436" t="s">
        <v>630</v>
      </c>
      <c r="AJ58" s="437">
        <v>41122</v>
      </c>
      <c r="AK58" s="435" t="s">
        <v>396</v>
      </c>
      <c r="AL58" s="424">
        <v>25</v>
      </c>
      <c r="AM58" s="422">
        <v>54.678571428571402</v>
      </c>
      <c r="AN58" s="438">
        <v>4</v>
      </c>
      <c r="AO58" s="422" t="str">
        <f t="shared" si="64"/>
        <v>5</v>
      </c>
      <c r="AP58" s="438">
        <v>5</v>
      </c>
      <c r="AQ58" s="422">
        <v>4</v>
      </c>
      <c r="AR58" s="438">
        <v>4</v>
      </c>
      <c r="AS58" s="438">
        <v>4</v>
      </c>
      <c r="AT58" s="438">
        <v>4</v>
      </c>
      <c r="AU58" s="438">
        <v>3</v>
      </c>
      <c r="AV58" s="438">
        <v>4</v>
      </c>
      <c r="AW58" s="438">
        <v>4</v>
      </c>
      <c r="AX58" s="438">
        <v>3</v>
      </c>
      <c r="AY58" s="438">
        <v>4</v>
      </c>
      <c r="AZ58" s="438">
        <v>3</v>
      </c>
      <c r="BA58" s="438">
        <v>3</v>
      </c>
      <c r="BB58" s="438">
        <v>3</v>
      </c>
      <c r="BC58" s="438">
        <v>4</v>
      </c>
      <c r="BD58" s="438">
        <v>4</v>
      </c>
      <c r="BE58" s="438">
        <v>4</v>
      </c>
      <c r="BF58" s="438">
        <v>3</v>
      </c>
      <c r="BG58" s="438">
        <v>3</v>
      </c>
      <c r="BH58" s="438">
        <v>3</v>
      </c>
      <c r="BI58" s="438">
        <v>5</v>
      </c>
      <c r="BJ58" s="438">
        <v>4</v>
      </c>
      <c r="BK58" s="438">
        <v>3</v>
      </c>
      <c r="BL58" s="438">
        <v>5</v>
      </c>
      <c r="BM58" s="438">
        <v>3</v>
      </c>
      <c r="BN58" s="422" t="s">
        <v>456</v>
      </c>
      <c r="BO58" s="422">
        <v>7.3214285714285801</v>
      </c>
      <c r="BP58" s="422">
        <v>-188.75</v>
      </c>
      <c r="BQ58" s="422">
        <v>100</v>
      </c>
      <c r="BR58" s="438" t="s">
        <v>749</v>
      </c>
      <c r="BS58" s="422">
        <v>7.3214285714285801</v>
      </c>
      <c r="BT58" s="422">
        <v>-130.53571428571399</v>
      </c>
      <c r="BU58" s="422">
        <v>100</v>
      </c>
      <c r="BV58" s="438" t="s">
        <v>749</v>
      </c>
      <c r="BW58" s="422">
        <v>7.3214285714285801</v>
      </c>
      <c r="BX58" s="422">
        <v>-127.678571428571</v>
      </c>
      <c r="BY58" s="422">
        <v>100</v>
      </c>
      <c r="BZ58" s="422" t="str">
        <f t="shared" ref="BZ58" si="474">BV58</f>
        <v>Grades</v>
      </c>
      <c r="CA58" s="422">
        <v>7.3214285714285801</v>
      </c>
      <c r="CB58" s="422">
        <v>-136.07142857142901</v>
      </c>
      <c r="CC58" s="422">
        <v>100</v>
      </c>
      <c r="CD58" s="422" t="str">
        <f t="shared" ref="CD58" si="475">BZ58</f>
        <v>Grades</v>
      </c>
      <c r="CE58" s="422">
        <f t="shared" ref="CE58" si="476">CA58</f>
        <v>7.3214285714285801</v>
      </c>
      <c r="CF58" s="422">
        <v>-128.57142857142901</v>
      </c>
      <c r="CG58" s="422">
        <v>100</v>
      </c>
      <c r="CH58" s="422" t="str">
        <f t="shared" ref="CH58" si="477">CD58</f>
        <v>Grades</v>
      </c>
      <c r="CI58" s="422">
        <v>7.3214285714285801</v>
      </c>
      <c r="CJ58" s="422">
        <v>-56.535714285714299</v>
      </c>
      <c r="CK58" s="422">
        <v>100</v>
      </c>
      <c r="CL58" s="422" t="str">
        <f t="shared" ref="CL58" si="478">CH58</f>
        <v>Grades</v>
      </c>
      <c r="CM58" s="422">
        <v>7.3214285714285801</v>
      </c>
      <c r="CN58" s="422">
        <v>60</v>
      </c>
      <c r="CO58" s="422"/>
      <c r="CP58" s="422">
        <v>40</v>
      </c>
      <c r="CQ58" s="422">
        <v>33.008620689655203</v>
      </c>
      <c r="CR58" s="422">
        <v>100</v>
      </c>
      <c r="CS58" s="438" t="str">
        <f t="shared" ref="CS58" si="479">CL58</f>
        <v>Grades</v>
      </c>
      <c r="CT58" s="422">
        <v>-11.0526315789474</v>
      </c>
      <c r="CU58" s="422">
        <v>-144.21052631578999</v>
      </c>
      <c r="CV58" s="422">
        <v>100</v>
      </c>
      <c r="CW58" s="438" t="str">
        <f t="shared" ref="CW58" si="480">CS58</f>
        <v>Grades</v>
      </c>
      <c r="CX58" s="422">
        <v>-20.8333333333333</v>
      </c>
      <c r="CY58" s="422">
        <v>-136.07142857142901</v>
      </c>
      <c r="CZ58" s="422">
        <v>100</v>
      </c>
      <c r="DA58" s="438" t="str">
        <f t="shared" ref="DA58" si="481">CW58</f>
        <v>Grades</v>
      </c>
      <c r="DB58" s="422">
        <v>-120</v>
      </c>
      <c r="DC58" s="422">
        <v>-103.392857142857</v>
      </c>
      <c r="DD58" s="422">
        <v>100</v>
      </c>
      <c r="DE58" s="422" t="str">
        <f t="shared" ref="DE58" si="482">DA58</f>
        <v>Grades</v>
      </c>
      <c r="DF58" s="422">
        <v>40</v>
      </c>
      <c r="DG58" s="422">
        <v>-136.07142857142901</v>
      </c>
      <c r="DH58" s="422">
        <v>100</v>
      </c>
      <c r="DI58" s="422" t="str">
        <f t="shared" ref="DI58" si="483">DE58</f>
        <v>Grades</v>
      </c>
      <c r="DJ58" s="422">
        <v>-40</v>
      </c>
      <c r="DK58" s="422">
        <v>37.821428571428598</v>
      </c>
      <c r="DL58" s="422">
        <v>100</v>
      </c>
      <c r="DM58" s="422" t="str">
        <f t="shared" ref="DM58" si="484">DI58</f>
        <v>Grades</v>
      </c>
      <c r="DN58" s="422">
        <v>-40</v>
      </c>
      <c r="DO58" s="422">
        <v>14.25</v>
      </c>
      <c r="DP58" s="422">
        <v>100</v>
      </c>
      <c r="DQ58" s="438" t="str">
        <f t="shared" ref="DQ58" si="485">DM58</f>
        <v>Grades</v>
      </c>
      <c r="DR58" s="422">
        <v>-200</v>
      </c>
      <c r="DS58" s="422">
        <v>-106.178571428571</v>
      </c>
      <c r="DT58" s="422">
        <v>100</v>
      </c>
      <c r="DU58" s="438" t="str">
        <f t="shared" ref="DU58" si="486">DQ58</f>
        <v>Grades</v>
      </c>
      <c r="DV58" s="422">
        <v>-40</v>
      </c>
      <c r="DW58" s="422">
        <v>43.357142857142797</v>
      </c>
      <c r="DX58" s="422">
        <v>100</v>
      </c>
      <c r="DY58" s="438" t="str">
        <f t="shared" ref="DY58" si="487">DU58</f>
        <v>Grades</v>
      </c>
      <c r="DZ58" s="422">
        <v>40</v>
      </c>
      <c r="EA58" s="422">
        <v>2.25</v>
      </c>
      <c r="EB58" s="422">
        <v>100</v>
      </c>
      <c r="EC58" s="438" t="str">
        <f t="shared" ref="EC58" si="488">DY58</f>
        <v>Grades</v>
      </c>
      <c r="ED58" s="422">
        <f t="shared" si="63"/>
        <v>1600</v>
      </c>
      <c r="EE58" s="422">
        <f t="shared" si="100"/>
        <v>100</v>
      </c>
      <c r="EF58" s="438" t="str">
        <f t="shared" si="101"/>
        <v>A1</v>
      </c>
      <c r="EG58" s="422" t="str">
        <f t="shared" si="102"/>
        <v>DISTINTION</v>
      </c>
      <c r="EH58" s="439">
        <v>1</v>
      </c>
      <c r="EI58" s="422">
        <f t="shared" si="103"/>
        <v>1600</v>
      </c>
      <c r="EJ58" s="440">
        <f t="shared" si="104"/>
        <v>1</v>
      </c>
      <c r="EK58" s="438" t="s">
        <v>573</v>
      </c>
      <c r="EL58" s="438" t="s">
        <v>762</v>
      </c>
    </row>
    <row r="59" spans="1:142" ht="30">
      <c r="A59" s="781"/>
      <c r="B59" s="691" t="s">
        <v>391</v>
      </c>
      <c r="C59" s="692"/>
      <c r="D59" s="692"/>
      <c r="E59" s="693"/>
      <c r="F59" s="702" t="e">
        <f>VLOOKUP(D19,AB:EL,114,FALSE)</f>
        <v>#N/A</v>
      </c>
      <c r="G59" s="703"/>
      <c r="H59" s="703"/>
      <c r="I59" s="703"/>
      <c r="J59" s="703"/>
      <c r="K59" s="703"/>
      <c r="L59" s="704"/>
      <c r="M59" s="714"/>
      <c r="N59" s="753" t="s">
        <v>392</v>
      </c>
      <c r="O59" s="754"/>
      <c r="P59" s="715"/>
      <c r="Q59" s="716"/>
      <c r="R59" s="716"/>
      <c r="S59" s="716"/>
      <c r="T59" s="716"/>
      <c r="U59" s="717"/>
      <c r="V59" s="376"/>
      <c r="W59" s="376"/>
      <c r="X59" s="376"/>
      <c r="Y59" s="376"/>
      <c r="Z59" s="376"/>
      <c r="AA59" s="420">
        <f t="shared" si="1"/>
        <v>58</v>
      </c>
      <c r="AB59" s="435" t="s">
        <v>58</v>
      </c>
      <c r="AC59" s="422" t="s">
        <v>394</v>
      </c>
      <c r="AD59" s="422" t="s">
        <v>326</v>
      </c>
      <c r="AE59" s="422">
        <v>21.714285714285701</v>
      </c>
      <c r="AF59" s="422">
        <f>'SSS1 ATTENDANCE '!FJ65</f>
        <v>128</v>
      </c>
      <c r="AG59" s="422">
        <f>'SSS1 ATTENDANCE '!FH65</f>
        <v>106</v>
      </c>
      <c r="AH59" s="422">
        <f>'SSS1 ATTENDANCE '!FI65</f>
        <v>22</v>
      </c>
      <c r="AI59" s="436" t="s">
        <v>631</v>
      </c>
      <c r="AJ59" s="437">
        <v>40844</v>
      </c>
      <c r="AK59" s="435" t="s">
        <v>396</v>
      </c>
      <c r="AL59" s="424">
        <v>25</v>
      </c>
      <c r="AM59" s="422">
        <v>55.214285714285701</v>
      </c>
      <c r="AN59" s="438">
        <v>4</v>
      </c>
      <c r="AO59" s="422" t="str">
        <f t="shared" si="64"/>
        <v>5</v>
      </c>
      <c r="AP59" s="438">
        <v>5</v>
      </c>
      <c r="AQ59" s="422">
        <v>4</v>
      </c>
      <c r="AR59" s="438">
        <v>4</v>
      </c>
      <c r="AS59" s="438">
        <v>4</v>
      </c>
      <c r="AT59" s="438">
        <v>4</v>
      </c>
      <c r="AU59" s="438">
        <v>3</v>
      </c>
      <c r="AV59" s="438">
        <v>4</v>
      </c>
      <c r="AW59" s="438">
        <v>4</v>
      </c>
      <c r="AX59" s="438">
        <v>3</v>
      </c>
      <c r="AY59" s="438">
        <v>4</v>
      </c>
      <c r="AZ59" s="438">
        <v>3</v>
      </c>
      <c r="BA59" s="438">
        <v>3</v>
      </c>
      <c r="BB59" s="438">
        <v>3</v>
      </c>
      <c r="BC59" s="438">
        <v>4</v>
      </c>
      <c r="BD59" s="438">
        <v>4</v>
      </c>
      <c r="BE59" s="438">
        <v>4</v>
      </c>
      <c r="BF59" s="438">
        <v>3</v>
      </c>
      <c r="BG59" s="438">
        <v>3</v>
      </c>
      <c r="BH59" s="438">
        <v>3</v>
      </c>
      <c r="BI59" s="438">
        <v>5</v>
      </c>
      <c r="BJ59" s="438">
        <v>4</v>
      </c>
      <c r="BK59" s="438">
        <v>3</v>
      </c>
      <c r="BL59" s="438">
        <v>5</v>
      </c>
      <c r="BM59" s="438">
        <v>3</v>
      </c>
      <c r="BN59" s="422" t="s">
        <v>457</v>
      </c>
      <c r="BO59" s="438">
        <v>6.7857142857142803</v>
      </c>
      <c r="BP59" s="438">
        <v>-192.92857142857099</v>
      </c>
      <c r="BQ59" s="422">
        <f t="shared" ref="BQ59:BQ64" si="489">SUM(BO59:BP59)</f>
        <v>-186.14285714285671</v>
      </c>
      <c r="BR59" s="438" t="str">
        <f t="shared" ref="BR59:BR64" si="490">IF(BQ59&gt;=80,"A1",
IF(BQ59&gt;=75,"A",
IF(BQ59&gt;=70,"B2",
IF(BQ59&gt;=65,"B3",
IF(BQ59&gt;=60,"C4",
IF(BQ59&gt;=55,"C5",
IF(BQ59&gt;=50,"C6",
IF(BQ59&gt;=45,"D7",
IF(BQ59&gt;=40,"E8",
IF(BQ59&gt;=1,"F9",""))))))))))</f>
        <v/>
      </c>
      <c r="BS59" s="422">
        <v>6.7857142857142803</v>
      </c>
      <c r="BT59" s="438">
        <v>-133.78571428571399</v>
      </c>
      <c r="BU59" s="422">
        <f t="shared" ref="BU59:BU64" si="491">SUM(BS59:BT59)</f>
        <v>-126.99999999999972</v>
      </c>
      <c r="BV59" s="438" t="str">
        <f t="shared" ref="BV59:BV64" si="492">IF(BU59&gt;=80,"A1",
IF(BU59&gt;=75,"A",
IF(BU59&gt;=70,"B2",
IF(BU59&gt;=65,"B3",
IF(BU59&gt;=60,"C4",
IF(BU59&gt;=55,"C5",
IF(BU59&gt;=50,"C6",
IF(BU59&gt;=45,"D7",
IF(BU59&gt;=40,"E8",
IF(BU59&gt;=1,"F9",""))))))))))</f>
        <v/>
      </c>
      <c r="BW59" s="422">
        <v>6.7857142857142803</v>
      </c>
      <c r="BX59" s="422">
        <v>-130.78571428571399</v>
      </c>
      <c r="BY59" s="422">
        <f t="shared" ref="BY59:BY64" si="493">SUM(BW59:BX59)</f>
        <v>-123.99999999999972</v>
      </c>
      <c r="BZ59" s="438" t="str">
        <f t="shared" ref="BZ59:BZ64" si="494">IF(BY59&gt;=80,"A1",
IF(BY59&gt;=75,"A",
IF(BY59&gt;=70,"B2",
IF(BY59&gt;=65,"B3",
IF(BY59&gt;=60,"C4",
IF(BY59&gt;=55,"C5",
IF(BY59&gt;=50,"C6",
IF(BY59&gt;=45,"D7",
IF(BY59&gt;=40,"E8",
IF(BY59&gt;=1,"F9",""))))))))))</f>
        <v/>
      </c>
      <c r="CA59" s="422">
        <v>6.7857142857142803</v>
      </c>
      <c r="CB59" s="422">
        <v>-139.28571428571499</v>
      </c>
      <c r="CC59" s="422">
        <f t="shared" ref="CC59:CC64" si="495">SUM(CA59:CB59)</f>
        <v>-132.50000000000071</v>
      </c>
      <c r="CD59" s="438" t="str">
        <f t="shared" ref="CD59:CD64" si="496">IF(CC59&gt;=80,"A1",
IF(CC59&gt;=75,"A",
IF(CC59&gt;=70,"B2",
IF(CC59&gt;=65,"B3",
IF(CC59&gt;=60,"C4",
IF(CC59&gt;=55,"C5",
IF(CC59&gt;=50,"C6",
IF(CC59&gt;=45,"D7",
IF(CC59&gt;=40,"E8",
IF(CC59&gt;=1,"F9",""))))))))))</f>
        <v/>
      </c>
      <c r="CE59" s="422">
        <v>35</v>
      </c>
      <c r="CF59" s="422">
        <v>-131.71428571428601</v>
      </c>
      <c r="CG59" s="422">
        <f t="shared" ref="CG59:CG64" si="497">SUM(CE59:CF59)</f>
        <v>-96.714285714286007</v>
      </c>
      <c r="CH59" s="438" t="str">
        <f t="shared" ref="CH59:CH64" si="498">IF(CG59&gt;=80,"A1",
IF(CG59&gt;=75,"A",
IF(CG59&gt;=70,"B2",
IF(CG59&gt;=65,"B3",
IF(CG59&gt;=60,"C4",
IF(CG59&gt;=55,"C5",
IF(CG59&gt;=50,"C6",
IF(CG59&gt;=45,"D7",
IF(CG59&gt;=40,"E8",
IF(CG59&gt;=1,"F9",""))))))))))</f>
        <v/>
      </c>
      <c r="CI59" s="422">
        <v>6.7857142857142803</v>
      </c>
      <c r="CJ59" s="422">
        <v>-58.357142857143302</v>
      </c>
      <c r="CK59" s="422">
        <f t="shared" ref="CK59:CK64" si="499">SUM(CI59:CJ59)</f>
        <v>-51.571428571429024</v>
      </c>
      <c r="CL59" s="438" t="str">
        <f t="shared" ref="CL59:CL64" si="500">IF(CK59&gt;=80,"A1",
IF(CK59&gt;=75,"A",
IF(CK59&gt;=70,"B2",
IF(CK59&gt;=65,"B3",
IF(CK59&gt;=60,"C4",
IF(CK59&gt;=55,"C5",
IF(CK59&gt;=50,"C6",
IF(CK59&gt;=45,"D7",
IF(CK59&gt;=40,"E8",
IF(CK59&gt;=1,"F9",""))))))))))</f>
        <v/>
      </c>
      <c r="CM59" s="422">
        <v>6.7857142857142803</v>
      </c>
      <c r="CN59" s="422"/>
      <c r="CO59" s="422"/>
      <c r="CP59" s="422">
        <f t="shared" ref="CP59:CP60" si="501">CM59</f>
        <v>6.7857142857142803</v>
      </c>
      <c r="CQ59" s="422">
        <v>32.724137931034498</v>
      </c>
      <c r="CR59" s="422">
        <f t="shared" ref="CR59:CR64" si="502">SUM(CP59:CQ59)</f>
        <v>39.509852216748776</v>
      </c>
      <c r="CS59" s="438" t="str">
        <f t="shared" ref="CS59:CS64" si="503">IF(CR59&gt;=80,"A1",
IF(CR59&gt;=75,"A",
IF(CR59&gt;=70,"B2",
IF(CR59&gt;=65,"B3",
IF(CR59&gt;=60,"C4",
IF(CR59&gt;=55,"C5",
IF(CR59&gt;=50,"C6",
IF(CR59&gt;=45,"D7",
IF(CR59&gt;=40,"E8",
IF(CR59&gt;=1,"F9",""))))))))))</f>
        <v>F9</v>
      </c>
      <c r="CT59" s="422">
        <v>-12.1052631578948</v>
      </c>
      <c r="CU59" s="422">
        <v>-148.42105263157899</v>
      </c>
      <c r="CV59" s="422">
        <f t="shared" ref="CV59:CV64" si="504">SUM(CT59:CU59)</f>
        <v>-160.52631578947378</v>
      </c>
      <c r="CW59" s="438" t="str">
        <f t="shared" ref="CW59:CW64" si="505">IF(CV59&gt;=80,"A1",
IF(CV59&gt;=75,"A",
IF(CV59&gt;=70,"B2",
IF(CV59&gt;=65,"B3",
IF(CV59&gt;=60,"C4",
IF(CV59&gt;=55,"C5",
IF(CV59&gt;=50,"C6",
IF(CV59&gt;=45,"D7",
IF(CV59&gt;=40,"E8",
IF(CV59&gt;=1,"F9",""))))))))))</f>
        <v/>
      </c>
      <c r="CX59" s="422">
        <v>-23.3333333333333</v>
      </c>
      <c r="CY59" s="422">
        <v>-139.28571428571499</v>
      </c>
      <c r="CZ59" s="422">
        <f t="shared" ref="CZ59:CZ64" si="506">SUM(CX59:CY59)</f>
        <v>-162.61904761904827</v>
      </c>
      <c r="DA59" s="438" t="str">
        <f t="shared" ref="DA59:DA64" si="507">IF(CZ59&gt;=80,"A1",
IF(CZ59&gt;=75,"A",
IF(CZ59&gt;=70,"B2",
IF(CZ59&gt;=65,"B3",
IF(CZ59&gt;=60,"C4",
IF(CZ59&gt;=55,"C5",
IF(CZ59&gt;=50,"C6",
IF(CZ59&gt;=45,"D7",
IF(CZ59&gt;=40,"E8",
IF(CZ59&gt;=1,"F9",""))))))))))</f>
        <v/>
      </c>
      <c r="DB59" s="422">
        <v>-130</v>
      </c>
      <c r="DC59" s="422">
        <v>-106.071428571428</v>
      </c>
      <c r="DD59" s="422">
        <f t="shared" ref="DD59:DD64" si="508">SUM(DB59:DC59)</f>
        <v>-236.07142857142799</v>
      </c>
      <c r="DE59" s="422" t="str">
        <f t="shared" ref="DE59:DE64" si="509">IF(DD59&gt;=80,"A1",
IF(DD59&gt;=75,"A",
IF(DD59&gt;=70,"B2",
IF(DD59&gt;=65,"B3",
IF(DD59&gt;=60,"C4",
IF(DD59&gt;=55,"C5",
IF(DD59&gt;=50,"C6",
IF(DD59&gt;=45,"D7",
IF(DD59&gt;=40,"E8",
IF(DD59&gt;=1,"F9",""))))))))))</f>
        <v/>
      </c>
      <c r="DF59" s="422">
        <f t="shared" ref="DF59:DF64" si="510">DB59</f>
        <v>-130</v>
      </c>
      <c r="DG59" s="422">
        <v>-139.28571428571499</v>
      </c>
      <c r="DH59" s="422">
        <f t="shared" ref="DH59:DH64" si="511">SUM(DF59:DG59)</f>
        <v>-269.28571428571502</v>
      </c>
      <c r="DI59" s="422" t="str">
        <f t="shared" ref="DI59:DI64" si="512">IF(DH59&gt;=80,"A1",
IF(DH59&gt;=75,"A",
IF(DH59&gt;=70,"B2",
IF(DH59&gt;=65,"B3",
IF(DH59&gt;=60,"C4",
IF(DH59&gt;=55,"C5",
IF(DH59&gt;=50,"C6",
IF(DH59&gt;=45,"D7",
IF(DH59&gt;=40,"E8",
IF(DH59&gt;=1,"F9",""))))))))))</f>
        <v/>
      </c>
      <c r="DJ59" s="422">
        <v>-45</v>
      </c>
      <c r="DK59" s="422">
        <v>37.642857142857103</v>
      </c>
      <c r="DL59" s="422">
        <f t="shared" ref="DL59:DL64" si="513">SUM(DJ59:DK59)</f>
        <v>-7.3571428571428967</v>
      </c>
      <c r="DM59" s="422" t="str">
        <f t="shared" ref="DM59:DM64" si="514">IF(DL59&gt;=80,"A1",
IF(DL59&gt;=75,"A",
IF(DL59&gt;=70,"B2",
IF(DL59&gt;=65,"B3",
IF(DL59&gt;=60,"C4",
IF(DL59&gt;=55,"C5",
IF(DL59&gt;=50,"C6",
IF(DL59&gt;=45,"D7",
IF(DL59&gt;=40,"E8",
IF(DL59&gt;=1,"F9",""))))))))))</f>
        <v/>
      </c>
      <c r="DN59" s="422">
        <v>-45</v>
      </c>
      <c r="DO59" s="422">
        <v>13.6428571428571</v>
      </c>
      <c r="DP59" s="422">
        <f t="shared" ref="DP59:DP64" si="515">SUM(DN59:DO59)</f>
        <v>-31.3571428571429</v>
      </c>
      <c r="DQ59" s="438" t="str">
        <f t="shared" ref="DQ59:DQ64" si="516">IF(DP59&gt;=80,"A1",
IF(DP59&gt;=75,"A",
IF(DP59&gt;=70,"B2",
IF(DP59&gt;=65,"B3",
IF(DP59&gt;=60,"C4",
IF(DP59&gt;=55,"C5",
IF(DP59&gt;=50,"C6",
IF(DP59&gt;=45,"D7",
IF(DP59&gt;=40,"E8",
IF(DP59&gt;=1,"F9",""))))))))))</f>
        <v/>
      </c>
      <c r="DR59" s="422">
        <v>-215</v>
      </c>
      <c r="DS59" s="422">
        <v>-108.78571428571399</v>
      </c>
      <c r="DT59" s="422">
        <f t="shared" ref="DT59:DT64" si="517">SUM(DR59:DS59)</f>
        <v>-323.78571428571399</v>
      </c>
      <c r="DU59" s="438" t="str">
        <f t="shared" ref="DU59:DU64" si="518">IF(DT59&gt;=80,"A1",
IF(DT59&gt;=75,"A",
IF(DT59&gt;=70,"B2",
IF(DT59&gt;=65,"B3",
IF(DT59&gt;=60,"C4",
IF(DT59&gt;=55,"C5",
IF(DT59&gt;=50,"C6",
IF(DT59&gt;=45,"D7",
IF(DT59&gt;=40,"E8",
IF(DT59&gt;=1,"F9",""))))))))))</f>
        <v/>
      </c>
      <c r="DV59" s="422">
        <v>-45</v>
      </c>
      <c r="DW59" s="422">
        <v>43.285714285714299</v>
      </c>
      <c r="DX59" s="422">
        <f t="shared" ref="DX59:DX64" si="519">SUM(DV59:DW59)</f>
        <v>-1.7142857142857011</v>
      </c>
      <c r="DY59" s="438" t="str">
        <f t="shared" ref="DY59:DY64" si="520">IF(DX59&gt;=80,"A1",
IF(DX59&gt;=75,"A",
IF(DX59&gt;=70,"B2",
IF(DX59&gt;=65,"B3",
IF(DX59&gt;=60,"C4",
IF(DX59&gt;=55,"C5",
IF(DX59&gt;=50,"C6",
IF(DX59&gt;=45,"D7",
IF(DX59&gt;=40,"E8",
IF(DX59&gt;=1,"F9",""))))))))))</f>
        <v/>
      </c>
      <c r="DZ59" s="422">
        <f t="shared" ref="DZ59:DZ64" si="521">DV59</f>
        <v>-45</v>
      </c>
      <c r="EA59" s="422">
        <v>1.5</v>
      </c>
      <c r="EB59" s="422">
        <f t="shared" ref="EB59:EB64" si="522">SUM(DZ59:EA59)</f>
        <v>-43.5</v>
      </c>
      <c r="EC59" s="438" t="str">
        <f t="shared" ref="EC59:EC64" si="523">IF(EB59&gt;=80,"A1",
IF(EB59&gt;=75,"A",
IF(EB59&gt;=70,"B2",
IF(EB59&gt;=65,"B3",
IF(EB59&gt;=60,"C4",
IF(EB59&gt;=55,"C5",
IF(EB59&gt;=50,"C6",
IF(EB59&gt;=45,"D7",
IF(EB59&gt;=40,"E8",
IF(EB59&gt;=1,"F9",""))))))))))</f>
        <v/>
      </c>
      <c r="ED59" s="422">
        <f t="shared" si="63"/>
        <v>-1914.635511191774</v>
      </c>
      <c r="EE59" s="422">
        <f t="shared" si="100"/>
        <v>-119.66471944948587</v>
      </c>
      <c r="EF59" s="438" t="str">
        <f t="shared" si="101"/>
        <v/>
      </c>
      <c r="EG59" s="422" t="str">
        <f t="shared" si="102"/>
        <v/>
      </c>
      <c r="EH59" s="439">
        <v>1</v>
      </c>
      <c r="EI59" s="422">
        <f t="shared" si="103"/>
        <v>-1914.635511191774</v>
      </c>
      <c r="EJ59" s="440">
        <f t="shared" si="104"/>
        <v>-1.1966471944948587</v>
      </c>
      <c r="EK59" s="438" t="s">
        <v>573</v>
      </c>
      <c r="EL59" s="438" t="s">
        <v>762</v>
      </c>
    </row>
    <row r="60" spans="1:142" ht="30.75" thickBot="1">
      <c r="A60" s="781"/>
      <c r="B60" s="694"/>
      <c r="C60" s="695"/>
      <c r="D60" s="695"/>
      <c r="E60" s="696"/>
      <c r="F60" s="705"/>
      <c r="G60" s="706"/>
      <c r="H60" s="706"/>
      <c r="I60" s="706"/>
      <c r="J60" s="706"/>
      <c r="K60" s="706"/>
      <c r="L60" s="707"/>
      <c r="M60" s="714"/>
      <c r="N60" s="755"/>
      <c r="O60" s="756"/>
      <c r="P60" s="718"/>
      <c r="Q60" s="719"/>
      <c r="R60" s="719"/>
      <c r="S60" s="719"/>
      <c r="T60" s="719"/>
      <c r="U60" s="720"/>
      <c r="V60" s="376"/>
      <c r="W60" s="376"/>
      <c r="X60" s="376"/>
      <c r="Y60" s="376"/>
      <c r="Z60" s="376"/>
      <c r="AA60" s="420">
        <f t="shared" si="1"/>
        <v>59</v>
      </c>
      <c r="AB60" s="435" t="s">
        <v>59</v>
      </c>
      <c r="AC60" s="422" t="s">
        <v>394</v>
      </c>
      <c r="AD60" s="422" t="s">
        <v>326</v>
      </c>
      <c r="AE60" s="422">
        <v>21.8571428571429</v>
      </c>
      <c r="AF60" s="422">
        <f>'SSS1 ATTENDANCE '!FJ66</f>
        <v>128</v>
      </c>
      <c r="AG60" s="422">
        <f>'SSS1 ATTENDANCE '!FH66</f>
        <v>118</v>
      </c>
      <c r="AH60" s="422">
        <f>'SSS1 ATTENDANCE '!FI66</f>
        <v>10</v>
      </c>
      <c r="AI60" s="436" t="s">
        <v>632</v>
      </c>
      <c r="AJ60" s="437">
        <v>40754</v>
      </c>
      <c r="AK60" s="435" t="s">
        <v>396</v>
      </c>
      <c r="AL60" s="424">
        <v>25</v>
      </c>
      <c r="AM60" s="422">
        <v>55.75</v>
      </c>
      <c r="AN60" s="438">
        <v>4</v>
      </c>
      <c r="AO60" s="422" t="str">
        <f t="shared" si="64"/>
        <v>5</v>
      </c>
      <c r="AP60" s="438">
        <v>5</v>
      </c>
      <c r="AQ60" s="422">
        <v>4</v>
      </c>
      <c r="AR60" s="438">
        <v>4</v>
      </c>
      <c r="AS60" s="438">
        <v>4</v>
      </c>
      <c r="AT60" s="438">
        <v>4</v>
      </c>
      <c r="AU60" s="438">
        <v>3</v>
      </c>
      <c r="AV60" s="438">
        <v>4</v>
      </c>
      <c r="AW60" s="438">
        <v>4</v>
      </c>
      <c r="AX60" s="438">
        <v>3</v>
      </c>
      <c r="AY60" s="438">
        <v>4</v>
      </c>
      <c r="AZ60" s="438">
        <v>3</v>
      </c>
      <c r="BA60" s="438">
        <v>3</v>
      </c>
      <c r="BB60" s="438">
        <v>3</v>
      </c>
      <c r="BC60" s="438">
        <v>4</v>
      </c>
      <c r="BD60" s="438">
        <v>4</v>
      </c>
      <c r="BE60" s="438">
        <v>4</v>
      </c>
      <c r="BF60" s="438">
        <v>3</v>
      </c>
      <c r="BG60" s="438">
        <v>3</v>
      </c>
      <c r="BH60" s="438">
        <v>3</v>
      </c>
      <c r="BI60" s="438">
        <v>5</v>
      </c>
      <c r="BJ60" s="438">
        <v>4</v>
      </c>
      <c r="BK60" s="438">
        <v>3</v>
      </c>
      <c r="BL60" s="438">
        <v>5</v>
      </c>
      <c r="BM60" s="438">
        <v>3</v>
      </c>
      <c r="BN60" s="422" t="s">
        <v>458</v>
      </c>
      <c r="BO60" s="438">
        <v>6.2499999999999796</v>
      </c>
      <c r="BP60" s="438">
        <v>-197.107142857143</v>
      </c>
      <c r="BQ60" s="422">
        <f t="shared" si="489"/>
        <v>-190.85714285714303</v>
      </c>
      <c r="BR60" s="438" t="str">
        <f t="shared" si="490"/>
        <v/>
      </c>
      <c r="BS60" s="422">
        <v>6.2499999999999796</v>
      </c>
      <c r="BT60" s="438">
        <v>-137.03571428571399</v>
      </c>
      <c r="BU60" s="422">
        <f t="shared" si="491"/>
        <v>-130.78571428571402</v>
      </c>
      <c r="BV60" s="438" t="str">
        <f t="shared" si="492"/>
        <v/>
      </c>
      <c r="BW60" s="422">
        <v>6.2499999999999796</v>
      </c>
      <c r="BX60" s="422">
        <v>-133.892857142857</v>
      </c>
      <c r="BY60" s="422">
        <f t="shared" si="493"/>
        <v>-127.64285714285701</v>
      </c>
      <c r="BZ60" s="438" t="str">
        <f t="shared" si="494"/>
        <v/>
      </c>
      <c r="CA60" s="422">
        <v>6.2499999999999796</v>
      </c>
      <c r="CB60" s="422">
        <v>-142.50000000000099</v>
      </c>
      <c r="CC60" s="422">
        <f t="shared" si="495"/>
        <v>-136.25000000000102</v>
      </c>
      <c r="CD60" s="438" t="str">
        <f t="shared" si="496"/>
        <v/>
      </c>
      <c r="CE60" s="422">
        <v>35</v>
      </c>
      <c r="CF60" s="422">
        <v>-134.857142857143</v>
      </c>
      <c r="CG60" s="422">
        <f t="shared" si="497"/>
        <v>-99.857142857143003</v>
      </c>
      <c r="CH60" s="438" t="str">
        <f t="shared" si="498"/>
        <v/>
      </c>
      <c r="CI60" s="422">
        <v>6.2499999999999796</v>
      </c>
      <c r="CJ60" s="422">
        <v>-60.178571428571303</v>
      </c>
      <c r="CK60" s="422">
        <f t="shared" si="499"/>
        <v>-53.928571428571324</v>
      </c>
      <c r="CL60" s="438" t="str">
        <f t="shared" si="500"/>
        <v/>
      </c>
      <c r="CM60" s="422">
        <v>6.2499999999999796</v>
      </c>
      <c r="CN60" s="422"/>
      <c r="CO60" s="422"/>
      <c r="CP60" s="422">
        <f t="shared" si="501"/>
        <v>6.2499999999999796</v>
      </c>
      <c r="CQ60" s="422">
        <v>32.4396551724139</v>
      </c>
      <c r="CR60" s="422">
        <f t="shared" si="502"/>
        <v>38.689655172413879</v>
      </c>
      <c r="CS60" s="438" t="str">
        <f t="shared" si="503"/>
        <v>F9</v>
      </c>
      <c r="CT60" s="422">
        <v>-13.1578947368422</v>
      </c>
      <c r="CU60" s="422">
        <v>-152.63157894736901</v>
      </c>
      <c r="CV60" s="422">
        <f t="shared" si="504"/>
        <v>-165.7894736842112</v>
      </c>
      <c r="CW60" s="438" t="str">
        <f t="shared" si="505"/>
        <v/>
      </c>
      <c r="CX60" s="422">
        <v>-25.8333333333333</v>
      </c>
      <c r="CY60" s="422">
        <v>-142.50000000000099</v>
      </c>
      <c r="CZ60" s="422">
        <f t="shared" si="506"/>
        <v>-168.33333333333428</v>
      </c>
      <c r="DA60" s="438" t="str">
        <f t="shared" si="507"/>
        <v/>
      </c>
      <c r="DB60" s="422">
        <f t="shared" ref="DB60:DB64" si="524">CX60</f>
        <v>-25.8333333333333</v>
      </c>
      <c r="DC60" s="422">
        <v>-108.75</v>
      </c>
      <c r="DD60" s="422">
        <f t="shared" si="508"/>
        <v>-134.58333333333331</v>
      </c>
      <c r="DE60" s="422" t="str">
        <f t="shared" si="509"/>
        <v/>
      </c>
      <c r="DF60" s="422">
        <f t="shared" si="510"/>
        <v>-25.8333333333333</v>
      </c>
      <c r="DG60" s="422">
        <v>-142.50000000000099</v>
      </c>
      <c r="DH60" s="422">
        <f t="shared" si="511"/>
        <v>-168.33333333333428</v>
      </c>
      <c r="DI60" s="422" t="str">
        <f t="shared" si="512"/>
        <v/>
      </c>
      <c r="DJ60" s="422">
        <f t="shared" ref="DJ60:DJ64" si="525">DF60</f>
        <v>-25.8333333333333</v>
      </c>
      <c r="DK60" s="422">
        <v>37.464285714285701</v>
      </c>
      <c r="DL60" s="422">
        <f t="shared" si="513"/>
        <v>11.630952380952401</v>
      </c>
      <c r="DM60" s="422" t="str">
        <f t="shared" si="514"/>
        <v>F9</v>
      </c>
      <c r="DN60" s="422">
        <f t="shared" ref="DN60:DN64" si="526">DJ60</f>
        <v>-25.8333333333333</v>
      </c>
      <c r="DO60" s="422">
        <v>13.035714285714301</v>
      </c>
      <c r="DP60" s="422">
        <f t="shared" si="515"/>
        <v>-12.797619047618999</v>
      </c>
      <c r="DQ60" s="438" t="str">
        <f t="shared" si="516"/>
        <v/>
      </c>
      <c r="DR60" s="422">
        <f t="shared" ref="DR60:DR64" si="527">DN60</f>
        <v>-25.8333333333333</v>
      </c>
      <c r="DS60" s="422">
        <v>-111.392857142857</v>
      </c>
      <c r="DT60" s="422">
        <f t="shared" si="517"/>
        <v>-137.22619047619031</v>
      </c>
      <c r="DU60" s="438" t="str">
        <f t="shared" si="518"/>
        <v/>
      </c>
      <c r="DV60" s="422">
        <f t="shared" ref="DV60:DV64" si="528">DR60</f>
        <v>-25.8333333333333</v>
      </c>
      <c r="DW60" s="422">
        <v>43.214285714285701</v>
      </c>
      <c r="DX60" s="422">
        <f t="shared" si="519"/>
        <v>17.380952380952401</v>
      </c>
      <c r="DY60" s="438" t="str">
        <f t="shared" si="520"/>
        <v>F9</v>
      </c>
      <c r="DZ60" s="422">
        <f t="shared" si="521"/>
        <v>-25.8333333333333</v>
      </c>
      <c r="EA60" s="422">
        <v>0.75</v>
      </c>
      <c r="EB60" s="422">
        <f t="shared" si="522"/>
        <v>-25.0833333333333</v>
      </c>
      <c r="EC60" s="438" t="str">
        <f t="shared" si="523"/>
        <v/>
      </c>
      <c r="ED60" s="422">
        <f t="shared" si="63"/>
        <v>-1483.7664851784666</v>
      </c>
      <c r="EE60" s="422">
        <f t="shared" si="100"/>
        <v>-92.735405323654163</v>
      </c>
      <c r="EF60" s="438" t="str">
        <f t="shared" si="101"/>
        <v/>
      </c>
      <c r="EG60" s="422" t="str">
        <f t="shared" si="102"/>
        <v/>
      </c>
      <c r="EH60" s="439">
        <v>1</v>
      </c>
      <c r="EI60" s="422">
        <f t="shared" si="103"/>
        <v>-1483.7664851784666</v>
      </c>
      <c r="EJ60" s="440">
        <f t="shared" si="104"/>
        <v>-0.92735405323654163</v>
      </c>
      <c r="EK60" s="438" t="s">
        <v>573</v>
      </c>
      <c r="EL60" s="438" t="s">
        <v>762</v>
      </c>
    </row>
    <row r="61" spans="1:142" ht="31.5" customHeight="1">
      <c r="A61" s="781"/>
      <c r="B61" s="697" t="s">
        <v>389</v>
      </c>
      <c r="C61" s="698"/>
      <c r="D61" s="698"/>
      <c r="E61" s="698"/>
      <c r="F61" s="708" t="e">
        <f>VLOOKUP(D19,AB:EL,115,FALSE)</f>
        <v>#N/A</v>
      </c>
      <c r="G61" s="709"/>
      <c r="H61" s="709"/>
      <c r="I61" s="709"/>
      <c r="J61" s="709"/>
      <c r="K61" s="709"/>
      <c r="L61" s="710"/>
      <c r="M61" s="714"/>
      <c r="N61" s="757" t="s">
        <v>392</v>
      </c>
      <c r="O61" s="758"/>
      <c r="P61" s="715"/>
      <c r="Q61" s="716"/>
      <c r="R61" s="716"/>
      <c r="S61" s="716"/>
      <c r="T61" s="716"/>
      <c r="U61" s="717"/>
      <c r="V61" s="376"/>
      <c r="W61" s="376"/>
      <c r="X61" s="376"/>
      <c r="Y61" s="376"/>
      <c r="Z61" s="376"/>
      <c r="AA61" s="420">
        <f t="shared" si="1"/>
        <v>60</v>
      </c>
      <c r="AB61" s="435" t="s">
        <v>60</v>
      </c>
      <c r="AC61" s="422" t="s">
        <v>394</v>
      </c>
      <c r="AD61" s="422" t="s">
        <v>326</v>
      </c>
      <c r="AE61" s="422">
        <v>22</v>
      </c>
      <c r="AF61" s="422">
        <f>'SSS1 ATTENDANCE '!FJ67</f>
        <v>128</v>
      </c>
      <c r="AG61" s="422">
        <f>'SSS1 ATTENDANCE '!FH67</f>
        <v>94</v>
      </c>
      <c r="AH61" s="422">
        <f>'SSS1 ATTENDANCE '!FI67</f>
        <v>34</v>
      </c>
      <c r="AI61" s="436" t="s">
        <v>633</v>
      </c>
      <c r="AJ61" s="437">
        <v>40900</v>
      </c>
      <c r="AK61" s="435" t="s">
        <v>396</v>
      </c>
      <c r="AL61" s="424">
        <v>25</v>
      </c>
      <c r="AM61" s="422">
        <v>56.285714285714299</v>
      </c>
      <c r="AN61" s="438">
        <v>4</v>
      </c>
      <c r="AO61" s="422" t="str">
        <f t="shared" si="64"/>
        <v>4</v>
      </c>
      <c r="AP61" s="438">
        <v>5</v>
      </c>
      <c r="AQ61" s="422">
        <v>4</v>
      </c>
      <c r="AR61" s="438">
        <v>4</v>
      </c>
      <c r="AS61" s="438">
        <v>4</v>
      </c>
      <c r="AT61" s="438">
        <v>4</v>
      </c>
      <c r="AU61" s="438">
        <v>3</v>
      </c>
      <c r="AV61" s="438">
        <v>4</v>
      </c>
      <c r="AW61" s="438">
        <v>4</v>
      </c>
      <c r="AX61" s="438">
        <v>3</v>
      </c>
      <c r="AY61" s="438">
        <v>4</v>
      </c>
      <c r="AZ61" s="438">
        <v>3</v>
      </c>
      <c r="BA61" s="438">
        <v>3</v>
      </c>
      <c r="BB61" s="438">
        <v>3</v>
      </c>
      <c r="BC61" s="438">
        <v>4</v>
      </c>
      <c r="BD61" s="438">
        <v>4</v>
      </c>
      <c r="BE61" s="438">
        <v>4</v>
      </c>
      <c r="BF61" s="438">
        <v>3</v>
      </c>
      <c r="BG61" s="438">
        <v>3</v>
      </c>
      <c r="BH61" s="438">
        <v>3</v>
      </c>
      <c r="BI61" s="438">
        <v>5</v>
      </c>
      <c r="BJ61" s="438">
        <v>4</v>
      </c>
      <c r="BK61" s="438">
        <v>3</v>
      </c>
      <c r="BL61" s="438">
        <v>5</v>
      </c>
      <c r="BM61" s="438">
        <v>3</v>
      </c>
      <c r="BN61" s="422" t="s">
        <v>459</v>
      </c>
      <c r="BO61" s="438">
        <v>5.7142857142856798</v>
      </c>
      <c r="BP61" s="438">
        <v>-201.28571428571399</v>
      </c>
      <c r="BQ61" s="422">
        <f t="shared" si="489"/>
        <v>-195.57142857142833</v>
      </c>
      <c r="BR61" s="438" t="str">
        <f t="shared" si="490"/>
        <v/>
      </c>
      <c r="BS61" s="422">
        <v>5.7142857142856798</v>
      </c>
      <c r="BT61" s="438">
        <v>-140.28571428571399</v>
      </c>
      <c r="BU61" s="422">
        <f t="shared" si="491"/>
        <v>-134.57142857142833</v>
      </c>
      <c r="BV61" s="438" t="str">
        <f t="shared" si="492"/>
        <v/>
      </c>
      <c r="BW61" s="422">
        <v>5.7142857142856798</v>
      </c>
      <c r="BX61" s="422">
        <v>-137</v>
      </c>
      <c r="BY61" s="422">
        <f t="shared" si="493"/>
        <v>-131.28571428571433</v>
      </c>
      <c r="BZ61" s="438" t="str">
        <f t="shared" si="494"/>
        <v/>
      </c>
      <c r="CA61" s="422">
        <v>5.7142857142856798</v>
      </c>
      <c r="CB61" s="422">
        <v>-145.71428571428601</v>
      </c>
      <c r="CC61" s="422">
        <f t="shared" si="495"/>
        <v>-140.00000000000034</v>
      </c>
      <c r="CD61" s="438" t="str">
        <f t="shared" si="496"/>
        <v/>
      </c>
      <c r="CE61" s="422">
        <v>35</v>
      </c>
      <c r="CF61" s="422">
        <v>-138</v>
      </c>
      <c r="CG61" s="422">
        <f t="shared" si="497"/>
        <v>-103</v>
      </c>
      <c r="CH61" s="438" t="str">
        <f t="shared" si="498"/>
        <v/>
      </c>
      <c r="CI61" s="422">
        <v>5.7142857142856798</v>
      </c>
      <c r="CJ61" s="422">
        <v>-62.000000000000298</v>
      </c>
      <c r="CK61" s="422">
        <f t="shared" si="499"/>
        <v>-56.285714285714619</v>
      </c>
      <c r="CL61" s="438" t="str">
        <f t="shared" si="500"/>
        <v/>
      </c>
      <c r="CM61" s="422">
        <v>5.7142857142856798</v>
      </c>
      <c r="CN61" s="422"/>
      <c r="CO61" s="422"/>
      <c r="CP61" s="422"/>
      <c r="CQ61" s="422">
        <v>32.155172413793203</v>
      </c>
      <c r="CR61" s="422">
        <f t="shared" si="502"/>
        <v>32.155172413793203</v>
      </c>
      <c r="CS61" s="438" t="str">
        <f t="shared" si="503"/>
        <v>F9</v>
      </c>
      <c r="CT61" s="422">
        <v>-14.210526315789499</v>
      </c>
      <c r="CU61" s="422">
        <v>-156.842105263158</v>
      </c>
      <c r="CV61" s="422">
        <f t="shared" si="504"/>
        <v>-171.05263157894751</v>
      </c>
      <c r="CW61" s="438" t="str">
        <f t="shared" si="505"/>
        <v/>
      </c>
      <c r="CX61" s="422">
        <f t="shared" ref="CX61" si="529">CT61</f>
        <v>-14.210526315789499</v>
      </c>
      <c r="CY61" s="422">
        <v>-145.71428571428601</v>
      </c>
      <c r="CZ61" s="422">
        <f t="shared" si="506"/>
        <v>-159.92481203007551</v>
      </c>
      <c r="DA61" s="438" t="str">
        <f t="shared" si="507"/>
        <v/>
      </c>
      <c r="DB61" s="422">
        <f t="shared" si="524"/>
        <v>-14.210526315789499</v>
      </c>
      <c r="DC61" s="422">
        <v>-111.428571428571</v>
      </c>
      <c r="DD61" s="422">
        <f t="shared" si="508"/>
        <v>-125.6390977443605</v>
      </c>
      <c r="DE61" s="422" t="str">
        <f t="shared" si="509"/>
        <v/>
      </c>
      <c r="DF61" s="422">
        <f t="shared" si="510"/>
        <v>-14.210526315789499</v>
      </c>
      <c r="DG61" s="422">
        <v>-145.71428571428601</v>
      </c>
      <c r="DH61" s="422">
        <f t="shared" si="511"/>
        <v>-159.92481203007551</v>
      </c>
      <c r="DI61" s="422" t="str">
        <f t="shared" si="512"/>
        <v/>
      </c>
      <c r="DJ61" s="422">
        <f t="shared" si="525"/>
        <v>-14.210526315789499</v>
      </c>
      <c r="DK61" s="422">
        <v>37.285714285714299</v>
      </c>
      <c r="DL61" s="422">
        <f t="shared" si="513"/>
        <v>23.075187969924798</v>
      </c>
      <c r="DM61" s="422" t="str">
        <f t="shared" si="514"/>
        <v>F9</v>
      </c>
      <c r="DN61" s="422">
        <f t="shared" si="526"/>
        <v>-14.210526315789499</v>
      </c>
      <c r="DO61" s="422">
        <v>12.4285714285714</v>
      </c>
      <c r="DP61" s="422">
        <f t="shared" si="515"/>
        <v>-1.7819548872180988</v>
      </c>
      <c r="DQ61" s="438" t="str">
        <f t="shared" si="516"/>
        <v/>
      </c>
      <c r="DR61" s="422">
        <f t="shared" si="527"/>
        <v>-14.210526315789499</v>
      </c>
      <c r="DS61" s="422">
        <v>-114</v>
      </c>
      <c r="DT61" s="422">
        <f t="shared" si="517"/>
        <v>-128.21052631578951</v>
      </c>
      <c r="DU61" s="438" t="str">
        <f t="shared" si="518"/>
        <v/>
      </c>
      <c r="DV61" s="422">
        <f t="shared" si="528"/>
        <v>-14.210526315789499</v>
      </c>
      <c r="DW61" s="422">
        <v>43.142857142857103</v>
      </c>
      <c r="DX61" s="422">
        <f t="shared" si="519"/>
        <v>28.932330827067602</v>
      </c>
      <c r="DY61" s="438" t="str">
        <f t="shared" si="520"/>
        <v>F9</v>
      </c>
      <c r="DZ61" s="422">
        <f t="shared" si="521"/>
        <v>-14.210526315789499</v>
      </c>
      <c r="EA61" s="422">
        <v>0</v>
      </c>
      <c r="EB61" s="422">
        <f t="shared" si="522"/>
        <v>-14.210526315789499</v>
      </c>
      <c r="EC61" s="438" t="str">
        <f t="shared" si="523"/>
        <v/>
      </c>
      <c r="ED61" s="422">
        <f t="shared" si="63"/>
        <v>-1437.2959554057568</v>
      </c>
      <c r="EE61" s="422">
        <f t="shared" si="100"/>
        <v>-89.830997212859799</v>
      </c>
      <c r="EF61" s="438" t="str">
        <f t="shared" si="101"/>
        <v/>
      </c>
      <c r="EG61" s="422" t="str">
        <f t="shared" si="102"/>
        <v/>
      </c>
      <c r="EH61" s="439">
        <v>1</v>
      </c>
      <c r="EI61" s="422">
        <f t="shared" si="103"/>
        <v>-1437.2959554057568</v>
      </c>
      <c r="EJ61" s="440">
        <f t="shared" si="104"/>
        <v>-0.89830997212859798</v>
      </c>
      <c r="EK61" s="438" t="s">
        <v>573</v>
      </c>
      <c r="EL61" s="438" t="s">
        <v>762</v>
      </c>
    </row>
    <row r="62" spans="1:142" ht="30">
      <c r="A62" s="781"/>
      <c r="B62" s="699"/>
      <c r="C62" s="700"/>
      <c r="D62" s="700"/>
      <c r="E62" s="700"/>
      <c r="F62" s="711"/>
      <c r="G62" s="712"/>
      <c r="H62" s="712"/>
      <c r="I62" s="712"/>
      <c r="J62" s="712"/>
      <c r="K62" s="712"/>
      <c r="L62" s="713"/>
      <c r="M62" s="714"/>
      <c r="N62" s="759"/>
      <c r="O62" s="760"/>
      <c r="P62" s="718"/>
      <c r="Q62" s="719"/>
      <c r="R62" s="719"/>
      <c r="S62" s="719"/>
      <c r="T62" s="719"/>
      <c r="U62" s="720"/>
      <c r="V62" s="376"/>
      <c r="W62" s="376"/>
      <c r="X62" s="376"/>
      <c r="Y62" s="376"/>
      <c r="Z62" s="376"/>
      <c r="AA62" s="420">
        <f t="shared" si="1"/>
        <v>61</v>
      </c>
      <c r="AB62" s="435" t="s">
        <v>61</v>
      </c>
      <c r="AC62" s="422" t="s">
        <v>394</v>
      </c>
      <c r="AD62" s="422" t="s">
        <v>326</v>
      </c>
      <c r="AE62" s="422">
        <v>22.1428571428571</v>
      </c>
      <c r="AF62" s="422">
        <f>'SSS1 ATTENDANCE '!FJ68</f>
        <v>128</v>
      </c>
      <c r="AG62" s="422">
        <f>'SSS1 ATTENDANCE '!FH68</f>
        <v>118</v>
      </c>
      <c r="AH62" s="422">
        <f>'SSS1 ATTENDANCE '!FI68</f>
        <v>10</v>
      </c>
      <c r="AI62" s="436" t="s">
        <v>634</v>
      </c>
      <c r="AJ62" s="437">
        <v>40368</v>
      </c>
      <c r="AK62" s="435" t="s">
        <v>396</v>
      </c>
      <c r="AL62" s="424">
        <v>25</v>
      </c>
      <c r="AM62" s="422">
        <v>56.821428571428498</v>
      </c>
      <c r="AN62" s="438">
        <v>4</v>
      </c>
      <c r="AO62" s="422" t="str">
        <f t="shared" si="64"/>
        <v>5</v>
      </c>
      <c r="AP62" s="438">
        <v>5</v>
      </c>
      <c r="AQ62" s="422">
        <v>4</v>
      </c>
      <c r="AR62" s="438">
        <v>4</v>
      </c>
      <c r="AS62" s="438">
        <v>4</v>
      </c>
      <c r="AT62" s="438">
        <v>4</v>
      </c>
      <c r="AU62" s="438">
        <v>3</v>
      </c>
      <c r="AV62" s="438">
        <v>4</v>
      </c>
      <c r="AW62" s="438">
        <v>4</v>
      </c>
      <c r="AX62" s="438">
        <v>3</v>
      </c>
      <c r="AY62" s="438">
        <v>4</v>
      </c>
      <c r="AZ62" s="438">
        <v>3</v>
      </c>
      <c r="BA62" s="438">
        <v>3</v>
      </c>
      <c r="BB62" s="438">
        <v>3</v>
      </c>
      <c r="BC62" s="438">
        <v>4</v>
      </c>
      <c r="BD62" s="438">
        <v>4</v>
      </c>
      <c r="BE62" s="438">
        <v>4</v>
      </c>
      <c r="BF62" s="438">
        <v>3</v>
      </c>
      <c r="BG62" s="438">
        <v>3</v>
      </c>
      <c r="BH62" s="438">
        <v>3</v>
      </c>
      <c r="BI62" s="438">
        <v>5</v>
      </c>
      <c r="BJ62" s="438">
        <v>4</v>
      </c>
      <c r="BK62" s="438">
        <v>3</v>
      </c>
      <c r="BL62" s="438">
        <v>5</v>
      </c>
      <c r="BM62" s="438">
        <v>3</v>
      </c>
      <c r="BN62" s="422" t="s">
        <v>460</v>
      </c>
      <c r="BO62" s="438">
        <v>5.1785714285714697</v>
      </c>
      <c r="BP62" s="438">
        <v>-205.46428571428601</v>
      </c>
      <c r="BQ62" s="422">
        <f t="shared" si="489"/>
        <v>-200.28571428571453</v>
      </c>
      <c r="BR62" s="438" t="str">
        <f t="shared" si="490"/>
        <v/>
      </c>
      <c r="BS62" s="422">
        <v>5.1785714285714697</v>
      </c>
      <c r="BT62" s="438">
        <v>-143.53571428571399</v>
      </c>
      <c r="BU62" s="422">
        <f t="shared" si="491"/>
        <v>-138.35714285714252</v>
      </c>
      <c r="BV62" s="438" t="str">
        <f t="shared" si="492"/>
        <v/>
      </c>
      <c r="BW62" s="422">
        <v>5.1785714285714697</v>
      </c>
      <c r="BX62" s="422">
        <v>-140.10714285714201</v>
      </c>
      <c r="BY62" s="422">
        <f t="shared" si="493"/>
        <v>-134.92857142857054</v>
      </c>
      <c r="BZ62" s="438" t="str">
        <f t="shared" si="494"/>
        <v/>
      </c>
      <c r="CA62" s="422">
        <v>5.1785714285714697</v>
      </c>
      <c r="CB62" s="422">
        <v>-148.92857142857201</v>
      </c>
      <c r="CC62" s="422">
        <f t="shared" si="495"/>
        <v>-143.75000000000054</v>
      </c>
      <c r="CD62" s="438" t="str">
        <f t="shared" si="496"/>
        <v/>
      </c>
      <c r="CE62" s="422">
        <v>35</v>
      </c>
      <c r="CF62" s="422">
        <v>-141.14285714285799</v>
      </c>
      <c r="CG62" s="422">
        <f t="shared" si="497"/>
        <v>-106.14285714285799</v>
      </c>
      <c r="CH62" s="438" t="str">
        <f t="shared" si="498"/>
        <v/>
      </c>
      <c r="CI62" s="422">
        <v>5.1785714285714697</v>
      </c>
      <c r="CJ62" s="422">
        <v>-63.821428571428299</v>
      </c>
      <c r="CK62" s="422">
        <f t="shared" si="499"/>
        <v>-58.642857142856826</v>
      </c>
      <c r="CL62" s="438" t="str">
        <f t="shared" si="500"/>
        <v/>
      </c>
      <c r="CM62" s="422">
        <v>5.1785714285714697</v>
      </c>
      <c r="CN62" s="422"/>
      <c r="CO62" s="422"/>
      <c r="CP62" s="422">
        <f t="shared" ref="CP62" si="530">CM62</f>
        <v>5.1785714285714697</v>
      </c>
      <c r="CQ62" s="422">
        <v>31.870689655172502</v>
      </c>
      <c r="CR62" s="422">
        <f t="shared" si="502"/>
        <v>37.049261083743971</v>
      </c>
      <c r="CS62" s="438" t="str">
        <f t="shared" si="503"/>
        <v>F9</v>
      </c>
      <c r="CT62" s="422">
        <v>-15.263157894736899</v>
      </c>
      <c r="CU62" s="422">
        <v>-161.052631578948</v>
      </c>
      <c r="CV62" s="422">
        <f t="shared" si="504"/>
        <v>-176.3157894736849</v>
      </c>
      <c r="CW62" s="438" t="str">
        <f t="shared" si="505"/>
        <v/>
      </c>
      <c r="CX62" s="422">
        <v>35</v>
      </c>
      <c r="CY62" s="422">
        <v>-148.92857142857201</v>
      </c>
      <c r="CZ62" s="422">
        <f t="shared" si="506"/>
        <v>-113.92857142857201</v>
      </c>
      <c r="DA62" s="438" t="str">
        <f t="shared" si="507"/>
        <v/>
      </c>
      <c r="DB62" s="422">
        <f t="shared" si="524"/>
        <v>35</v>
      </c>
      <c r="DC62" s="422">
        <v>-114.107142857143</v>
      </c>
      <c r="DD62" s="422">
        <f t="shared" si="508"/>
        <v>-79.107142857143003</v>
      </c>
      <c r="DE62" s="422" t="str">
        <f t="shared" si="509"/>
        <v/>
      </c>
      <c r="DF62" s="422">
        <f t="shared" si="510"/>
        <v>35</v>
      </c>
      <c r="DG62" s="422">
        <v>-148.92857142857201</v>
      </c>
      <c r="DH62" s="422">
        <f t="shared" si="511"/>
        <v>-113.92857142857201</v>
      </c>
      <c r="DI62" s="422" t="str">
        <f t="shared" si="512"/>
        <v/>
      </c>
      <c r="DJ62" s="422">
        <f t="shared" si="525"/>
        <v>35</v>
      </c>
      <c r="DK62" s="422">
        <v>37.107142857142797</v>
      </c>
      <c r="DL62" s="422">
        <f t="shared" si="513"/>
        <v>72.107142857142804</v>
      </c>
      <c r="DM62" s="422" t="str">
        <f t="shared" si="514"/>
        <v>B2</v>
      </c>
      <c r="DN62" s="422">
        <f t="shared" si="526"/>
        <v>35</v>
      </c>
      <c r="DO62" s="422">
        <v>11.8214285714286</v>
      </c>
      <c r="DP62" s="422">
        <f t="shared" si="515"/>
        <v>46.821428571428598</v>
      </c>
      <c r="DQ62" s="438" t="str">
        <f t="shared" si="516"/>
        <v>D7</v>
      </c>
      <c r="DR62" s="422">
        <f t="shared" si="527"/>
        <v>35</v>
      </c>
      <c r="DS62" s="422">
        <v>-116.60714285714199</v>
      </c>
      <c r="DT62" s="422">
        <f t="shared" si="517"/>
        <v>-81.607142857141994</v>
      </c>
      <c r="DU62" s="438" t="str">
        <f t="shared" si="518"/>
        <v/>
      </c>
      <c r="DV62" s="422">
        <f t="shared" si="528"/>
        <v>35</v>
      </c>
      <c r="DW62" s="422">
        <v>43.071428571428498</v>
      </c>
      <c r="DX62" s="422">
        <f t="shared" si="519"/>
        <v>78.071428571428498</v>
      </c>
      <c r="DY62" s="438" t="str">
        <f t="shared" si="520"/>
        <v>A</v>
      </c>
      <c r="DZ62" s="422">
        <f t="shared" si="521"/>
        <v>35</v>
      </c>
      <c r="EA62" s="422">
        <v>-0.75</v>
      </c>
      <c r="EB62" s="422">
        <f t="shared" si="522"/>
        <v>34.25</v>
      </c>
      <c r="EC62" s="438" t="str">
        <f t="shared" si="523"/>
        <v>F9</v>
      </c>
      <c r="ED62" s="422">
        <f t="shared" si="63"/>
        <v>-1078.6950998185127</v>
      </c>
      <c r="EE62" s="422">
        <f t="shared" si="100"/>
        <v>-67.418443738657047</v>
      </c>
      <c r="EF62" s="438" t="str">
        <f t="shared" si="101"/>
        <v/>
      </c>
      <c r="EG62" s="422" t="str">
        <f t="shared" si="102"/>
        <v/>
      </c>
      <c r="EH62" s="439">
        <v>1</v>
      </c>
      <c r="EI62" s="422">
        <f t="shared" si="103"/>
        <v>-1078.6950998185127</v>
      </c>
      <c r="EJ62" s="440">
        <f t="shared" si="104"/>
        <v>-0.67418443738657041</v>
      </c>
      <c r="EK62" s="438" t="s">
        <v>746</v>
      </c>
      <c r="EL62" s="438" t="s">
        <v>762</v>
      </c>
    </row>
    <row r="63" spans="1:142" ht="30">
      <c r="A63" s="781"/>
      <c r="B63" s="701" t="s">
        <v>390</v>
      </c>
      <c r="C63" s="701"/>
      <c r="D63" s="701"/>
      <c r="E63" s="701"/>
      <c r="F63" s="714"/>
      <c r="G63" s="714"/>
      <c r="H63" s="714"/>
      <c r="I63" s="714"/>
      <c r="J63" s="714"/>
      <c r="K63" s="714"/>
      <c r="L63" s="714"/>
      <c r="M63" s="714"/>
      <c r="N63" s="721" t="s">
        <v>392</v>
      </c>
      <c r="O63" s="721"/>
      <c r="P63" s="722"/>
      <c r="Q63" s="722"/>
      <c r="R63" s="722"/>
      <c r="S63" s="722"/>
      <c r="T63" s="722"/>
      <c r="U63" s="722"/>
      <c r="V63" s="376"/>
      <c r="W63" s="376"/>
      <c r="X63" s="376"/>
      <c r="Y63" s="376"/>
      <c r="Z63" s="376"/>
      <c r="AA63" s="420">
        <f t="shared" si="1"/>
        <v>62</v>
      </c>
      <c r="AB63" s="435" t="s">
        <v>62</v>
      </c>
      <c r="AC63" s="422" t="s">
        <v>394</v>
      </c>
      <c r="AD63" s="422" t="s">
        <v>326</v>
      </c>
      <c r="AE63" s="422">
        <v>22.285714285714299</v>
      </c>
      <c r="AF63" s="422">
        <f>'SSS1 ATTENDANCE '!FJ69</f>
        <v>128</v>
      </c>
      <c r="AG63" s="422">
        <f>'SSS1 ATTENDANCE '!FH69</f>
        <v>116</v>
      </c>
      <c r="AH63" s="422">
        <f>'SSS1 ATTENDANCE '!FI69</f>
        <v>12</v>
      </c>
      <c r="AI63" s="436" t="s">
        <v>635</v>
      </c>
      <c r="AJ63" s="437">
        <v>40852</v>
      </c>
      <c r="AK63" s="435" t="s">
        <v>396</v>
      </c>
      <c r="AL63" s="424">
        <v>25</v>
      </c>
      <c r="AM63" s="422">
        <v>57.357142857142797</v>
      </c>
      <c r="AN63" s="438">
        <v>4</v>
      </c>
      <c r="AO63" s="422" t="str">
        <f t="shared" si="64"/>
        <v>5</v>
      </c>
      <c r="AP63" s="438">
        <v>5</v>
      </c>
      <c r="AQ63" s="422">
        <v>4</v>
      </c>
      <c r="AR63" s="438">
        <v>4</v>
      </c>
      <c r="AS63" s="438">
        <v>4</v>
      </c>
      <c r="AT63" s="438">
        <v>4</v>
      </c>
      <c r="AU63" s="438">
        <v>3</v>
      </c>
      <c r="AV63" s="438">
        <v>4</v>
      </c>
      <c r="AW63" s="438">
        <v>4</v>
      </c>
      <c r="AX63" s="438">
        <v>3</v>
      </c>
      <c r="AY63" s="438">
        <v>4</v>
      </c>
      <c r="AZ63" s="438">
        <v>3</v>
      </c>
      <c r="BA63" s="438">
        <v>3</v>
      </c>
      <c r="BB63" s="438">
        <v>3</v>
      </c>
      <c r="BC63" s="438">
        <v>4</v>
      </c>
      <c r="BD63" s="438">
        <v>4</v>
      </c>
      <c r="BE63" s="438">
        <v>4</v>
      </c>
      <c r="BF63" s="438">
        <v>3</v>
      </c>
      <c r="BG63" s="438">
        <v>3</v>
      </c>
      <c r="BH63" s="438">
        <v>3</v>
      </c>
      <c r="BI63" s="438">
        <v>5</v>
      </c>
      <c r="BJ63" s="438">
        <v>4</v>
      </c>
      <c r="BK63" s="438">
        <v>3</v>
      </c>
      <c r="BL63" s="438">
        <v>5</v>
      </c>
      <c r="BM63" s="438">
        <v>3</v>
      </c>
      <c r="BN63" s="422" t="s">
        <v>461</v>
      </c>
      <c r="BO63" s="438">
        <v>4.6428571428571699</v>
      </c>
      <c r="BP63" s="438">
        <v>-209.642857142857</v>
      </c>
      <c r="BQ63" s="422">
        <f t="shared" si="489"/>
        <v>-204.99999999999983</v>
      </c>
      <c r="BR63" s="438" t="str">
        <f t="shared" si="490"/>
        <v/>
      </c>
      <c r="BS63" s="422">
        <v>4.6428571428571699</v>
      </c>
      <c r="BT63" s="438">
        <v>-146.78571428571399</v>
      </c>
      <c r="BU63" s="422">
        <f t="shared" si="491"/>
        <v>-142.14285714285683</v>
      </c>
      <c r="BV63" s="438" t="str">
        <f t="shared" si="492"/>
        <v/>
      </c>
      <c r="BW63" s="422">
        <v>4.6428571428571699</v>
      </c>
      <c r="BX63" s="422">
        <v>-143.21428571428501</v>
      </c>
      <c r="BY63" s="422">
        <f t="shared" si="493"/>
        <v>-138.57142857142784</v>
      </c>
      <c r="BZ63" s="438" t="str">
        <f t="shared" si="494"/>
        <v/>
      </c>
      <c r="CA63" s="422">
        <v>4.6428571428571699</v>
      </c>
      <c r="CB63" s="422">
        <v>-152.14285714285799</v>
      </c>
      <c r="CC63" s="422">
        <f t="shared" si="495"/>
        <v>-147.50000000000082</v>
      </c>
      <c r="CD63" s="438" t="str">
        <f t="shared" si="496"/>
        <v/>
      </c>
      <c r="CE63" s="422">
        <v>35</v>
      </c>
      <c r="CF63" s="422">
        <v>-144.28571428571499</v>
      </c>
      <c r="CG63" s="422">
        <f t="shared" si="497"/>
        <v>-109.28571428571499</v>
      </c>
      <c r="CH63" s="438" t="str">
        <f t="shared" si="498"/>
        <v/>
      </c>
      <c r="CI63" s="422">
        <v>4.6428571428571699</v>
      </c>
      <c r="CJ63" s="422">
        <v>-65.642857142857295</v>
      </c>
      <c r="CK63" s="422">
        <f t="shared" si="499"/>
        <v>-61.000000000000128</v>
      </c>
      <c r="CL63" s="438" t="str">
        <f t="shared" si="500"/>
        <v/>
      </c>
      <c r="CM63" s="422">
        <v>4.6428571428571699</v>
      </c>
      <c r="CN63" s="422"/>
      <c r="CO63" s="422"/>
      <c r="CP63" s="422"/>
      <c r="CQ63" s="422">
        <v>31.586206896551801</v>
      </c>
      <c r="CR63" s="422">
        <f t="shared" si="502"/>
        <v>31.586206896551801</v>
      </c>
      <c r="CS63" s="438" t="str">
        <f t="shared" si="503"/>
        <v>F9</v>
      </c>
      <c r="CT63" s="422">
        <v>-16.315789473684301</v>
      </c>
      <c r="CU63" s="422">
        <v>-165.26315789473699</v>
      </c>
      <c r="CV63" s="422">
        <f t="shared" si="504"/>
        <v>-181.5789473684213</v>
      </c>
      <c r="CW63" s="438" t="str">
        <f t="shared" si="505"/>
        <v/>
      </c>
      <c r="CX63" s="422">
        <f t="shared" ref="CX63" si="531">CT63</f>
        <v>-16.315789473684301</v>
      </c>
      <c r="CY63" s="422">
        <v>-152.14285714285799</v>
      </c>
      <c r="CZ63" s="422">
        <f t="shared" si="506"/>
        <v>-168.4586466165423</v>
      </c>
      <c r="DA63" s="438" t="str">
        <f t="shared" si="507"/>
        <v/>
      </c>
      <c r="DB63" s="422">
        <f t="shared" si="524"/>
        <v>-16.315789473684301</v>
      </c>
      <c r="DC63" s="422">
        <v>-116.78571428571399</v>
      </c>
      <c r="DD63" s="422">
        <f t="shared" si="508"/>
        <v>-133.1015037593983</v>
      </c>
      <c r="DE63" s="422" t="str">
        <f t="shared" si="509"/>
        <v/>
      </c>
      <c r="DF63" s="422">
        <f t="shared" si="510"/>
        <v>-16.315789473684301</v>
      </c>
      <c r="DG63" s="422">
        <v>-152.14285714285799</v>
      </c>
      <c r="DH63" s="422">
        <f t="shared" si="511"/>
        <v>-168.4586466165423</v>
      </c>
      <c r="DI63" s="422" t="str">
        <f t="shared" si="512"/>
        <v/>
      </c>
      <c r="DJ63" s="422">
        <f t="shared" si="525"/>
        <v>-16.315789473684301</v>
      </c>
      <c r="DK63" s="422">
        <v>36.928571428571402</v>
      </c>
      <c r="DL63" s="422">
        <f t="shared" si="513"/>
        <v>20.612781954887101</v>
      </c>
      <c r="DM63" s="422" t="str">
        <f t="shared" si="514"/>
        <v>F9</v>
      </c>
      <c r="DN63" s="422">
        <f t="shared" si="526"/>
        <v>-16.315789473684301</v>
      </c>
      <c r="DO63" s="422">
        <v>11.214285714285699</v>
      </c>
      <c r="DP63" s="422">
        <f t="shared" si="515"/>
        <v>-5.1015037593986019</v>
      </c>
      <c r="DQ63" s="438" t="str">
        <f t="shared" si="516"/>
        <v/>
      </c>
      <c r="DR63" s="422">
        <f t="shared" si="527"/>
        <v>-16.315789473684301</v>
      </c>
      <c r="DS63" s="422">
        <v>-119.214285714285</v>
      </c>
      <c r="DT63" s="422">
        <f t="shared" si="517"/>
        <v>-135.53007518796929</v>
      </c>
      <c r="DU63" s="438" t="str">
        <f t="shared" si="518"/>
        <v/>
      </c>
      <c r="DV63" s="422">
        <f t="shared" si="528"/>
        <v>-16.315789473684301</v>
      </c>
      <c r="DW63" s="422">
        <v>43</v>
      </c>
      <c r="DX63" s="422">
        <f t="shared" si="519"/>
        <v>26.684210526315699</v>
      </c>
      <c r="DY63" s="438" t="str">
        <f t="shared" si="520"/>
        <v>F9</v>
      </c>
      <c r="DZ63" s="422">
        <f t="shared" si="521"/>
        <v>-16.315789473684301</v>
      </c>
      <c r="EA63" s="422">
        <v>-1.5</v>
      </c>
      <c r="EB63" s="422">
        <f t="shared" si="522"/>
        <v>-17.815789473684301</v>
      </c>
      <c r="EC63" s="438" t="str">
        <f t="shared" si="523"/>
        <v/>
      </c>
      <c r="ED63" s="422">
        <f t="shared" si="63"/>
        <v>-1534.6619134042023</v>
      </c>
      <c r="EE63" s="422">
        <f t="shared" si="100"/>
        <v>-95.916369587762645</v>
      </c>
      <c r="EF63" s="438" t="str">
        <f t="shared" si="101"/>
        <v/>
      </c>
      <c r="EG63" s="422" t="str">
        <f t="shared" si="102"/>
        <v/>
      </c>
      <c r="EH63" s="439">
        <v>1</v>
      </c>
      <c r="EI63" s="422">
        <f t="shared" si="103"/>
        <v>-1534.6619134042023</v>
      </c>
      <c r="EJ63" s="440">
        <f t="shared" si="104"/>
        <v>-0.9591636958776264</v>
      </c>
      <c r="EK63" s="438" t="s">
        <v>747</v>
      </c>
      <c r="EL63" s="438" t="s">
        <v>762</v>
      </c>
    </row>
    <row r="64" spans="1:142" ht="30">
      <c r="A64" s="781"/>
      <c r="B64" s="701"/>
      <c r="C64" s="701"/>
      <c r="D64" s="701"/>
      <c r="E64" s="701"/>
      <c r="F64" s="714"/>
      <c r="G64" s="714"/>
      <c r="H64" s="714"/>
      <c r="I64" s="714"/>
      <c r="J64" s="714"/>
      <c r="K64" s="714"/>
      <c r="L64" s="714"/>
      <c r="M64" s="714"/>
      <c r="N64" s="721"/>
      <c r="O64" s="721"/>
      <c r="P64" s="722"/>
      <c r="Q64" s="722"/>
      <c r="R64" s="722"/>
      <c r="S64" s="722"/>
      <c r="T64" s="722"/>
      <c r="U64" s="722"/>
      <c r="V64" s="376"/>
      <c r="W64" s="376"/>
      <c r="X64" s="376"/>
      <c r="Y64" s="376"/>
      <c r="Z64" s="376"/>
      <c r="AA64" s="420">
        <f t="shared" si="1"/>
        <v>63</v>
      </c>
      <c r="AB64" s="435" t="s">
        <v>63</v>
      </c>
      <c r="AC64" s="422" t="s">
        <v>394</v>
      </c>
      <c r="AD64" s="422" t="s">
        <v>326</v>
      </c>
      <c r="AE64" s="422">
        <v>22.428571428571399</v>
      </c>
      <c r="AF64" s="422">
        <f>'SSS1 ATTENDANCE '!FJ70</f>
        <v>128</v>
      </c>
      <c r="AG64" s="422">
        <f>'SSS1 ATTENDANCE '!FH70</f>
        <v>128</v>
      </c>
      <c r="AH64" s="422">
        <f>'SSS1 ATTENDANCE '!FI70</f>
        <v>0</v>
      </c>
      <c r="AI64" s="436" t="s">
        <v>636</v>
      </c>
      <c r="AJ64" s="437">
        <v>40881</v>
      </c>
      <c r="AK64" s="435" t="s">
        <v>396</v>
      </c>
      <c r="AL64" s="424">
        <v>25</v>
      </c>
      <c r="AM64" s="422">
        <v>57.892857142857103</v>
      </c>
      <c r="AN64" s="438">
        <v>4</v>
      </c>
      <c r="AO64" s="422" t="str">
        <f t="shared" si="64"/>
        <v>5</v>
      </c>
      <c r="AP64" s="438">
        <v>5</v>
      </c>
      <c r="AQ64" s="422">
        <v>4</v>
      </c>
      <c r="AR64" s="438">
        <v>4</v>
      </c>
      <c r="AS64" s="438">
        <v>4</v>
      </c>
      <c r="AT64" s="438">
        <v>4</v>
      </c>
      <c r="AU64" s="438">
        <v>3</v>
      </c>
      <c r="AV64" s="438">
        <v>4</v>
      </c>
      <c r="AW64" s="438">
        <v>4</v>
      </c>
      <c r="AX64" s="438">
        <v>3</v>
      </c>
      <c r="AY64" s="438">
        <v>4</v>
      </c>
      <c r="AZ64" s="438">
        <v>3</v>
      </c>
      <c r="BA64" s="438">
        <v>3</v>
      </c>
      <c r="BB64" s="438">
        <v>3</v>
      </c>
      <c r="BC64" s="438">
        <v>4</v>
      </c>
      <c r="BD64" s="438">
        <v>4</v>
      </c>
      <c r="BE64" s="438">
        <v>4</v>
      </c>
      <c r="BF64" s="438">
        <v>3</v>
      </c>
      <c r="BG64" s="438">
        <v>3</v>
      </c>
      <c r="BH64" s="438">
        <v>3</v>
      </c>
      <c r="BI64" s="438">
        <v>5</v>
      </c>
      <c r="BJ64" s="438">
        <v>4</v>
      </c>
      <c r="BK64" s="438">
        <v>3</v>
      </c>
      <c r="BL64" s="438">
        <v>5</v>
      </c>
      <c r="BM64" s="438">
        <v>3</v>
      </c>
      <c r="BN64" s="422" t="s">
        <v>462</v>
      </c>
      <c r="BO64" s="438">
        <v>4.1071428571428799</v>
      </c>
      <c r="BP64" s="438">
        <v>-213.82142857142799</v>
      </c>
      <c r="BQ64" s="422">
        <f t="shared" si="489"/>
        <v>-209.7142857142851</v>
      </c>
      <c r="BR64" s="438" t="str">
        <f t="shared" si="490"/>
        <v/>
      </c>
      <c r="BS64" s="422">
        <v>4.1071428571428799</v>
      </c>
      <c r="BT64" s="438">
        <v>-150.03571428571399</v>
      </c>
      <c r="BU64" s="422">
        <f t="shared" si="491"/>
        <v>-145.9285714285711</v>
      </c>
      <c r="BV64" s="438" t="str">
        <f t="shared" si="492"/>
        <v/>
      </c>
      <c r="BW64" s="422">
        <v>4.1071428571428799</v>
      </c>
      <c r="BX64" s="422">
        <v>-146.32142857142799</v>
      </c>
      <c r="BY64" s="422">
        <f t="shared" si="493"/>
        <v>-142.2142857142851</v>
      </c>
      <c r="BZ64" s="438" t="str">
        <f t="shared" si="494"/>
        <v/>
      </c>
      <c r="CA64" s="422">
        <v>4.1071428571428799</v>
      </c>
      <c r="CB64" s="422">
        <v>-155.357142857143</v>
      </c>
      <c r="CC64" s="422">
        <f t="shared" si="495"/>
        <v>-151.25000000000011</v>
      </c>
      <c r="CD64" s="438" t="str">
        <f t="shared" si="496"/>
        <v/>
      </c>
      <c r="CE64" s="422">
        <v>35</v>
      </c>
      <c r="CF64" s="422">
        <v>-147.42857142857201</v>
      </c>
      <c r="CG64" s="422">
        <f t="shared" si="497"/>
        <v>-112.42857142857201</v>
      </c>
      <c r="CH64" s="438" t="str">
        <f t="shared" si="498"/>
        <v/>
      </c>
      <c r="CI64" s="422">
        <v>4.1071428571428799</v>
      </c>
      <c r="CJ64" s="422">
        <v>-67.464285714285296</v>
      </c>
      <c r="CK64" s="422">
        <f t="shared" si="499"/>
        <v>-63.357142857142414</v>
      </c>
      <c r="CL64" s="438" t="str">
        <f t="shared" si="500"/>
        <v/>
      </c>
      <c r="CM64" s="422">
        <v>4.1071428571428799</v>
      </c>
      <c r="CN64" s="422"/>
      <c r="CO64" s="422"/>
      <c r="CP64" s="422">
        <f t="shared" ref="CP64" si="532">CM64</f>
        <v>4.1071428571428799</v>
      </c>
      <c r="CQ64" s="422">
        <v>31.3017241379311</v>
      </c>
      <c r="CR64" s="422">
        <f t="shared" si="502"/>
        <v>35.408866995073979</v>
      </c>
      <c r="CS64" s="438" t="str">
        <f t="shared" si="503"/>
        <v>F9</v>
      </c>
      <c r="CT64" s="422"/>
      <c r="CU64" s="422"/>
      <c r="CV64" s="422">
        <f t="shared" si="504"/>
        <v>0</v>
      </c>
      <c r="CW64" s="438" t="str">
        <f t="shared" si="505"/>
        <v/>
      </c>
      <c r="CX64" s="422">
        <v>35</v>
      </c>
      <c r="CY64" s="422">
        <v>-155.357142857143</v>
      </c>
      <c r="CZ64" s="422">
        <f t="shared" si="506"/>
        <v>-120.357142857143</v>
      </c>
      <c r="DA64" s="438" t="str">
        <f t="shared" si="507"/>
        <v/>
      </c>
      <c r="DB64" s="422">
        <f t="shared" si="524"/>
        <v>35</v>
      </c>
      <c r="DC64" s="422">
        <v>-119.46428571428601</v>
      </c>
      <c r="DD64" s="422">
        <f t="shared" si="508"/>
        <v>-84.464285714286007</v>
      </c>
      <c r="DE64" s="422" t="str">
        <f t="shared" si="509"/>
        <v/>
      </c>
      <c r="DF64" s="422">
        <f t="shared" si="510"/>
        <v>35</v>
      </c>
      <c r="DG64" s="422">
        <v>-155.357142857143</v>
      </c>
      <c r="DH64" s="422">
        <f t="shared" si="511"/>
        <v>-120.357142857143</v>
      </c>
      <c r="DI64" s="422" t="str">
        <f t="shared" si="512"/>
        <v/>
      </c>
      <c r="DJ64" s="422">
        <f t="shared" si="525"/>
        <v>35</v>
      </c>
      <c r="DK64" s="422">
        <v>36.75</v>
      </c>
      <c r="DL64" s="422">
        <f t="shared" si="513"/>
        <v>71.75</v>
      </c>
      <c r="DM64" s="422" t="str">
        <f t="shared" si="514"/>
        <v>B2</v>
      </c>
      <c r="DN64" s="422">
        <f t="shared" si="526"/>
        <v>35</v>
      </c>
      <c r="DO64" s="422">
        <v>10.607142857142801</v>
      </c>
      <c r="DP64" s="422">
        <f t="shared" si="515"/>
        <v>45.607142857142804</v>
      </c>
      <c r="DQ64" s="438" t="str">
        <f t="shared" si="516"/>
        <v>D7</v>
      </c>
      <c r="DR64" s="422">
        <f t="shared" si="527"/>
        <v>35</v>
      </c>
      <c r="DS64" s="422">
        <v>-121.821428571428</v>
      </c>
      <c r="DT64" s="422">
        <f t="shared" si="517"/>
        <v>-86.821428571428001</v>
      </c>
      <c r="DU64" s="438" t="str">
        <f t="shared" si="518"/>
        <v/>
      </c>
      <c r="DV64" s="422">
        <f t="shared" si="528"/>
        <v>35</v>
      </c>
      <c r="DW64" s="422">
        <v>42.928571428571402</v>
      </c>
      <c r="DX64" s="422">
        <f t="shared" si="519"/>
        <v>77.928571428571402</v>
      </c>
      <c r="DY64" s="438" t="str">
        <f t="shared" si="520"/>
        <v>A</v>
      </c>
      <c r="DZ64" s="422">
        <f t="shared" si="521"/>
        <v>35</v>
      </c>
      <c r="EA64" s="422">
        <v>-2.25</v>
      </c>
      <c r="EB64" s="422">
        <f t="shared" si="522"/>
        <v>32.75</v>
      </c>
      <c r="EC64" s="438" t="str">
        <f t="shared" si="523"/>
        <v>F9</v>
      </c>
      <c r="ED64" s="422">
        <f t="shared" si="63"/>
        <v>-973.44827586206782</v>
      </c>
      <c r="EE64" s="422">
        <f t="shared" si="100"/>
        <v>-60.840517241379239</v>
      </c>
      <c r="EF64" s="438" t="str">
        <f t="shared" si="101"/>
        <v/>
      </c>
      <c r="EG64" s="422" t="str">
        <f t="shared" si="102"/>
        <v/>
      </c>
      <c r="EH64" s="439">
        <v>1</v>
      </c>
      <c r="EI64" s="422">
        <f t="shared" si="103"/>
        <v>-973.44827586206782</v>
      </c>
      <c r="EJ64" s="440">
        <f t="shared" si="104"/>
        <v>-0.60840517241379244</v>
      </c>
      <c r="EK64" s="438" t="s">
        <v>573</v>
      </c>
      <c r="EL64" s="438" t="s">
        <v>762</v>
      </c>
    </row>
    <row r="65" spans="1:142" ht="30">
      <c r="A65" s="781"/>
      <c r="B65" s="376"/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714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420">
        <f t="shared" si="1"/>
        <v>64</v>
      </c>
      <c r="AB65" s="435" t="s">
        <v>57</v>
      </c>
      <c r="AC65" s="422" t="s">
        <v>394</v>
      </c>
      <c r="AD65" s="422" t="s">
        <v>326</v>
      </c>
      <c r="AE65" s="422">
        <v>22.571428571428601</v>
      </c>
      <c r="AF65" s="422">
        <f>'SSS1 ATTENDANCE '!FJ71</f>
        <v>128</v>
      </c>
      <c r="AG65" s="422">
        <f>'SSS1 ATTENDANCE '!FH71</f>
        <v>122</v>
      </c>
      <c r="AH65" s="422">
        <f>'SSS1 ATTENDANCE '!FI71</f>
        <v>6</v>
      </c>
      <c r="AI65" s="436" t="s">
        <v>637</v>
      </c>
      <c r="AJ65" s="437">
        <v>41122</v>
      </c>
      <c r="AK65" s="435" t="s">
        <v>396</v>
      </c>
      <c r="AL65" s="424">
        <v>25</v>
      </c>
      <c r="AM65" s="422">
        <v>58.428571428571402</v>
      </c>
      <c r="AN65" s="438">
        <v>4</v>
      </c>
      <c r="AO65" s="422" t="str">
        <f t="shared" si="64"/>
        <v>5</v>
      </c>
      <c r="AP65" s="438">
        <v>5</v>
      </c>
      <c r="AQ65" s="422">
        <v>4</v>
      </c>
      <c r="AR65" s="438">
        <v>4</v>
      </c>
      <c r="AS65" s="438">
        <v>4</v>
      </c>
      <c r="AT65" s="438">
        <v>4</v>
      </c>
      <c r="AU65" s="438">
        <v>3</v>
      </c>
      <c r="AV65" s="438">
        <v>4</v>
      </c>
      <c r="AW65" s="438">
        <v>4</v>
      </c>
      <c r="AX65" s="438">
        <v>3</v>
      </c>
      <c r="AY65" s="438">
        <v>4</v>
      </c>
      <c r="AZ65" s="438">
        <v>3</v>
      </c>
      <c r="BA65" s="438">
        <v>3</v>
      </c>
      <c r="BB65" s="438">
        <v>3</v>
      </c>
      <c r="BC65" s="438">
        <v>4</v>
      </c>
      <c r="BD65" s="438">
        <v>4</v>
      </c>
      <c r="BE65" s="438">
        <v>4</v>
      </c>
      <c r="BF65" s="438">
        <v>3</v>
      </c>
      <c r="BG65" s="438">
        <v>3</v>
      </c>
      <c r="BH65" s="438">
        <v>3</v>
      </c>
      <c r="BI65" s="438">
        <v>5</v>
      </c>
      <c r="BJ65" s="438">
        <v>4</v>
      </c>
      <c r="BK65" s="438">
        <v>3</v>
      </c>
      <c r="BL65" s="438">
        <v>5</v>
      </c>
      <c r="BM65" s="438">
        <v>3</v>
      </c>
      <c r="BN65" s="422" t="s">
        <v>463</v>
      </c>
      <c r="BO65" s="422">
        <v>3.5714285714285801</v>
      </c>
      <c r="BP65" s="422">
        <v>-218</v>
      </c>
      <c r="BQ65" s="422">
        <v>100</v>
      </c>
      <c r="BR65" s="438" t="s">
        <v>749</v>
      </c>
      <c r="BS65" s="422">
        <v>3.5714285714285801</v>
      </c>
      <c r="BT65" s="422">
        <v>-153.28571428571399</v>
      </c>
      <c r="BU65" s="422">
        <v>100</v>
      </c>
      <c r="BV65" s="438" t="s">
        <v>749</v>
      </c>
      <c r="BW65" s="422">
        <v>3.5714285714285801</v>
      </c>
      <c r="BX65" s="422">
        <v>-149.42857142857099</v>
      </c>
      <c r="BY65" s="422">
        <v>100</v>
      </c>
      <c r="BZ65" s="422" t="str">
        <f t="shared" ref="BZ65" si="533">BV65</f>
        <v>Grades</v>
      </c>
      <c r="CA65" s="422">
        <v>3.5714285714285801</v>
      </c>
      <c r="CB65" s="422">
        <v>-158.57142857142901</v>
      </c>
      <c r="CC65" s="422">
        <v>100</v>
      </c>
      <c r="CD65" s="422" t="str">
        <f t="shared" ref="CD65" si="534">BZ65</f>
        <v>Grades</v>
      </c>
      <c r="CE65" s="422">
        <f t="shared" ref="CE65" si="535">CA65</f>
        <v>3.5714285714285801</v>
      </c>
      <c r="CF65" s="422">
        <v>-150.57142857142901</v>
      </c>
      <c r="CG65" s="422">
        <v>100</v>
      </c>
      <c r="CH65" s="422" t="str">
        <f t="shared" ref="CH65" si="536">CD65</f>
        <v>Grades</v>
      </c>
      <c r="CI65" s="422">
        <v>3.5714285714285801</v>
      </c>
      <c r="CJ65" s="422">
        <v>-69.285714285714306</v>
      </c>
      <c r="CK65" s="422">
        <v>100</v>
      </c>
      <c r="CL65" s="422" t="str">
        <f t="shared" ref="CL65" si="537">CH65</f>
        <v>Grades</v>
      </c>
      <c r="CM65" s="422">
        <v>3.5714285714285801</v>
      </c>
      <c r="CN65" s="422">
        <v>60</v>
      </c>
      <c r="CO65" s="422"/>
      <c r="CP65" s="422">
        <v>40</v>
      </c>
      <c r="CQ65" s="422">
        <v>31.017241379310398</v>
      </c>
      <c r="CR65" s="422">
        <v>100</v>
      </c>
      <c r="CS65" s="438" t="str">
        <f t="shared" ref="CS65" si="538">CL65</f>
        <v>Grades</v>
      </c>
      <c r="CT65" s="422">
        <v>-17.3684210526316</v>
      </c>
      <c r="CU65" s="422">
        <v>-169.47368421052701</v>
      </c>
      <c r="CV65" s="422">
        <v>100</v>
      </c>
      <c r="CW65" s="438" t="str">
        <f t="shared" ref="CW65" si="539">CS65</f>
        <v>Grades</v>
      </c>
      <c r="CX65" s="422">
        <v>-28.3333333333333</v>
      </c>
      <c r="CY65" s="422">
        <v>-158.57142857142901</v>
      </c>
      <c r="CZ65" s="422">
        <v>100</v>
      </c>
      <c r="DA65" s="438" t="str">
        <f t="shared" ref="DA65" si="540">CW65</f>
        <v>Grades</v>
      </c>
      <c r="DB65" s="422">
        <v>-140</v>
      </c>
      <c r="DC65" s="422">
        <v>-122.142857142857</v>
      </c>
      <c r="DD65" s="422">
        <v>100</v>
      </c>
      <c r="DE65" s="422" t="str">
        <f t="shared" ref="DE65" si="541">DA65</f>
        <v>Grades</v>
      </c>
      <c r="DF65" s="422">
        <v>40</v>
      </c>
      <c r="DG65" s="422">
        <v>-158.57142857142901</v>
      </c>
      <c r="DH65" s="422">
        <v>100</v>
      </c>
      <c r="DI65" s="422" t="str">
        <f t="shared" ref="DI65" si="542">DE65</f>
        <v>Grades</v>
      </c>
      <c r="DJ65" s="422">
        <v>-50</v>
      </c>
      <c r="DK65" s="422">
        <v>36.571428571428598</v>
      </c>
      <c r="DL65" s="422">
        <v>100</v>
      </c>
      <c r="DM65" s="422" t="str">
        <f t="shared" ref="DM65" si="543">DI65</f>
        <v>Grades</v>
      </c>
      <c r="DN65" s="422">
        <v>-50</v>
      </c>
      <c r="DO65" s="422">
        <v>10</v>
      </c>
      <c r="DP65" s="422">
        <v>100</v>
      </c>
      <c r="DQ65" s="438" t="str">
        <f t="shared" ref="DQ65" si="544">DM65</f>
        <v>Grades</v>
      </c>
      <c r="DR65" s="422">
        <v>-230</v>
      </c>
      <c r="DS65" s="422">
        <v>-124.428571428571</v>
      </c>
      <c r="DT65" s="422">
        <v>100</v>
      </c>
      <c r="DU65" s="438" t="str">
        <f t="shared" ref="DU65" si="545">DQ65</f>
        <v>Grades</v>
      </c>
      <c r="DV65" s="422">
        <v>-50</v>
      </c>
      <c r="DW65" s="422">
        <v>42.857142857142797</v>
      </c>
      <c r="DX65" s="422">
        <v>100</v>
      </c>
      <c r="DY65" s="438" t="str">
        <f t="shared" ref="DY65" si="546">DU65</f>
        <v>Grades</v>
      </c>
      <c r="DZ65" s="422">
        <v>40</v>
      </c>
      <c r="EA65" s="422">
        <v>-3</v>
      </c>
      <c r="EB65" s="422">
        <v>100</v>
      </c>
      <c r="EC65" s="438" t="str">
        <f t="shared" ref="EC65" si="547">DY65</f>
        <v>Grades</v>
      </c>
      <c r="ED65" s="422">
        <f t="shared" si="63"/>
        <v>1600</v>
      </c>
      <c r="EE65" s="422">
        <f t="shared" si="100"/>
        <v>100</v>
      </c>
      <c r="EF65" s="438" t="str">
        <f t="shared" si="101"/>
        <v>A1</v>
      </c>
      <c r="EG65" s="422" t="str">
        <f t="shared" si="102"/>
        <v>DISTINTION</v>
      </c>
      <c r="EH65" s="439">
        <v>1</v>
      </c>
      <c r="EI65" s="422">
        <f t="shared" si="103"/>
        <v>1600</v>
      </c>
      <c r="EJ65" s="440">
        <f t="shared" si="104"/>
        <v>1</v>
      </c>
      <c r="EK65" s="438" t="s">
        <v>573</v>
      </c>
      <c r="EL65" s="438" t="s">
        <v>762</v>
      </c>
    </row>
    <row r="66" spans="1:142" ht="30">
      <c r="A66" s="781"/>
      <c r="B66" s="376"/>
      <c r="C66" s="376"/>
      <c r="D66" s="376"/>
      <c r="E66" s="376"/>
      <c r="F66" s="376"/>
      <c r="G66" s="376"/>
      <c r="H66" s="390"/>
      <c r="I66" s="376"/>
      <c r="J66" s="376"/>
      <c r="K66" s="376"/>
      <c r="L66" s="376"/>
      <c r="M66" s="714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76"/>
      <c r="AA66" s="420">
        <f t="shared" si="1"/>
        <v>65</v>
      </c>
      <c r="AB66" s="435" t="s">
        <v>58</v>
      </c>
      <c r="AC66" s="422" t="s">
        <v>394</v>
      </c>
      <c r="AD66" s="422" t="s">
        <v>326</v>
      </c>
      <c r="AE66" s="422">
        <v>22.714285714285701</v>
      </c>
      <c r="AF66" s="422">
        <f>'SSS1 ATTENDANCE '!FJ72</f>
        <v>128</v>
      </c>
      <c r="AG66" s="422">
        <f>'SSS1 ATTENDANCE '!FH72</f>
        <v>126</v>
      </c>
      <c r="AH66" s="422">
        <f>'SSS1 ATTENDANCE '!FI72</f>
        <v>2</v>
      </c>
      <c r="AI66" s="436" t="s">
        <v>638</v>
      </c>
      <c r="AJ66" s="437">
        <v>40844</v>
      </c>
      <c r="AK66" s="435" t="s">
        <v>396</v>
      </c>
      <c r="AL66" s="424">
        <v>25</v>
      </c>
      <c r="AM66" s="422">
        <v>58.964285714285701</v>
      </c>
      <c r="AN66" s="438">
        <v>4</v>
      </c>
      <c r="AO66" s="422" t="str">
        <f t="shared" si="64"/>
        <v>5</v>
      </c>
      <c r="AP66" s="438">
        <v>5</v>
      </c>
      <c r="AQ66" s="422">
        <v>4</v>
      </c>
      <c r="AR66" s="438">
        <v>4</v>
      </c>
      <c r="AS66" s="438">
        <v>4</v>
      </c>
      <c r="AT66" s="438">
        <v>4</v>
      </c>
      <c r="AU66" s="438">
        <v>3</v>
      </c>
      <c r="AV66" s="438">
        <v>4</v>
      </c>
      <c r="AW66" s="438">
        <v>4</v>
      </c>
      <c r="AX66" s="438">
        <v>3</v>
      </c>
      <c r="AY66" s="438">
        <v>4</v>
      </c>
      <c r="AZ66" s="438">
        <v>3</v>
      </c>
      <c r="BA66" s="438">
        <v>3</v>
      </c>
      <c r="BB66" s="438">
        <v>3</v>
      </c>
      <c r="BC66" s="438">
        <v>4</v>
      </c>
      <c r="BD66" s="438">
        <v>4</v>
      </c>
      <c r="BE66" s="438">
        <v>4</v>
      </c>
      <c r="BF66" s="438">
        <v>3</v>
      </c>
      <c r="BG66" s="438">
        <v>3</v>
      </c>
      <c r="BH66" s="438">
        <v>3</v>
      </c>
      <c r="BI66" s="438">
        <v>5</v>
      </c>
      <c r="BJ66" s="438">
        <v>4</v>
      </c>
      <c r="BK66" s="438">
        <v>3</v>
      </c>
      <c r="BL66" s="438">
        <v>5</v>
      </c>
      <c r="BM66" s="438">
        <v>3</v>
      </c>
      <c r="BN66" s="422" t="s">
        <v>464</v>
      </c>
      <c r="BO66" s="438">
        <v>3.0357142857142798</v>
      </c>
      <c r="BP66" s="438">
        <v>-222.17857142857099</v>
      </c>
      <c r="BQ66" s="422">
        <f t="shared" ref="BQ66:BQ71" si="548">SUM(BO66:BP66)</f>
        <v>-219.14285714285671</v>
      </c>
      <c r="BR66" s="438" t="str">
        <f t="shared" ref="BR66:BR71" si="549">IF(BQ66&gt;=80,"A1",
IF(BQ66&gt;=75,"A",
IF(BQ66&gt;=70,"B2",
IF(BQ66&gt;=65,"B3",
IF(BQ66&gt;=60,"C4",
IF(BQ66&gt;=55,"C5",
IF(BQ66&gt;=50,"C6",
IF(BQ66&gt;=45,"D7",
IF(BQ66&gt;=40,"E8",
IF(BQ66&gt;=1,"F9",""))))))))))</f>
        <v/>
      </c>
      <c r="BS66" s="422">
        <v>3.0357142857142798</v>
      </c>
      <c r="BT66" s="438">
        <v>-156.53571428571399</v>
      </c>
      <c r="BU66" s="422">
        <f t="shared" ref="BU66:BU71" si="550">SUM(BS66:BT66)</f>
        <v>-153.49999999999972</v>
      </c>
      <c r="BV66" s="438" t="str">
        <f t="shared" ref="BV66:BV71" si="551">IF(BU66&gt;=80,"A1",
IF(BU66&gt;=75,"A",
IF(BU66&gt;=70,"B2",
IF(BU66&gt;=65,"B3",
IF(BU66&gt;=60,"C4",
IF(BU66&gt;=55,"C5",
IF(BU66&gt;=50,"C6",
IF(BU66&gt;=45,"D7",
IF(BU66&gt;=40,"E8",
IF(BU66&gt;=1,"F9",""))))))))))</f>
        <v/>
      </c>
      <c r="BW66" s="422">
        <v>3.0357142857142798</v>
      </c>
      <c r="BX66" s="422">
        <v>-152.53571428571399</v>
      </c>
      <c r="BY66" s="422">
        <f t="shared" ref="BY66:BY71" si="552">SUM(BW66:BX66)</f>
        <v>-149.49999999999972</v>
      </c>
      <c r="BZ66" s="438" t="str">
        <f t="shared" ref="BZ66:BZ71" si="553">IF(BY66&gt;=80,"A1",
IF(BY66&gt;=75,"A",
IF(BY66&gt;=70,"B2",
IF(BY66&gt;=65,"B3",
IF(BY66&gt;=60,"C4",
IF(BY66&gt;=55,"C5",
IF(BY66&gt;=50,"C6",
IF(BY66&gt;=45,"D7",
IF(BY66&gt;=40,"E8",
IF(BY66&gt;=1,"F9",""))))))))))</f>
        <v/>
      </c>
      <c r="CA66" s="422">
        <v>3.0357142857142798</v>
      </c>
      <c r="CB66" s="422">
        <v>-161.78571428571499</v>
      </c>
      <c r="CC66" s="422">
        <f t="shared" ref="CC66:CC71" si="554">SUM(CA66:CB66)</f>
        <v>-158.75000000000071</v>
      </c>
      <c r="CD66" s="438" t="str">
        <f t="shared" ref="CD66:CD71" si="555">IF(CC66&gt;=80,"A1",
IF(CC66&gt;=75,"A",
IF(CC66&gt;=70,"B2",
IF(CC66&gt;=65,"B3",
IF(CC66&gt;=60,"C4",
IF(CC66&gt;=55,"C5",
IF(CC66&gt;=50,"C6",
IF(CC66&gt;=45,"D7",
IF(CC66&gt;=40,"E8",
IF(CC66&gt;=1,"F9",""))))))))))</f>
        <v/>
      </c>
      <c r="CE66" s="422">
        <v>35</v>
      </c>
      <c r="CF66" s="422">
        <v>-153.71428571428601</v>
      </c>
      <c r="CG66" s="422">
        <f t="shared" ref="CG66:CG71" si="556">SUM(CE66:CF66)</f>
        <v>-118.71428571428601</v>
      </c>
      <c r="CH66" s="438" t="str">
        <f t="shared" ref="CH66:CH71" si="557">IF(CG66&gt;=80,"A1",
IF(CG66&gt;=75,"A",
IF(CG66&gt;=70,"B2",
IF(CG66&gt;=65,"B3",
IF(CG66&gt;=60,"C4",
IF(CG66&gt;=55,"C5",
IF(CG66&gt;=50,"C6",
IF(CG66&gt;=45,"D7",
IF(CG66&gt;=40,"E8",
IF(CG66&gt;=1,"F9",""))))))))))</f>
        <v/>
      </c>
      <c r="CI66" s="422">
        <v>3.0357142857142798</v>
      </c>
      <c r="CJ66" s="422">
        <v>-71.107142857143302</v>
      </c>
      <c r="CK66" s="422">
        <f t="shared" ref="CK66:CK71" si="558">SUM(CI66:CJ66)</f>
        <v>-68.071428571429024</v>
      </c>
      <c r="CL66" s="438" t="str">
        <f t="shared" ref="CL66:CL71" si="559">IF(CK66&gt;=80,"A1",
IF(CK66&gt;=75,"A",
IF(CK66&gt;=70,"B2",
IF(CK66&gt;=65,"B3",
IF(CK66&gt;=60,"C4",
IF(CK66&gt;=55,"C5",
IF(CK66&gt;=50,"C6",
IF(CK66&gt;=45,"D7",
IF(CK66&gt;=40,"E8",
IF(CK66&gt;=1,"F9",""))))))))))</f>
        <v/>
      </c>
      <c r="CM66" s="422">
        <v>3.0357142857142798</v>
      </c>
      <c r="CN66" s="422"/>
      <c r="CO66" s="422"/>
      <c r="CP66" s="422">
        <f t="shared" ref="CP66:CP67" si="560">CM66</f>
        <v>3.0357142857142798</v>
      </c>
      <c r="CQ66" s="422">
        <v>30.732758620689701</v>
      </c>
      <c r="CR66" s="422">
        <f t="shared" ref="CR66:CR71" si="561">SUM(CP66:CQ66)</f>
        <v>33.768472906403979</v>
      </c>
      <c r="CS66" s="438" t="str">
        <f t="shared" ref="CS66:CS71" si="562">IF(CR66&gt;=80,"A1",
IF(CR66&gt;=75,"A",
IF(CR66&gt;=70,"B2",
IF(CR66&gt;=65,"B3",
IF(CR66&gt;=60,"C4",
IF(CR66&gt;=55,"C5",
IF(CR66&gt;=50,"C6",
IF(CR66&gt;=45,"D7",
IF(CR66&gt;=40,"E8",
IF(CR66&gt;=1,"F9",""))))))))))</f>
        <v>F9</v>
      </c>
      <c r="CT66" s="422">
        <v>-18.421052631578998</v>
      </c>
      <c r="CU66" s="422">
        <v>-173.68421052631601</v>
      </c>
      <c r="CV66" s="422">
        <f t="shared" ref="CV66:CV71" si="563">SUM(CT66:CU66)</f>
        <v>-192.105263157895</v>
      </c>
      <c r="CW66" s="438" t="str">
        <f t="shared" ref="CW66:CW71" si="564">IF(CV66&gt;=80,"A1",
IF(CV66&gt;=75,"A",
IF(CV66&gt;=70,"B2",
IF(CV66&gt;=65,"B3",
IF(CV66&gt;=60,"C4",
IF(CV66&gt;=55,"C5",
IF(CV66&gt;=50,"C6",
IF(CV66&gt;=45,"D7",
IF(CV66&gt;=40,"E8",
IF(CV66&gt;=1,"F9",""))))))))))</f>
        <v/>
      </c>
      <c r="CX66" s="422">
        <v>-30.8333333333333</v>
      </c>
      <c r="CY66" s="422">
        <v>-161.78571428571499</v>
      </c>
      <c r="CZ66" s="422">
        <f t="shared" ref="CZ66:CZ71" si="565">SUM(CX66:CY66)</f>
        <v>-192.61904761904827</v>
      </c>
      <c r="DA66" s="438" t="str">
        <f t="shared" ref="DA66:DA71" si="566">IF(CZ66&gt;=80,"A1",
IF(CZ66&gt;=75,"A",
IF(CZ66&gt;=70,"B2",
IF(CZ66&gt;=65,"B3",
IF(CZ66&gt;=60,"C4",
IF(CZ66&gt;=55,"C5",
IF(CZ66&gt;=50,"C6",
IF(CZ66&gt;=45,"D7",
IF(CZ66&gt;=40,"E8",
IF(CZ66&gt;=1,"F9",""))))))))))</f>
        <v/>
      </c>
      <c r="DB66" s="422">
        <v>-150</v>
      </c>
      <c r="DC66" s="422">
        <v>-124.821428571428</v>
      </c>
      <c r="DD66" s="422">
        <f t="shared" ref="DD66:DD71" si="567">SUM(DB66:DC66)</f>
        <v>-274.82142857142799</v>
      </c>
      <c r="DE66" s="422" t="str">
        <f t="shared" ref="DE66:DE71" si="568">IF(DD66&gt;=80,"A1",
IF(DD66&gt;=75,"A",
IF(DD66&gt;=70,"B2",
IF(DD66&gt;=65,"B3",
IF(DD66&gt;=60,"C4",
IF(DD66&gt;=55,"C5",
IF(DD66&gt;=50,"C6",
IF(DD66&gt;=45,"D7",
IF(DD66&gt;=40,"E8",
IF(DD66&gt;=1,"F9",""))))))))))</f>
        <v/>
      </c>
      <c r="DF66" s="422">
        <f t="shared" ref="DF66:DF71" si="569">DB66</f>
        <v>-150</v>
      </c>
      <c r="DG66" s="422">
        <v>-161.78571428571499</v>
      </c>
      <c r="DH66" s="422">
        <f t="shared" ref="DH66:DH71" si="570">SUM(DF66:DG66)</f>
        <v>-311.78571428571502</v>
      </c>
      <c r="DI66" s="422" t="str">
        <f t="shared" ref="DI66:DI71" si="571">IF(DH66&gt;=80,"A1",
IF(DH66&gt;=75,"A",
IF(DH66&gt;=70,"B2",
IF(DH66&gt;=65,"B3",
IF(DH66&gt;=60,"C4",
IF(DH66&gt;=55,"C5",
IF(DH66&gt;=50,"C6",
IF(DH66&gt;=45,"D7",
IF(DH66&gt;=40,"E8",
IF(DH66&gt;=1,"F9",""))))))))))</f>
        <v/>
      </c>
      <c r="DJ66" s="422">
        <v>-55</v>
      </c>
      <c r="DK66" s="422">
        <v>36.392857142857103</v>
      </c>
      <c r="DL66" s="422">
        <f t="shared" ref="DL66:DL71" si="572">SUM(DJ66:DK66)</f>
        <v>-18.607142857142897</v>
      </c>
      <c r="DM66" s="422" t="str">
        <f t="shared" ref="DM66:DM71" si="573">IF(DL66&gt;=80,"A1",
IF(DL66&gt;=75,"A",
IF(DL66&gt;=70,"B2",
IF(DL66&gt;=65,"B3",
IF(DL66&gt;=60,"C4",
IF(DL66&gt;=55,"C5",
IF(DL66&gt;=50,"C6",
IF(DL66&gt;=45,"D7",
IF(DL66&gt;=40,"E8",
IF(DL66&gt;=1,"F9",""))))))))))</f>
        <v/>
      </c>
      <c r="DN66" s="422">
        <v>-55</v>
      </c>
      <c r="DO66" s="422">
        <v>9.3928571428571104</v>
      </c>
      <c r="DP66" s="422">
        <f t="shared" ref="DP66:DP71" si="574">SUM(DN66:DO66)</f>
        <v>-45.60714285714289</v>
      </c>
      <c r="DQ66" s="438" t="str">
        <f t="shared" ref="DQ66:DQ71" si="575">IF(DP66&gt;=80,"A1",
IF(DP66&gt;=75,"A",
IF(DP66&gt;=70,"B2",
IF(DP66&gt;=65,"B3",
IF(DP66&gt;=60,"C4",
IF(DP66&gt;=55,"C5",
IF(DP66&gt;=50,"C6",
IF(DP66&gt;=45,"D7",
IF(DP66&gt;=40,"E8",
IF(DP66&gt;=1,"F9",""))))))))))</f>
        <v/>
      </c>
      <c r="DR66" s="422">
        <v>-245</v>
      </c>
      <c r="DS66" s="422">
        <v>-127.03571428571399</v>
      </c>
      <c r="DT66" s="422">
        <f t="shared" ref="DT66:DT71" si="576">SUM(DR66:DS66)</f>
        <v>-372.03571428571399</v>
      </c>
      <c r="DU66" s="438" t="str">
        <f t="shared" ref="DU66:DU71" si="577">IF(DT66&gt;=80,"A1",
IF(DT66&gt;=75,"A",
IF(DT66&gt;=70,"B2",
IF(DT66&gt;=65,"B3",
IF(DT66&gt;=60,"C4",
IF(DT66&gt;=55,"C5",
IF(DT66&gt;=50,"C6",
IF(DT66&gt;=45,"D7",
IF(DT66&gt;=40,"E8",
IF(DT66&gt;=1,"F9",""))))))))))</f>
        <v/>
      </c>
      <c r="DV66" s="422">
        <v>-55</v>
      </c>
      <c r="DW66" s="422">
        <v>42.785714285714199</v>
      </c>
      <c r="DX66" s="422">
        <f t="shared" ref="DX66:DX71" si="578">SUM(DV66:DW66)</f>
        <v>-12.214285714285801</v>
      </c>
      <c r="DY66" s="438" t="str">
        <f t="shared" ref="DY66:DY71" si="579">IF(DX66&gt;=80,"A1",
IF(DX66&gt;=75,"A",
IF(DX66&gt;=70,"B2",
IF(DX66&gt;=65,"B3",
IF(DX66&gt;=60,"C4",
IF(DX66&gt;=55,"C5",
IF(DX66&gt;=50,"C6",
IF(DX66&gt;=45,"D7",
IF(DX66&gt;=40,"E8",
IF(DX66&gt;=1,"F9",""))))))))))</f>
        <v/>
      </c>
      <c r="DZ66" s="422">
        <f t="shared" ref="DZ66:DZ71" si="580">DV66</f>
        <v>-55</v>
      </c>
      <c r="EA66" s="422">
        <v>-3.75</v>
      </c>
      <c r="EB66" s="422">
        <f t="shared" ref="EB66:EB71" si="581">SUM(DZ66:EA66)</f>
        <v>-58.75</v>
      </c>
      <c r="EC66" s="438" t="str">
        <f t="shared" ref="EC66:EC71" si="582">IF(EB66&gt;=80,"A1",
IF(EB66&gt;=75,"A",
IF(EB66&gt;=70,"B2",
IF(EB66&gt;=65,"B3",
IF(EB66&gt;=60,"C4",
IF(EB66&gt;=55,"C5",
IF(EB66&gt;=50,"C6",
IF(EB66&gt;=45,"D7",
IF(EB66&gt;=40,"E8",
IF(EB66&gt;=1,"F9",""))))))))))</f>
        <v/>
      </c>
      <c r="ED66" s="422">
        <f t="shared" si="63"/>
        <v>-2312.4558378705401</v>
      </c>
      <c r="EE66" s="422">
        <f t="shared" si="100"/>
        <v>-144.52848986690876</v>
      </c>
      <c r="EF66" s="438" t="str">
        <f t="shared" si="101"/>
        <v/>
      </c>
      <c r="EG66" s="422" t="str">
        <f t="shared" si="102"/>
        <v/>
      </c>
      <c r="EH66" s="439">
        <v>1</v>
      </c>
      <c r="EI66" s="422">
        <f t="shared" si="103"/>
        <v>-2312.4558378705401</v>
      </c>
      <c r="EJ66" s="440">
        <f t="shared" si="104"/>
        <v>-1.4452848986690876</v>
      </c>
      <c r="EK66" s="438" t="s">
        <v>573</v>
      </c>
      <c r="EL66" s="438" t="s">
        <v>762</v>
      </c>
    </row>
    <row r="67" spans="1:142" ht="30">
      <c r="A67" s="781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714"/>
      <c r="N67" s="376"/>
      <c r="O67" s="376"/>
      <c r="P67" s="376"/>
      <c r="Q67" s="376"/>
      <c r="R67" s="376"/>
      <c r="S67" s="376"/>
      <c r="T67" s="376"/>
      <c r="U67" s="376"/>
      <c r="V67" s="376"/>
      <c r="W67" s="376"/>
      <c r="X67" s="376"/>
      <c r="Y67" s="376"/>
      <c r="Z67" s="376"/>
      <c r="AA67" s="420">
        <f t="shared" ref="AA67:AA130" si="583">ROW(D66)</f>
        <v>66</v>
      </c>
      <c r="AB67" s="435" t="s">
        <v>59</v>
      </c>
      <c r="AC67" s="422" t="s">
        <v>394</v>
      </c>
      <c r="AD67" s="422" t="s">
        <v>326</v>
      </c>
      <c r="AE67" s="422">
        <v>22.8571428571429</v>
      </c>
      <c r="AF67" s="422">
        <f>'SSS1 ATTENDANCE '!FJ73</f>
        <v>128</v>
      </c>
      <c r="AG67" s="422">
        <f>'SSS1 ATTENDANCE '!FH73</f>
        <v>128</v>
      </c>
      <c r="AH67" s="422">
        <f>'SSS1 ATTENDANCE '!FI73</f>
        <v>0</v>
      </c>
      <c r="AI67" s="436" t="s">
        <v>639</v>
      </c>
      <c r="AJ67" s="437">
        <v>40754</v>
      </c>
      <c r="AK67" s="435" t="s">
        <v>396</v>
      </c>
      <c r="AL67" s="424">
        <v>25</v>
      </c>
      <c r="AM67" s="422">
        <v>59.5</v>
      </c>
      <c r="AN67" s="438">
        <v>4</v>
      </c>
      <c r="AO67" s="422" t="str">
        <f t="shared" si="64"/>
        <v>5</v>
      </c>
      <c r="AP67" s="438">
        <v>5</v>
      </c>
      <c r="AQ67" s="422">
        <v>4</v>
      </c>
      <c r="AR67" s="438">
        <v>4</v>
      </c>
      <c r="AS67" s="438">
        <v>4</v>
      </c>
      <c r="AT67" s="438">
        <v>4</v>
      </c>
      <c r="AU67" s="438">
        <v>3</v>
      </c>
      <c r="AV67" s="438">
        <v>4</v>
      </c>
      <c r="AW67" s="438">
        <v>4</v>
      </c>
      <c r="AX67" s="438">
        <v>3</v>
      </c>
      <c r="AY67" s="438">
        <v>4</v>
      </c>
      <c r="AZ67" s="438">
        <v>3</v>
      </c>
      <c r="BA67" s="438">
        <v>3</v>
      </c>
      <c r="BB67" s="438">
        <v>3</v>
      </c>
      <c r="BC67" s="438">
        <v>4</v>
      </c>
      <c r="BD67" s="438">
        <v>4</v>
      </c>
      <c r="BE67" s="438">
        <v>4</v>
      </c>
      <c r="BF67" s="438">
        <v>3</v>
      </c>
      <c r="BG67" s="438">
        <v>3</v>
      </c>
      <c r="BH67" s="438">
        <v>3</v>
      </c>
      <c r="BI67" s="438">
        <v>5</v>
      </c>
      <c r="BJ67" s="438">
        <v>4</v>
      </c>
      <c r="BK67" s="438">
        <v>3</v>
      </c>
      <c r="BL67" s="438">
        <v>5</v>
      </c>
      <c r="BM67" s="438">
        <v>3</v>
      </c>
      <c r="BN67" s="422" t="s">
        <v>465</v>
      </c>
      <c r="BO67" s="438">
        <v>2.49999999999998</v>
      </c>
      <c r="BP67" s="438">
        <v>-226.357142857143</v>
      </c>
      <c r="BQ67" s="422">
        <f t="shared" si="548"/>
        <v>-223.85714285714303</v>
      </c>
      <c r="BR67" s="438" t="str">
        <f t="shared" si="549"/>
        <v/>
      </c>
      <c r="BS67" s="422">
        <v>2.49999999999998</v>
      </c>
      <c r="BT67" s="438">
        <v>-159.78571428571399</v>
      </c>
      <c r="BU67" s="422">
        <f t="shared" si="550"/>
        <v>-157.28571428571402</v>
      </c>
      <c r="BV67" s="438" t="str">
        <f t="shared" si="551"/>
        <v/>
      </c>
      <c r="BW67" s="422">
        <v>2.49999999999998</v>
      </c>
      <c r="BX67" s="422">
        <v>-155.642857142857</v>
      </c>
      <c r="BY67" s="422">
        <f t="shared" si="552"/>
        <v>-153.14285714285703</v>
      </c>
      <c r="BZ67" s="438" t="str">
        <f t="shared" si="553"/>
        <v/>
      </c>
      <c r="CA67" s="422">
        <v>2.49999999999998</v>
      </c>
      <c r="CB67" s="422">
        <v>-165.00000000000099</v>
      </c>
      <c r="CC67" s="422">
        <f t="shared" si="554"/>
        <v>-162.50000000000102</v>
      </c>
      <c r="CD67" s="438" t="str">
        <f t="shared" si="555"/>
        <v/>
      </c>
      <c r="CE67" s="422">
        <v>35</v>
      </c>
      <c r="CF67" s="422">
        <v>-156.857142857143</v>
      </c>
      <c r="CG67" s="422">
        <f t="shared" si="556"/>
        <v>-121.857142857143</v>
      </c>
      <c r="CH67" s="438" t="str">
        <f t="shared" si="557"/>
        <v/>
      </c>
      <c r="CI67" s="422">
        <v>2.49999999999998</v>
      </c>
      <c r="CJ67" s="422">
        <v>-72.928571428571303</v>
      </c>
      <c r="CK67" s="422">
        <f t="shared" si="558"/>
        <v>-70.428571428571317</v>
      </c>
      <c r="CL67" s="438" t="str">
        <f t="shared" si="559"/>
        <v/>
      </c>
      <c r="CM67" s="422">
        <v>2.49999999999998</v>
      </c>
      <c r="CN67" s="422"/>
      <c r="CO67" s="422"/>
      <c r="CP67" s="422">
        <f t="shared" si="560"/>
        <v>2.49999999999998</v>
      </c>
      <c r="CQ67" s="422">
        <v>30.448275862069</v>
      </c>
      <c r="CR67" s="422">
        <f t="shared" si="561"/>
        <v>32.948275862068982</v>
      </c>
      <c r="CS67" s="438" t="str">
        <f t="shared" si="562"/>
        <v>F9</v>
      </c>
      <c r="CT67" s="422">
        <v>-19.4736842105264</v>
      </c>
      <c r="CU67" s="422">
        <v>-177.894736842106</v>
      </c>
      <c r="CV67" s="422">
        <f t="shared" si="563"/>
        <v>-197.36842105263241</v>
      </c>
      <c r="CW67" s="438" t="str">
        <f t="shared" si="564"/>
        <v/>
      </c>
      <c r="CX67" s="422">
        <v>-33.3333333333333</v>
      </c>
      <c r="CY67" s="422">
        <v>-165.00000000000099</v>
      </c>
      <c r="CZ67" s="422">
        <f t="shared" si="565"/>
        <v>-198.33333333333428</v>
      </c>
      <c r="DA67" s="438" t="str">
        <f t="shared" si="566"/>
        <v/>
      </c>
      <c r="DB67" s="422">
        <f t="shared" ref="DB67:DB71" si="584">CX67</f>
        <v>-33.3333333333333</v>
      </c>
      <c r="DC67" s="422">
        <v>-127.5</v>
      </c>
      <c r="DD67" s="422">
        <f t="shared" si="567"/>
        <v>-160.83333333333331</v>
      </c>
      <c r="DE67" s="422" t="str">
        <f t="shared" si="568"/>
        <v/>
      </c>
      <c r="DF67" s="422">
        <f t="shared" si="569"/>
        <v>-33.3333333333333</v>
      </c>
      <c r="DG67" s="422">
        <v>-165.00000000000099</v>
      </c>
      <c r="DH67" s="422">
        <f t="shared" si="570"/>
        <v>-198.33333333333428</v>
      </c>
      <c r="DI67" s="422" t="str">
        <f t="shared" si="571"/>
        <v/>
      </c>
      <c r="DJ67" s="422">
        <f t="shared" ref="DJ67:DJ71" si="585">DF67</f>
        <v>-33.3333333333333</v>
      </c>
      <c r="DK67" s="422">
        <v>36.214285714285701</v>
      </c>
      <c r="DL67" s="422">
        <f t="shared" si="572"/>
        <v>2.8809523809524009</v>
      </c>
      <c r="DM67" s="422" t="str">
        <f t="shared" si="573"/>
        <v>F9</v>
      </c>
      <c r="DN67" s="422">
        <f t="shared" ref="DN67:DN71" si="586">DJ67</f>
        <v>-33.3333333333333</v>
      </c>
      <c r="DO67" s="422">
        <v>8.7857142857143096</v>
      </c>
      <c r="DP67" s="422">
        <f t="shared" si="574"/>
        <v>-24.547619047618991</v>
      </c>
      <c r="DQ67" s="438" t="str">
        <f t="shared" si="575"/>
        <v/>
      </c>
      <c r="DR67" s="422">
        <f t="shared" ref="DR67:DR71" si="587">DN67</f>
        <v>-33.3333333333333</v>
      </c>
      <c r="DS67" s="422">
        <v>-129.642857142857</v>
      </c>
      <c r="DT67" s="422">
        <f t="shared" si="576"/>
        <v>-162.97619047619031</v>
      </c>
      <c r="DU67" s="438" t="str">
        <f t="shared" si="577"/>
        <v/>
      </c>
      <c r="DV67" s="422">
        <f t="shared" ref="DV67:DV71" si="588">DR67</f>
        <v>-33.3333333333333</v>
      </c>
      <c r="DW67" s="422">
        <v>42.714285714285701</v>
      </c>
      <c r="DX67" s="422">
        <f t="shared" si="578"/>
        <v>9.3809523809524009</v>
      </c>
      <c r="DY67" s="438" t="str">
        <f t="shared" si="579"/>
        <v>F9</v>
      </c>
      <c r="DZ67" s="422">
        <f t="shared" si="580"/>
        <v>-33.3333333333333</v>
      </c>
      <c r="EA67" s="422">
        <v>-4.5</v>
      </c>
      <c r="EB67" s="422">
        <f t="shared" si="581"/>
        <v>-37.8333333333333</v>
      </c>
      <c r="EC67" s="438" t="str">
        <f t="shared" si="582"/>
        <v/>
      </c>
      <c r="ED67" s="422">
        <f t="shared" si="63"/>
        <v>-1824.0868118572325</v>
      </c>
      <c r="EE67" s="422">
        <f t="shared" si="100"/>
        <v>-114.00542574107703</v>
      </c>
      <c r="EF67" s="438" t="str">
        <f t="shared" si="101"/>
        <v/>
      </c>
      <c r="EG67" s="422" t="str">
        <f t="shared" si="102"/>
        <v/>
      </c>
      <c r="EH67" s="439">
        <v>1</v>
      </c>
      <c r="EI67" s="422">
        <f t="shared" si="103"/>
        <v>-1824.0868118572325</v>
      </c>
      <c r="EJ67" s="440">
        <f t="shared" si="104"/>
        <v>-1.1400542574107704</v>
      </c>
      <c r="EK67" s="438" t="s">
        <v>573</v>
      </c>
      <c r="EL67" s="438" t="s">
        <v>762</v>
      </c>
    </row>
    <row r="68" spans="1:142" ht="30.75" thickBot="1">
      <c r="A68" s="781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714"/>
      <c r="N68" s="376"/>
      <c r="O68" s="37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  <c r="AA68" s="420">
        <f t="shared" si="583"/>
        <v>67</v>
      </c>
      <c r="AB68" s="435" t="s">
        <v>60</v>
      </c>
      <c r="AC68" s="422" t="s">
        <v>394</v>
      </c>
      <c r="AD68" s="422" t="s">
        <v>326</v>
      </c>
      <c r="AE68" s="422">
        <v>23</v>
      </c>
      <c r="AF68" s="422">
        <f>'SSS1 ATTENDANCE '!FJ74</f>
        <v>128</v>
      </c>
      <c r="AG68" s="422">
        <f>'SSS1 ATTENDANCE '!FH74</f>
        <v>128</v>
      </c>
      <c r="AH68" s="422">
        <f>'SSS1 ATTENDANCE '!FI74</f>
        <v>0</v>
      </c>
      <c r="AI68" s="436" t="s">
        <v>640</v>
      </c>
      <c r="AJ68" s="437">
        <v>40900</v>
      </c>
      <c r="AK68" s="435" t="s">
        <v>396</v>
      </c>
      <c r="AL68" s="424">
        <v>25</v>
      </c>
      <c r="AM68" s="422">
        <v>60.035714285714299</v>
      </c>
      <c r="AN68" s="438">
        <v>4</v>
      </c>
      <c r="AO68" s="422" t="str">
        <f t="shared" si="64"/>
        <v>5</v>
      </c>
      <c r="AP68" s="438">
        <v>5</v>
      </c>
      <c r="AQ68" s="422">
        <v>4</v>
      </c>
      <c r="AR68" s="438">
        <v>4</v>
      </c>
      <c r="AS68" s="438">
        <v>4</v>
      </c>
      <c r="AT68" s="438">
        <v>4</v>
      </c>
      <c r="AU68" s="438">
        <v>3</v>
      </c>
      <c r="AV68" s="438">
        <v>4</v>
      </c>
      <c r="AW68" s="438">
        <v>4</v>
      </c>
      <c r="AX68" s="438">
        <v>3</v>
      </c>
      <c r="AY68" s="438">
        <v>4</v>
      </c>
      <c r="AZ68" s="438">
        <v>3</v>
      </c>
      <c r="BA68" s="438">
        <v>3</v>
      </c>
      <c r="BB68" s="438">
        <v>3</v>
      </c>
      <c r="BC68" s="438">
        <v>4</v>
      </c>
      <c r="BD68" s="438">
        <v>4</v>
      </c>
      <c r="BE68" s="438">
        <v>4</v>
      </c>
      <c r="BF68" s="438">
        <v>3</v>
      </c>
      <c r="BG68" s="438">
        <v>3</v>
      </c>
      <c r="BH68" s="438">
        <v>3</v>
      </c>
      <c r="BI68" s="438">
        <v>5</v>
      </c>
      <c r="BJ68" s="438">
        <v>4</v>
      </c>
      <c r="BK68" s="438">
        <v>3</v>
      </c>
      <c r="BL68" s="438">
        <v>5</v>
      </c>
      <c r="BM68" s="438">
        <v>3</v>
      </c>
      <c r="BN68" s="422" t="s">
        <v>466</v>
      </c>
      <c r="BO68" s="438">
        <v>1.96428571428568</v>
      </c>
      <c r="BP68" s="438">
        <v>-230.53571428571399</v>
      </c>
      <c r="BQ68" s="422">
        <f t="shared" si="548"/>
        <v>-228.5714285714283</v>
      </c>
      <c r="BR68" s="438" t="str">
        <f t="shared" si="549"/>
        <v/>
      </c>
      <c r="BS68" s="422">
        <v>1.96428571428568</v>
      </c>
      <c r="BT68" s="438">
        <v>-163.03571428571399</v>
      </c>
      <c r="BU68" s="422">
        <f t="shared" si="550"/>
        <v>-161.0714285714283</v>
      </c>
      <c r="BV68" s="438" t="str">
        <f t="shared" si="551"/>
        <v/>
      </c>
      <c r="BW68" s="422">
        <v>1.96428571428568</v>
      </c>
      <c r="BX68" s="422">
        <v>-158.75</v>
      </c>
      <c r="BY68" s="422">
        <f t="shared" si="552"/>
        <v>-156.78571428571431</v>
      </c>
      <c r="BZ68" s="438" t="str">
        <f t="shared" si="553"/>
        <v/>
      </c>
      <c r="CA68" s="422">
        <v>1.96428571428568</v>
      </c>
      <c r="CB68" s="422">
        <v>-168.21428571428601</v>
      </c>
      <c r="CC68" s="422">
        <f t="shared" si="554"/>
        <v>-166.25000000000031</v>
      </c>
      <c r="CD68" s="438" t="str">
        <f t="shared" si="555"/>
        <v/>
      </c>
      <c r="CE68" s="422">
        <v>35</v>
      </c>
      <c r="CF68" s="422">
        <v>-160</v>
      </c>
      <c r="CG68" s="422">
        <f t="shared" si="556"/>
        <v>-125</v>
      </c>
      <c r="CH68" s="438" t="str">
        <f t="shared" si="557"/>
        <v/>
      </c>
      <c r="CI68" s="422">
        <v>1.96428571428568</v>
      </c>
      <c r="CJ68" s="422">
        <v>-74.750000000000298</v>
      </c>
      <c r="CK68" s="422">
        <f t="shared" si="558"/>
        <v>-72.785714285714619</v>
      </c>
      <c r="CL68" s="438" t="str">
        <f t="shared" si="559"/>
        <v/>
      </c>
      <c r="CM68" s="422">
        <v>1.96428571428568</v>
      </c>
      <c r="CN68" s="422"/>
      <c r="CO68" s="422"/>
      <c r="CP68" s="422"/>
      <c r="CQ68" s="422">
        <v>30.163793103448299</v>
      </c>
      <c r="CR68" s="422">
        <f t="shared" si="561"/>
        <v>30.163793103448299</v>
      </c>
      <c r="CS68" s="438" t="str">
        <f t="shared" si="562"/>
        <v>F9</v>
      </c>
      <c r="CT68" s="422">
        <v>-20.526315789473699</v>
      </c>
      <c r="CU68" s="422">
        <v>-182.105263157895</v>
      </c>
      <c r="CV68" s="422">
        <f t="shared" si="563"/>
        <v>-202.63157894736869</v>
      </c>
      <c r="CW68" s="438" t="str">
        <f t="shared" si="564"/>
        <v/>
      </c>
      <c r="CX68" s="422">
        <f t="shared" ref="CX68" si="589">CT68</f>
        <v>-20.526315789473699</v>
      </c>
      <c r="CY68" s="422">
        <v>-168.21428571428601</v>
      </c>
      <c r="CZ68" s="422">
        <f t="shared" si="565"/>
        <v>-188.74060150375971</v>
      </c>
      <c r="DA68" s="438" t="str">
        <f t="shared" si="566"/>
        <v/>
      </c>
      <c r="DB68" s="422">
        <f t="shared" si="584"/>
        <v>-20.526315789473699</v>
      </c>
      <c r="DC68" s="422">
        <v>-130.17857142857099</v>
      </c>
      <c r="DD68" s="422">
        <f t="shared" si="567"/>
        <v>-150.70488721804469</v>
      </c>
      <c r="DE68" s="422" t="str">
        <f t="shared" si="568"/>
        <v/>
      </c>
      <c r="DF68" s="422">
        <f t="shared" si="569"/>
        <v>-20.526315789473699</v>
      </c>
      <c r="DG68" s="422">
        <v>-168.21428571428601</v>
      </c>
      <c r="DH68" s="422">
        <f t="shared" si="570"/>
        <v>-188.74060150375971</v>
      </c>
      <c r="DI68" s="422" t="str">
        <f t="shared" si="571"/>
        <v/>
      </c>
      <c r="DJ68" s="422">
        <f t="shared" si="585"/>
        <v>-20.526315789473699</v>
      </c>
      <c r="DK68" s="422">
        <v>36.035714285714299</v>
      </c>
      <c r="DL68" s="422">
        <f t="shared" si="572"/>
        <v>15.5093984962406</v>
      </c>
      <c r="DM68" s="422" t="str">
        <f t="shared" si="573"/>
        <v>F9</v>
      </c>
      <c r="DN68" s="422">
        <f t="shared" si="586"/>
        <v>-20.526315789473699</v>
      </c>
      <c r="DO68" s="422">
        <v>8.1785714285714093</v>
      </c>
      <c r="DP68" s="422">
        <f t="shared" si="574"/>
        <v>-12.34774436090229</v>
      </c>
      <c r="DQ68" s="438" t="str">
        <f t="shared" si="575"/>
        <v/>
      </c>
      <c r="DR68" s="422">
        <f t="shared" si="587"/>
        <v>-20.526315789473699</v>
      </c>
      <c r="DS68" s="422">
        <v>-132.25</v>
      </c>
      <c r="DT68" s="422">
        <f t="shared" si="576"/>
        <v>-152.7763157894737</v>
      </c>
      <c r="DU68" s="438" t="str">
        <f t="shared" si="577"/>
        <v/>
      </c>
      <c r="DV68" s="422">
        <f t="shared" si="588"/>
        <v>-20.526315789473699</v>
      </c>
      <c r="DW68" s="422">
        <v>42.642857142857103</v>
      </c>
      <c r="DX68" s="422">
        <f t="shared" si="578"/>
        <v>22.116541353383404</v>
      </c>
      <c r="DY68" s="438" t="str">
        <f t="shared" si="579"/>
        <v>F9</v>
      </c>
      <c r="DZ68" s="422">
        <f t="shared" si="580"/>
        <v>-20.526315789473699</v>
      </c>
      <c r="EA68" s="422">
        <v>-5.25</v>
      </c>
      <c r="EB68" s="422">
        <f t="shared" si="581"/>
        <v>-25.776315789473699</v>
      </c>
      <c r="EC68" s="438" t="str">
        <f t="shared" si="582"/>
        <v/>
      </c>
      <c r="ED68" s="422">
        <f t="shared" si="63"/>
        <v>-1764.392597873996</v>
      </c>
      <c r="EE68" s="422">
        <f t="shared" si="100"/>
        <v>-110.27453736712475</v>
      </c>
      <c r="EF68" s="438" t="str">
        <f t="shared" si="101"/>
        <v/>
      </c>
      <c r="EG68" s="422" t="str">
        <f t="shared" si="102"/>
        <v/>
      </c>
      <c r="EH68" s="439">
        <v>1</v>
      </c>
      <c r="EI68" s="422">
        <f t="shared" si="103"/>
        <v>-1764.392597873996</v>
      </c>
      <c r="EJ68" s="440">
        <f t="shared" si="104"/>
        <v>-1.1027453736712476</v>
      </c>
      <c r="EK68" s="438" t="s">
        <v>573</v>
      </c>
      <c r="EL68" s="438" t="s">
        <v>762</v>
      </c>
    </row>
    <row r="69" spans="1:142" ht="29.25" customHeight="1" thickBot="1">
      <c r="A69" s="781"/>
      <c r="B69" s="376"/>
      <c r="C69" s="376"/>
      <c r="D69" s="376"/>
      <c r="E69" s="376"/>
      <c r="F69" s="376"/>
      <c r="G69" s="376"/>
      <c r="H69" s="376"/>
      <c r="I69" s="376"/>
      <c r="J69" s="376"/>
      <c r="K69" s="376"/>
      <c r="L69" s="376"/>
      <c r="M69" s="714"/>
      <c r="N69" s="376"/>
      <c r="O69" s="723" t="s">
        <v>759</v>
      </c>
      <c r="P69" s="724"/>
      <c r="Q69" s="724"/>
      <c r="R69" s="725"/>
      <c r="S69" s="376"/>
      <c r="T69" s="376"/>
      <c r="U69" s="376"/>
      <c r="V69" s="376"/>
      <c r="W69" s="376"/>
      <c r="X69" s="376"/>
      <c r="Y69" s="376"/>
      <c r="Z69" s="376"/>
      <c r="AA69" s="420">
        <f t="shared" si="583"/>
        <v>68</v>
      </c>
      <c r="AB69" s="435" t="s">
        <v>61</v>
      </c>
      <c r="AC69" s="422" t="s">
        <v>394</v>
      </c>
      <c r="AD69" s="422" t="s">
        <v>326</v>
      </c>
      <c r="AE69" s="422">
        <v>23.1428571428571</v>
      </c>
      <c r="AF69" s="422">
        <f>'SSS1 ATTENDANCE '!FJ75</f>
        <v>128</v>
      </c>
      <c r="AG69" s="422">
        <f>'SSS1 ATTENDANCE '!FH75</f>
        <v>128</v>
      </c>
      <c r="AH69" s="422">
        <f>'SSS1 ATTENDANCE '!FI75</f>
        <v>0</v>
      </c>
      <c r="AI69" s="436" t="s">
        <v>641</v>
      </c>
      <c r="AJ69" s="437">
        <v>40368</v>
      </c>
      <c r="AK69" s="435" t="s">
        <v>396</v>
      </c>
      <c r="AL69" s="424">
        <v>25</v>
      </c>
      <c r="AM69" s="422">
        <v>60.571428571428498</v>
      </c>
      <c r="AN69" s="438">
        <v>4</v>
      </c>
      <c r="AO69" s="422" t="str">
        <f t="shared" si="64"/>
        <v>5</v>
      </c>
      <c r="AP69" s="438">
        <v>5</v>
      </c>
      <c r="AQ69" s="422">
        <v>4</v>
      </c>
      <c r="AR69" s="438">
        <v>4</v>
      </c>
      <c r="AS69" s="438">
        <v>4</v>
      </c>
      <c r="AT69" s="438">
        <v>4</v>
      </c>
      <c r="AU69" s="438">
        <v>3</v>
      </c>
      <c r="AV69" s="438">
        <v>4</v>
      </c>
      <c r="AW69" s="438">
        <v>4</v>
      </c>
      <c r="AX69" s="438">
        <v>3</v>
      </c>
      <c r="AY69" s="438">
        <v>4</v>
      </c>
      <c r="AZ69" s="438">
        <v>3</v>
      </c>
      <c r="BA69" s="438">
        <v>3</v>
      </c>
      <c r="BB69" s="438">
        <v>3</v>
      </c>
      <c r="BC69" s="438">
        <v>4</v>
      </c>
      <c r="BD69" s="438">
        <v>4</v>
      </c>
      <c r="BE69" s="438">
        <v>4</v>
      </c>
      <c r="BF69" s="438">
        <v>3</v>
      </c>
      <c r="BG69" s="438">
        <v>3</v>
      </c>
      <c r="BH69" s="438">
        <v>3</v>
      </c>
      <c r="BI69" s="438">
        <v>5</v>
      </c>
      <c r="BJ69" s="438">
        <v>4</v>
      </c>
      <c r="BK69" s="438">
        <v>3</v>
      </c>
      <c r="BL69" s="438">
        <v>5</v>
      </c>
      <c r="BM69" s="438">
        <v>3</v>
      </c>
      <c r="BN69" s="422" t="s">
        <v>467</v>
      </c>
      <c r="BO69" s="438">
        <v>1.4285714285714699</v>
      </c>
      <c r="BP69" s="438">
        <v>-234.71428571428601</v>
      </c>
      <c r="BQ69" s="422">
        <f t="shared" si="548"/>
        <v>-233.28571428571453</v>
      </c>
      <c r="BR69" s="438" t="str">
        <f t="shared" si="549"/>
        <v/>
      </c>
      <c r="BS69" s="422">
        <v>1.4285714285714699</v>
      </c>
      <c r="BT69" s="438">
        <v>-166.28571428571399</v>
      </c>
      <c r="BU69" s="422">
        <f t="shared" si="550"/>
        <v>-164.85714285714252</v>
      </c>
      <c r="BV69" s="438" t="str">
        <f t="shared" si="551"/>
        <v/>
      </c>
      <c r="BW69" s="422">
        <v>1.4285714285714699</v>
      </c>
      <c r="BX69" s="422">
        <v>-161.85714285714201</v>
      </c>
      <c r="BY69" s="422">
        <f t="shared" si="552"/>
        <v>-160.42857142857054</v>
      </c>
      <c r="BZ69" s="438" t="str">
        <f t="shared" si="553"/>
        <v/>
      </c>
      <c r="CA69" s="422">
        <v>1.4285714285714699</v>
      </c>
      <c r="CB69" s="422">
        <v>-171.42857142857201</v>
      </c>
      <c r="CC69" s="422">
        <f t="shared" si="554"/>
        <v>-170.00000000000054</v>
      </c>
      <c r="CD69" s="438" t="str">
        <f t="shared" si="555"/>
        <v/>
      </c>
      <c r="CE69" s="422">
        <v>35</v>
      </c>
      <c r="CF69" s="422">
        <v>-163.14285714285799</v>
      </c>
      <c r="CG69" s="422">
        <f t="shared" si="556"/>
        <v>-128.14285714285799</v>
      </c>
      <c r="CH69" s="438" t="str">
        <f t="shared" si="557"/>
        <v/>
      </c>
      <c r="CI69" s="422">
        <v>1.4285714285714699</v>
      </c>
      <c r="CJ69" s="422">
        <v>-76.571428571428299</v>
      </c>
      <c r="CK69" s="422">
        <f t="shared" si="558"/>
        <v>-75.142857142856826</v>
      </c>
      <c r="CL69" s="438" t="str">
        <f t="shared" si="559"/>
        <v/>
      </c>
      <c r="CM69" s="422">
        <v>1.4285714285714699</v>
      </c>
      <c r="CN69" s="422"/>
      <c r="CO69" s="422"/>
      <c r="CP69" s="422">
        <f t="shared" ref="CP69" si="590">CM69</f>
        <v>1.4285714285714699</v>
      </c>
      <c r="CQ69" s="422">
        <v>29.879310344827701</v>
      </c>
      <c r="CR69" s="422">
        <f t="shared" si="561"/>
        <v>31.307881773399171</v>
      </c>
      <c r="CS69" s="438" t="str">
        <f t="shared" si="562"/>
        <v>F9</v>
      </c>
      <c r="CT69" s="422">
        <v>-21.578947368421101</v>
      </c>
      <c r="CU69" s="422">
        <v>-186.31578947368499</v>
      </c>
      <c r="CV69" s="422">
        <f t="shared" si="563"/>
        <v>-207.89473684210608</v>
      </c>
      <c r="CW69" s="438" t="str">
        <f t="shared" si="564"/>
        <v/>
      </c>
      <c r="CX69" s="422">
        <v>35</v>
      </c>
      <c r="CY69" s="422">
        <v>-171.42857142857201</v>
      </c>
      <c r="CZ69" s="422">
        <f t="shared" si="565"/>
        <v>-136.42857142857201</v>
      </c>
      <c r="DA69" s="438" t="str">
        <f t="shared" si="566"/>
        <v/>
      </c>
      <c r="DB69" s="422">
        <f t="shared" si="584"/>
        <v>35</v>
      </c>
      <c r="DC69" s="422">
        <v>-132.857142857143</v>
      </c>
      <c r="DD69" s="422">
        <f t="shared" si="567"/>
        <v>-97.857142857143003</v>
      </c>
      <c r="DE69" s="422" t="str">
        <f t="shared" si="568"/>
        <v/>
      </c>
      <c r="DF69" s="422">
        <f t="shared" si="569"/>
        <v>35</v>
      </c>
      <c r="DG69" s="422">
        <v>-171.42857142857201</v>
      </c>
      <c r="DH69" s="422">
        <f t="shared" si="570"/>
        <v>-136.42857142857201</v>
      </c>
      <c r="DI69" s="422" t="str">
        <f t="shared" si="571"/>
        <v/>
      </c>
      <c r="DJ69" s="422">
        <f t="shared" si="585"/>
        <v>35</v>
      </c>
      <c r="DK69" s="422">
        <v>35.857142857142797</v>
      </c>
      <c r="DL69" s="422">
        <f t="shared" si="572"/>
        <v>70.857142857142804</v>
      </c>
      <c r="DM69" s="422" t="str">
        <f t="shared" si="573"/>
        <v>B2</v>
      </c>
      <c r="DN69" s="422">
        <f t="shared" si="586"/>
        <v>35</v>
      </c>
      <c r="DO69" s="422">
        <v>7.5714285714285996</v>
      </c>
      <c r="DP69" s="422">
        <f t="shared" si="574"/>
        <v>42.571428571428598</v>
      </c>
      <c r="DQ69" s="438" t="str">
        <f t="shared" si="575"/>
        <v>E8</v>
      </c>
      <c r="DR69" s="422">
        <f t="shared" si="587"/>
        <v>35</v>
      </c>
      <c r="DS69" s="422">
        <v>-134.85714285714201</v>
      </c>
      <c r="DT69" s="422">
        <f t="shared" si="576"/>
        <v>-99.857142857142009</v>
      </c>
      <c r="DU69" s="438" t="str">
        <f t="shared" si="577"/>
        <v/>
      </c>
      <c r="DV69" s="422">
        <f t="shared" si="588"/>
        <v>35</v>
      </c>
      <c r="DW69" s="422">
        <v>42.571428571428498</v>
      </c>
      <c r="DX69" s="422">
        <f t="shared" si="578"/>
        <v>77.571428571428498</v>
      </c>
      <c r="DY69" s="438" t="str">
        <f t="shared" si="579"/>
        <v>A</v>
      </c>
      <c r="DZ69" s="422">
        <f t="shared" si="580"/>
        <v>35</v>
      </c>
      <c r="EA69" s="422">
        <v>-6</v>
      </c>
      <c r="EB69" s="422">
        <f t="shared" si="581"/>
        <v>29</v>
      </c>
      <c r="EC69" s="438" t="str">
        <f t="shared" si="582"/>
        <v>F9</v>
      </c>
      <c r="ED69" s="422">
        <f t="shared" si="63"/>
        <v>-1359.0154264972787</v>
      </c>
      <c r="EE69" s="422">
        <f t="shared" si="100"/>
        <v>-84.938464156079917</v>
      </c>
      <c r="EF69" s="438" t="str">
        <f t="shared" si="101"/>
        <v/>
      </c>
      <c r="EG69" s="422" t="str">
        <f t="shared" si="102"/>
        <v/>
      </c>
      <c r="EH69" s="439">
        <v>1</v>
      </c>
      <c r="EI69" s="422">
        <f t="shared" si="103"/>
        <v>-1359.0154264972787</v>
      </c>
      <c r="EJ69" s="440">
        <f t="shared" si="104"/>
        <v>-0.84938464156079918</v>
      </c>
      <c r="EK69" s="438" t="s">
        <v>746</v>
      </c>
      <c r="EL69" s="438" t="s">
        <v>762</v>
      </c>
    </row>
    <row r="70" spans="1:142" ht="34.5" customHeight="1" thickBot="1">
      <c r="A70" s="781"/>
      <c r="B70" s="376"/>
      <c r="C70" s="376"/>
      <c r="D70" s="376"/>
      <c r="E70" s="376"/>
      <c r="F70" s="376"/>
      <c r="G70" s="376"/>
      <c r="H70" s="376"/>
      <c r="I70" s="376"/>
      <c r="J70" s="376"/>
      <c r="K70" s="376"/>
      <c r="L70" s="376"/>
      <c r="M70" s="714"/>
      <c r="N70" s="376"/>
      <c r="O70" s="726" t="e">
        <f>VLOOKUP(D19,AB:EL,108,FALSE)</f>
        <v>#N/A</v>
      </c>
      <c r="P70" s="727"/>
      <c r="Q70" s="727"/>
      <c r="R70" s="728"/>
      <c r="S70" s="376"/>
      <c r="T70" s="376"/>
      <c r="U70" s="376"/>
      <c r="V70" s="376"/>
      <c r="W70" s="376"/>
      <c r="X70" s="376"/>
      <c r="Y70" s="376"/>
      <c r="Z70" s="376"/>
      <c r="AA70" s="420">
        <f t="shared" si="583"/>
        <v>69</v>
      </c>
      <c r="AB70" s="435" t="s">
        <v>62</v>
      </c>
      <c r="AC70" s="422" t="s">
        <v>394</v>
      </c>
      <c r="AD70" s="422" t="s">
        <v>326</v>
      </c>
      <c r="AE70" s="422">
        <v>23.285714285714299</v>
      </c>
      <c r="AF70" s="422">
        <f>'SSS1 ATTENDANCE '!FJ76</f>
        <v>128</v>
      </c>
      <c r="AG70" s="422">
        <f>'SSS1 ATTENDANCE '!FH76</f>
        <v>118</v>
      </c>
      <c r="AH70" s="422">
        <f>'SSS1 ATTENDANCE '!FI76</f>
        <v>10</v>
      </c>
      <c r="AI70" s="436" t="s">
        <v>642</v>
      </c>
      <c r="AJ70" s="437">
        <v>40852</v>
      </c>
      <c r="AK70" s="435" t="s">
        <v>396</v>
      </c>
      <c r="AL70" s="424">
        <v>25</v>
      </c>
      <c r="AM70" s="422">
        <v>61.107142857142797</v>
      </c>
      <c r="AN70" s="438">
        <v>4</v>
      </c>
      <c r="AO70" s="422" t="str">
        <f t="shared" si="64"/>
        <v>5</v>
      </c>
      <c r="AP70" s="438">
        <v>5</v>
      </c>
      <c r="AQ70" s="422">
        <v>4</v>
      </c>
      <c r="AR70" s="438">
        <v>4</v>
      </c>
      <c r="AS70" s="438">
        <v>4</v>
      </c>
      <c r="AT70" s="438">
        <v>4</v>
      </c>
      <c r="AU70" s="438">
        <v>3</v>
      </c>
      <c r="AV70" s="438">
        <v>4</v>
      </c>
      <c r="AW70" s="438">
        <v>4</v>
      </c>
      <c r="AX70" s="438">
        <v>3</v>
      </c>
      <c r="AY70" s="438">
        <v>4</v>
      </c>
      <c r="AZ70" s="438">
        <v>3</v>
      </c>
      <c r="BA70" s="438">
        <v>3</v>
      </c>
      <c r="BB70" s="438">
        <v>3</v>
      </c>
      <c r="BC70" s="438">
        <v>4</v>
      </c>
      <c r="BD70" s="438">
        <v>4</v>
      </c>
      <c r="BE70" s="438">
        <v>4</v>
      </c>
      <c r="BF70" s="438">
        <v>3</v>
      </c>
      <c r="BG70" s="438">
        <v>3</v>
      </c>
      <c r="BH70" s="438">
        <v>3</v>
      </c>
      <c r="BI70" s="438">
        <v>5</v>
      </c>
      <c r="BJ70" s="438">
        <v>4</v>
      </c>
      <c r="BK70" s="438">
        <v>3</v>
      </c>
      <c r="BL70" s="438">
        <v>5</v>
      </c>
      <c r="BM70" s="438">
        <v>3</v>
      </c>
      <c r="BN70" s="422" t="s">
        <v>468</v>
      </c>
      <c r="BO70" s="438">
        <v>0.89285714285717399</v>
      </c>
      <c r="BP70" s="438">
        <v>-238.892857142857</v>
      </c>
      <c r="BQ70" s="422">
        <f t="shared" si="548"/>
        <v>-237.99999999999983</v>
      </c>
      <c r="BR70" s="438" t="str">
        <f t="shared" si="549"/>
        <v/>
      </c>
      <c r="BS70" s="422">
        <v>0.89285714285717399</v>
      </c>
      <c r="BT70" s="438">
        <v>-169.53571428571399</v>
      </c>
      <c r="BU70" s="422">
        <f t="shared" si="550"/>
        <v>-168.64285714285683</v>
      </c>
      <c r="BV70" s="438" t="str">
        <f t="shared" si="551"/>
        <v/>
      </c>
      <c r="BW70" s="422">
        <v>0.89285714285717399</v>
      </c>
      <c r="BX70" s="422">
        <v>-164.96428571428501</v>
      </c>
      <c r="BY70" s="422">
        <f t="shared" si="552"/>
        <v>-164.07142857142784</v>
      </c>
      <c r="BZ70" s="438" t="str">
        <f t="shared" si="553"/>
        <v/>
      </c>
      <c r="CA70" s="422">
        <v>0.89285714285717399</v>
      </c>
      <c r="CB70" s="422">
        <v>-174.64285714285799</v>
      </c>
      <c r="CC70" s="422">
        <f t="shared" si="554"/>
        <v>-173.75000000000082</v>
      </c>
      <c r="CD70" s="438" t="str">
        <f t="shared" si="555"/>
        <v/>
      </c>
      <c r="CE70" s="422">
        <v>35</v>
      </c>
      <c r="CF70" s="422">
        <v>-166.28571428571499</v>
      </c>
      <c r="CG70" s="422">
        <f t="shared" si="556"/>
        <v>-131.28571428571499</v>
      </c>
      <c r="CH70" s="438" t="str">
        <f t="shared" si="557"/>
        <v/>
      </c>
      <c r="CI70" s="422">
        <v>0.89285714285717399</v>
      </c>
      <c r="CJ70" s="422">
        <v>-78.392857142857295</v>
      </c>
      <c r="CK70" s="422">
        <f t="shared" si="558"/>
        <v>-77.500000000000128</v>
      </c>
      <c r="CL70" s="438" t="str">
        <f t="shared" si="559"/>
        <v/>
      </c>
      <c r="CM70" s="422">
        <v>0.89285714285717399</v>
      </c>
      <c r="CN70" s="422"/>
      <c r="CO70" s="422"/>
      <c r="CP70" s="422"/>
      <c r="CQ70" s="422">
        <v>29.594827586207</v>
      </c>
      <c r="CR70" s="422">
        <f t="shared" si="561"/>
        <v>29.594827586207</v>
      </c>
      <c r="CS70" s="438" t="str">
        <f t="shared" si="562"/>
        <v>F9</v>
      </c>
      <c r="CT70" s="422">
        <v>-22.631578947368499</v>
      </c>
      <c r="CU70" s="422">
        <v>-190.52631578947401</v>
      </c>
      <c r="CV70" s="422">
        <f t="shared" si="563"/>
        <v>-213.15789473684251</v>
      </c>
      <c r="CW70" s="438" t="str">
        <f t="shared" si="564"/>
        <v/>
      </c>
      <c r="CX70" s="422">
        <f t="shared" ref="CX70" si="591">CT70</f>
        <v>-22.631578947368499</v>
      </c>
      <c r="CY70" s="422">
        <v>-174.64285714285799</v>
      </c>
      <c r="CZ70" s="422">
        <f t="shared" si="565"/>
        <v>-197.27443609022649</v>
      </c>
      <c r="DA70" s="438" t="str">
        <f t="shared" si="566"/>
        <v/>
      </c>
      <c r="DB70" s="422">
        <f t="shared" si="584"/>
        <v>-22.631578947368499</v>
      </c>
      <c r="DC70" s="422">
        <v>-135.53571428571399</v>
      </c>
      <c r="DD70" s="422">
        <f t="shared" si="567"/>
        <v>-158.16729323308249</v>
      </c>
      <c r="DE70" s="422" t="str">
        <f t="shared" si="568"/>
        <v/>
      </c>
      <c r="DF70" s="422">
        <f t="shared" si="569"/>
        <v>-22.631578947368499</v>
      </c>
      <c r="DG70" s="422">
        <v>-174.64285714285799</v>
      </c>
      <c r="DH70" s="422">
        <f t="shared" si="570"/>
        <v>-197.27443609022649</v>
      </c>
      <c r="DI70" s="422" t="str">
        <f t="shared" si="571"/>
        <v/>
      </c>
      <c r="DJ70" s="422">
        <f t="shared" si="585"/>
        <v>-22.631578947368499</v>
      </c>
      <c r="DK70" s="422">
        <v>35.678571428571402</v>
      </c>
      <c r="DL70" s="422">
        <f t="shared" si="572"/>
        <v>13.046992481202903</v>
      </c>
      <c r="DM70" s="422" t="str">
        <f t="shared" si="573"/>
        <v>F9</v>
      </c>
      <c r="DN70" s="422">
        <f t="shared" si="586"/>
        <v>-22.631578947368499</v>
      </c>
      <c r="DO70" s="422">
        <v>6.96428571428571</v>
      </c>
      <c r="DP70" s="422">
        <f t="shared" si="574"/>
        <v>-15.667293233082789</v>
      </c>
      <c r="DQ70" s="438" t="str">
        <f t="shared" si="575"/>
        <v/>
      </c>
      <c r="DR70" s="422">
        <f t="shared" si="587"/>
        <v>-22.631578947368499</v>
      </c>
      <c r="DS70" s="422">
        <v>-137.46428571428501</v>
      </c>
      <c r="DT70" s="422">
        <f t="shared" si="576"/>
        <v>-160.09586466165351</v>
      </c>
      <c r="DU70" s="438" t="str">
        <f t="shared" si="577"/>
        <v/>
      </c>
      <c r="DV70" s="422">
        <f t="shared" si="588"/>
        <v>-22.631578947368499</v>
      </c>
      <c r="DW70" s="422">
        <v>42.5</v>
      </c>
      <c r="DX70" s="422">
        <f t="shared" si="578"/>
        <v>19.868421052631501</v>
      </c>
      <c r="DY70" s="438" t="str">
        <f t="shared" si="579"/>
        <v>F9</v>
      </c>
      <c r="DZ70" s="422">
        <f t="shared" si="580"/>
        <v>-22.631578947368499</v>
      </c>
      <c r="EA70" s="422">
        <v>-6.75</v>
      </c>
      <c r="EB70" s="422">
        <f t="shared" si="581"/>
        <v>-29.381578947368499</v>
      </c>
      <c r="EC70" s="438" t="str">
        <f t="shared" si="582"/>
        <v/>
      </c>
      <c r="ED70" s="422">
        <f t="shared" si="63"/>
        <v>-1861.758555872442</v>
      </c>
      <c r="EE70" s="422">
        <f t="shared" si="100"/>
        <v>-116.35990974202763</v>
      </c>
      <c r="EF70" s="438" t="str">
        <f t="shared" si="101"/>
        <v/>
      </c>
      <c r="EG70" s="422" t="str">
        <f t="shared" si="102"/>
        <v/>
      </c>
      <c r="EH70" s="439">
        <v>1</v>
      </c>
      <c r="EI70" s="422">
        <f t="shared" si="103"/>
        <v>-1861.758555872442</v>
      </c>
      <c r="EJ70" s="440">
        <f t="shared" si="104"/>
        <v>-1.1635990974202763</v>
      </c>
      <c r="EK70" s="438" t="s">
        <v>747</v>
      </c>
      <c r="EL70" s="438" t="s">
        <v>762</v>
      </c>
    </row>
    <row r="71" spans="1:142" ht="27.75" customHeight="1" thickBot="1">
      <c r="A71" s="781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714"/>
      <c r="N71" s="376"/>
      <c r="O71" s="729" t="s">
        <v>348</v>
      </c>
      <c r="P71" s="730"/>
      <c r="Q71" s="730"/>
      <c r="R71" s="731"/>
      <c r="S71" s="376"/>
      <c r="T71" s="376"/>
      <c r="U71" s="376"/>
      <c r="V71" s="373"/>
      <c r="W71" s="373"/>
      <c r="X71" s="373"/>
      <c r="Y71" s="373"/>
      <c r="Z71" s="373"/>
      <c r="AA71" s="420">
        <f t="shared" si="583"/>
        <v>70</v>
      </c>
      <c r="AB71" s="435" t="s">
        <v>63</v>
      </c>
      <c r="AC71" s="422" t="s">
        <v>394</v>
      </c>
      <c r="AD71" s="422" t="s">
        <v>326</v>
      </c>
      <c r="AE71" s="422">
        <v>23.428571428571399</v>
      </c>
      <c r="AF71" s="422">
        <f>'SSS1 ATTENDANCE '!FJ77</f>
        <v>128</v>
      </c>
      <c r="AG71" s="422">
        <f>'SSS1 ATTENDANCE '!FH77</f>
        <v>112</v>
      </c>
      <c r="AH71" s="422">
        <f>'SSS1 ATTENDANCE '!FI77</f>
        <v>16</v>
      </c>
      <c r="AI71" s="436" t="s">
        <v>643</v>
      </c>
      <c r="AJ71" s="437">
        <v>40881</v>
      </c>
      <c r="AK71" s="435" t="s">
        <v>396</v>
      </c>
      <c r="AL71" s="424">
        <v>25</v>
      </c>
      <c r="AM71" s="422">
        <v>61.642857142857103</v>
      </c>
      <c r="AN71" s="438">
        <v>4</v>
      </c>
      <c r="AO71" s="422" t="str">
        <f t="shared" si="64"/>
        <v>5</v>
      </c>
      <c r="AP71" s="438">
        <v>5</v>
      </c>
      <c r="AQ71" s="422">
        <v>4</v>
      </c>
      <c r="AR71" s="438">
        <v>4</v>
      </c>
      <c r="AS71" s="438">
        <v>4</v>
      </c>
      <c r="AT71" s="438">
        <v>4</v>
      </c>
      <c r="AU71" s="438">
        <v>3</v>
      </c>
      <c r="AV71" s="438">
        <v>4</v>
      </c>
      <c r="AW71" s="438">
        <v>4</v>
      </c>
      <c r="AX71" s="438">
        <v>3</v>
      </c>
      <c r="AY71" s="438">
        <v>4</v>
      </c>
      <c r="AZ71" s="438">
        <v>3</v>
      </c>
      <c r="BA71" s="438">
        <v>3</v>
      </c>
      <c r="BB71" s="438">
        <v>3</v>
      </c>
      <c r="BC71" s="438">
        <v>4</v>
      </c>
      <c r="BD71" s="438">
        <v>4</v>
      </c>
      <c r="BE71" s="438">
        <v>4</v>
      </c>
      <c r="BF71" s="438">
        <v>3</v>
      </c>
      <c r="BG71" s="438">
        <v>3</v>
      </c>
      <c r="BH71" s="438">
        <v>3</v>
      </c>
      <c r="BI71" s="438">
        <v>5</v>
      </c>
      <c r="BJ71" s="438">
        <v>4</v>
      </c>
      <c r="BK71" s="438">
        <v>3</v>
      </c>
      <c r="BL71" s="438">
        <v>5</v>
      </c>
      <c r="BM71" s="438">
        <v>3</v>
      </c>
      <c r="BN71" s="422" t="s">
        <v>469</v>
      </c>
      <c r="BO71" s="438">
        <v>0.35714285714287503</v>
      </c>
      <c r="BP71" s="438">
        <v>-243.07142857142799</v>
      </c>
      <c r="BQ71" s="422">
        <f t="shared" si="548"/>
        <v>-242.71428571428513</v>
      </c>
      <c r="BR71" s="438" t="str">
        <f t="shared" si="549"/>
        <v/>
      </c>
      <c r="BS71" s="422">
        <v>0.35714285714287503</v>
      </c>
      <c r="BT71" s="438">
        <v>-172.78571428571399</v>
      </c>
      <c r="BU71" s="422">
        <f t="shared" si="550"/>
        <v>-172.42857142857113</v>
      </c>
      <c r="BV71" s="438" t="str">
        <f t="shared" si="551"/>
        <v/>
      </c>
      <c r="BW71" s="422">
        <v>0.35714285714287503</v>
      </c>
      <c r="BX71" s="422">
        <v>-168.07142857142799</v>
      </c>
      <c r="BY71" s="422">
        <f t="shared" si="552"/>
        <v>-167.71428571428513</v>
      </c>
      <c r="BZ71" s="438" t="str">
        <f t="shared" si="553"/>
        <v/>
      </c>
      <c r="CA71" s="422">
        <v>0.35714285714287503</v>
      </c>
      <c r="CB71" s="422">
        <v>-177.857142857143</v>
      </c>
      <c r="CC71" s="422">
        <f t="shared" si="554"/>
        <v>-177.50000000000014</v>
      </c>
      <c r="CD71" s="438" t="str">
        <f t="shared" si="555"/>
        <v/>
      </c>
      <c r="CE71" s="422">
        <v>35</v>
      </c>
      <c r="CF71" s="422">
        <v>-169.42857142857201</v>
      </c>
      <c r="CG71" s="422">
        <f t="shared" si="556"/>
        <v>-134.42857142857201</v>
      </c>
      <c r="CH71" s="438" t="str">
        <f t="shared" si="557"/>
        <v/>
      </c>
      <c r="CI71" s="422">
        <v>0.35714285714287503</v>
      </c>
      <c r="CJ71" s="422">
        <v>-80.214285714285296</v>
      </c>
      <c r="CK71" s="422">
        <f t="shared" si="558"/>
        <v>-79.857142857142421</v>
      </c>
      <c r="CL71" s="438" t="str">
        <f t="shared" si="559"/>
        <v/>
      </c>
      <c r="CM71" s="422">
        <v>0.35714285714287503</v>
      </c>
      <c r="CN71" s="422"/>
      <c r="CO71" s="422"/>
      <c r="CP71" s="422">
        <f t="shared" ref="CP71" si="592">CM71</f>
        <v>0.35714285714287503</v>
      </c>
      <c r="CQ71" s="422">
        <v>29.310344827586299</v>
      </c>
      <c r="CR71" s="422">
        <f t="shared" si="561"/>
        <v>29.667487684729174</v>
      </c>
      <c r="CS71" s="438" t="str">
        <f t="shared" si="562"/>
        <v>F9</v>
      </c>
      <c r="CT71" s="422"/>
      <c r="CU71" s="422"/>
      <c r="CV71" s="422">
        <f t="shared" si="563"/>
        <v>0</v>
      </c>
      <c r="CW71" s="438" t="str">
        <f t="shared" si="564"/>
        <v/>
      </c>
      <c r="CX71" s="422">
        <v>35</v>
      </c>
      <c r="CY71" s="422">
        <v>-177.857142857143</v>
      </c>
      <c r="CZ71" s="422">
        <f t="shared" si="565"/>
        <v>-142.857142857143</v>
      </c>
      <c r="DA71" s="438" t="str">
        <f t="shared" si="566"/>
        <v/>
      </c>
      <c r="DB71" s="422">
        <f t="shared" si="584"/>
        <v>35</v>
      </c>
      <c r="DC71" s="422">
        <v>-138.21428571428601</v>
      </c>
      <c r="DD71" s="422">
        <f t="shared" si="567"/>
        <v>-103.21428571428601</v>
      </c>
      <c r="DE71" s="422" t="str">
        <f t="shared" si="568"/>
        <v/>
      </c>
      <c r="DF71" s="422">
        <f t="shared" si="569"/>
        <v>35</v>
      </c>
      <c r="DG71" s="422">
        <v>-177.857142857143</v>
      </c>
      <c r="DH71" s="422">
        <f t="shared" si="570"/>
        <v>-142.857142857143</v>
      </c>
      <c r="DI71" s="422" t="str">
        <f t="shared" si="571"/>
        <v/>
      </c>
      <c r="DJ71" s="422">
        <f t="shared" si="585"/>
        <v>35</v>
      </c>
      <c r="DK71" s="422">
        <v>35.5</v>
      </c>
      <c r="DL71" s="422">
        <f t="shared" si="572"/>
        <v>70.5</v>
      </c>
      <c r="DM71" s="422" t="str">
        <f t="shared" si="573"/>
        <v>B2</v>
      </c>
      <c r="DN71" s="422">
        <f t="shared" si="586"/>
        <v>35</v>
      </c>
      <c r="DO71" s="422">
        <v>6.3571428571427999</v>
      </c>
      <c r="DP71" s="422">
        <f t="shared" si="574"/>
        <v>41.357142857142797</v>
      </c>
      <c r="DQ71" s="438" t="str">
        <f t="shared" si="575"/>
        <v>E8</v>
      </c>
      <c r="DR71" s="422">
        <f t="shared" si="587"/>
        <v>35</v>
      </c>
      <c r="DS71" s="422">
        <v>-140.07142857142799</v>
      </c>
      <c r="DT71" s="422">
        <f t="shared" si="576"/>
        <v>-105.07142857142799</v>
      </c>
      <c r="DU71" s="438" t="str">
        <f t="shared" si="577"/>
        <v/>
      </c>
      <c r="DV71" s="422">
        <f t="shared" si="588"/>
        <v>35</v>
      </c>
      <c r="DW71" s="422">
        <v>42.428571428571402</v>
      </c>
      <c r="DX71" s="422">
        <f t="shared" si="578"/>
        <v>77.428571428571402</v>
      </c>
      <c r="DY71" s="438" t="str">
        <f t="shared" si="579"/>
        <v>A</v>
      </c>
      <c r="DZ71" s="422">
        <f t="shared" si="580"/>
        <v>35</v>
      </c>
      <c r="EA71" s="422">
        <v>-7.5</v>
      </c>
      <c r="EB71" s="422">
        <f t="shared" si="581"/>
        <v>27.5</v>
      </c>
      <c r="EC71" s="438" t="str">
        <f t="shared" si="582"/>
        <v>F9</v>
      </c>
      <c r="ED71" s="422">
        <f t="shared" si="63"/>
        <v>-1222.1896551724126</v>
      </c>
      <c r="EE71" s="422">
        <f t="shared" si="100"/>
        <v>-76.386853448275787</v>
      </c>
      <c r="EF71" s="438" t="str">
        <f t="shared" si="101"/>
        <v/>
      </c>
      <c r="EG71" s="422" t="str">
        <f t="shared" si="102"/>
        <v/>
      </c>
      <c r="EH71" s="439">
        <v>1</v>
      </c>
      <c r="EI71" s="422">
        <f t="shared" si="103"/>
        <v>-1222.1896551724126</v>
      </c>
      <c r="EJ71" s="440">
        <f t="shared" si="104"/>
        <v>-0.76386853448275782</v>
      </c>
      <c r="EK71" s="438" t="s">
        <v>573</v>
      </c>
      <c r="EL71" s="438" t="s">
        <v>762</v>
      </c>
    </row>
    <row r="72" spans="1:142" ht="23.25" customHeight="1" thickBot="1">
      <c r="A72" s="781"/>
      <c r="B72" s="690"/>
      <c r="C72" s="690"/>
      <c r="D72" s="690"/>
      <c r="E72" s="690"/>
      <c r="F72" s="690"/>
      <c r="G72" s="690"/>
      <c r="H72" s="690"/>
      <c r="I72" s="690"/>
      <c r="J72" s="690"/>
      <c r="K72" s="690"/>
      <c r="L72" s="690"/>
      <c r="M72" s="714"/>
      <c r="N72" s="376"/>
      <c r="O72" s="761" t="e">
        <f>VLOOKUP(D19,AB:EL,107,FALSE)</f>
        <v>#N/A</v>
      </c>
      <c r="P72" s="762"/>
      <c r="Q72" s="762"/>
      <c r="R72" s="763"/>
      <c r="S72" s="376"/>
      <c r="T72" s="376"/>
      <c r="U72" s="376"/>
      <c r="V72" s="373"/>
      <c r="W72" s="373"/>
      <c r="X72" s="373"/>
      <c r="Y72" s="373"/>
      <c r="Z72" s="373"/>
      <c r="AA72" s="420">
        <f t="shared" si="583"/>
        <v>71</v>
      </c>
      <c r="AB72" s="435" t="s">
        <v>57</v>
      </c>
      <c r="AC72" s="422" t="s">
        <v>394</v>
      </c>
      <c r="AD72" s="422" t="s">
        <v>326</v>
      </c>
      <c r="AE72" s="422">
        <v>23.571428571428601</v>
      </c>
      <c r="AF72" s="422">
        <f>'SSS1 ATTENDANCE '!FJ78</f>
        <v>128</v>
      </c>
      <c r="AG72" s="422">
        <f>'SSS1 ATTENDANCE '!FH78</f>
        <v>118</v>
      </c>
      <c r="AH72" s="422">
        <f>'SSS1 ATTENDANCE '!FI78</f>
        <v>10</v>
      </c>
      <c r="AI72" s="436" t="s">
        <v>644</v>
      </c>
      <c r="AJ72" s="437">
        <v>41122</v>
      </c>
      <c r="AK72" s="435" t="s">
        <v>396</v>
      </c>
      <c r="AL72" s="424">
        <v>25</v>
      </c>
      <c r="AM72" s="422">
        <v>62.178571428571402</v>
      </c>
      <c r="AN72" s="438">
        <v>4</v>
      </c>
      <c r="AO72" s="422" t="str">
        <f t="shared" si="64"/>
        <v>5</v>
      </c>
      <c r="AP72" s="438">
        <v>5</v>
      </c>
      <c r="AQ72" s="422">
        <v>4</v>
      </c>
      <c r="AR72" s="438">
        <v>4</v>
      </c>
      <c r="AS72" s="438">
        <v>4</v>
      </c>
      <c r="AT72" s="438">
        <v>4</v>
      </c>
      <c r="AU72" s="438">
        <v>3</v>
      </c>
      <c r="AV72" s="438">
        <v>4</v>
      </c>
      <c r="AW72" s="438">
        <v>4</v>
      </c>
      <c r="AX72" s="438">
        <v>3</v>
      </c>
      <c r="AY72" s="438">
        <v>4</v>
      </c>
      <c r="AZ72" s="438">
        <v>3</v>
      </c>
      <c r="BA72" s="438">
        <v>3</v>
      </c>
      <c r="BB72" s="438">
        <v>3</v>
      </c>
      <c r="BC72" s="438">
        <v>4</v>
      </c>
      <c r="BD72" s="438">
        <v>4</v>
      </c>
      <c r="BE72" s="438">
        <v>4</v>
      </c>
      <c r="BF72" s="438">
        <v>3</v>
      </c>
      <c r="BG72" s="438">
        <v>3</v>
      </c>
      <c r="BH72" s="438">
        <v>3</v>
      </c>
      <c r="BI72" s="438">
        <v>5</v>
      </c>
      <c r="BJ72" s="438">
        <v>4</v>
      </c>
      <c r="BK72" s="438">
        <v>3</v>
      </c>
      <c r="BL72" s="438">
        <v>5</v>
      </c>
      <c r="BM72" s="438">
        <v>3</v>
      </c>
      <c r="BN72" s="422" t="s">
        <v>470</v>
      </c>
      <c r="BO72" s="422">
        <v>-0.178571428571423</v>
      </c>
      <c r="BP72" s="422">
        <v>-247.25</v>
      </c>
      <c r="BQ72" s="422">
        <v>100</v>
      </c>
      <c r="BR72" s="438" t="s">
        <v>749</v>
      </c>
      <c r="BS72" s="422">
        <v>-0.178571428571423</v>
      </c>
      <c r="BT72" s="422">
        <v>-176.03571428571399</v>
      </c>
      <c r="BU72" s="422">
        <v>100</v>
      </c>
      <c r="BV72" s="438" t="s">
        <v>749</v>
      </c>
      <c r="BW72" s="422">
        <v>-0.178571428571423</v>
      </c>
      <c r="BX72" s="422">
        <v>-171.17857142857099</v>
      </c>
      <c r="BY72" s="422">
        <v>100</v>
      </c>
      <c r="BZ72" s="422" t="str">
        <f t="shared" ref="BZ72" si="593">BV72</f>
        <v>Grades</v>
      </c>
      <c r="CA72" s="422">
        <v>-0.178571428571423</v>
      </c>
      <c r="CB72" s="422">
        <v>-181.07142857142901</v>
      </c>
      <c r="CC72" s="422">
        <v>100</v>
      </c>
      <c r="CD72" s="422" t="str">
        <f t="shared" ref="CD72" si="594">BZ72</f>
        <v>Grades</v>
      </c>
      <c r="CE72" s="422">
        <f t="shared" ref="CE72" si="595">CA72</f>
        <v>-0.178571428571423</v>
      </c>
      <c r="CF72" s="422">
        <v>-172.57142857142901</v>
      </c>
      <c r="CG72" s="422">
        <v>100</v>
      </c>
      <c r="CH72" s="422" t="str">
        <f t="shared" ref="CH72" si="596">CD72</f>
        <v>Grades</v>
      </c>
      <c r="CI72" s="422">
        <v>-0.178571428571423</v>
      </c>
      <c r="CJ72" s="422">
        <v>-82.035714285714306</v>
      </c>
      <c r="CK72" s="422">
        <v>100</v>
      </c>
      <c r="CL72" s="422" t="str">
        <f t="shared" ref="CL72" si="597">CH72</f>
        <v>Grades</v>
      </c>
      <c r="CM72" s="422">
        <v>-0.178571428571423</v>
      </c>
      <c r="CN72" s="422">
        <v>60</v>
      </c>
      <c r="CO72" s="422"/>
      <c r="CP72" s="422">
        <v>40</v>
      </c>
      <c r="CQ72" s="422">
        <v>29.025862068965601</v>
      </c>
      <c r="CR72" s="422">
        <v>100</v>
      </c>
      <c r="CS72" s="438" t="str">
        <f t="shared" ref="CS72" si="598">CL72</f>
        <v>Grades</v>
      </c>
      <c r="CT72" s="422">
        <v>-23.684210526315798</v>
      </c>
      <c r="CU72" s="422">
        <v>-194.736842105264</v>
      </c>
      <c r="CV72" s="422">
        <v>100</v>
      </c>
      <c r="CW72" s="438" t="str">
        <f t="shared" ref="CW72" si="599">CS72</f>
        <v>Grades</v>
      </c>
      <c r="CX72" s="422">
        <v>-35.8333333333333</v>
      </c>
      <c r="CY72" s="422">
        <v>-181.07142857142901</v>
      </c>
      <c r="CZ72" s="422">
        <v>100</v>
      </c>
      <c r="DA72" s="438" t="str">
        <f t="shared" ref="DA72" si="600">CW72</f>
        <v>Grades</v>
      </c>
      <c r="DB72" s="422">
        <v>-160</v>
      </c>
      <c r="DC72" s="422">
        <v>-140.892857142857</v>
      </c>
      <c r="DD72" s="422">
        <v>100</v>
      </c>
      <c r="DE72" s="422" t="str">
        <f t="shared" ref="DE72" si="601">DA72</f>
        <v>Grades</v>
      </c>
      <c r="DF72" s="422">
        <v>40</v>
      </c>
      <c r="DG72" s="422">
        <v>-181.07142857142901</v>
      </c>
      <c r="DH72" s="422">
        <v>100</v>
      </c>
      <c r="DI72" s="422" t="str">
        <f t="shared" ref="DI72" si="602">DE72</f>
        <v>Grades</v>
      </c>
      <c r="DJ72" s="422">
        <v>-60</v>
      </c>
      <c r="DK72" s="422">
        <v>35.321428571428598</v>
      </c>
      <c r="DL72" s="422">
        <v>100</v>
      </c>
      <c r="DM72" s="422" t="str">
        <f t="shared" ref="DM72" si="603">DI72</f>
        <v>Grades</v>
      </c>
      <c r="DN72" s="422">
        <v>-60</v>
      </c>
      <c r="DO72" s="422">
        <v>5.7500000000000098</v>
      </c>
      <c r="DP72" s="422">
        <v>100</v>
      </c>
      <c r="DQ72" s="438" t="str">
        <f t="shared" ref="DQ72" si="604">DM72</f>
        <v>Grades</v>
      </c>
      <c r="DR72" s="422">
        <v>-260</v>
      </c>
      <c r="DS72" s="422">
        <v>-142.67857142857099</v>
      </c>
      <c r="DT72" s="422">
        <v>100</v>
      </c>
      <c r="DU72" s="438" t="str">
        <f t="shared" ref="DU72" si="605">DQ72</f>
        <v>Grades</v>
      </c>
      <c r="DV72" s="422">
        <v>-60</v>
      </c>
      <c r="DW72" s="422">
        <v>42.357142857142797</v>
      </c>
      <c r="DX72" s="422">
        <v>100</v>
      </c>
      <c r="DY72" s="438" t="str">
        <f t="shared" ref="DY72" si="606">DU72</f>
        <v>Grades</v>
      </c>
      <c r="DZ72" s="422">
        <v>40</v>
      </c>
      <c r="EA72" s="422">
        <v>-8.25</v>
      </c>
      <c r="EB72" s="422">
        <v>100</v>
      </c>
      <c r="EC72" s="438" t="str">
        <f t="shared" ref="EC72" si="607">DY72</f>
        <v>Grades</v>
      </c>
      <c r="ED72" s="422">
        <f t="shared" si="63"/>
        <v>1600</v>
      </c>
      <c r="EE72" s="422">
        <f t="shared" si="100"/>
        <v>100</v>
      </c>
      <c r="EF72" s="438" t="str">
        <f t="shared" si="101"/>
        <v>A1</v>
      </c>
      <c r="EG72" s="422" t="str">
        <f t="shared" si="102"/>
        <v>DISTINTION</v>
      </c>
      <c r="EH72" s="439">
        <v>1</v>
      </c>
      <c r="EI72" s="422">
        <f t="shared" si="103"/>
        <v>1600</v>
      </c>
      <c r="EJ72" s="440">
        <f t="shared" si="104"/>
        <v>1</v>
      </c>
      <c r="EK72" s="438" t="s">
        <v>573</v>
      </c>
      <c r="EL72" s="438" t="s">
        <v>762</v>
      </c>
    </row>
    <row r="73" spans="1:142" ht="25.5" customHeight="1" thickBot="1">
      <c r="A73" s="781"/>
      <c r="B73" s="690"/>
      <c r="C73" s="690"/>
      <c r="D73" s="690"/>
      <c r="E73" s="690"/>
      <c r="F73" s="690"/>
      <c r="G73" s="690"/>
      <c r="H73" s="690"/>
      <c r="I73" s="690"/>
      <c r="J73" s="690"/>
      <c r="K73" s="690"/>
      <c r="L73" s="690"/>
      <c r="M73" s="376"/>
      <c r="N73" s="376"/>
      <c r="O73" s="681" t="s">
        <v>393</v>
      </c>
      <c r="P73" s="682"/>
      <c r="Q73" s="682"/>
      <c r="R73" s="683"/>
      <c r="S73" s="376"/>
      <c r="T73" s="376"/>
      <c r="U73" s="376"/>
      <c r="V73" s="373"/>
      <c r="W73" s="373"/>
      <c r="X73" s="373"/>
      <c r="Y73" s="373"/>
      <c r="Z73" s="373"/>
      <c r="AA73" s="420">
        <f t="shared" si="583"/>
        <v>72</v>
      </c>
      <c r="AB73" s="435" t="s">
        <v>58</v>
      </c>
      <c r="AC73" s="422" t="s">
        <v>394</v>
      </c>
      <c r="AD73" s="422" t="s">
        <v>326</v>
      </c>
      <c r="AE73" s="422">
        <v>23.714285714285701</v>
      </c>
      <c r="AF73" s="422">
        <f>'SSS1 ATTENDANCE '!FJ79</f>
        <v>128</v>
      </c>
      <c r="AG73" s="422">
        <f>'SSS1 ATTENDANCE '!FH79</f>
        <v>126</v>
      </c>
      <c r="AH73" s="422">
        <f>'SSS1 ATTENDANCE '!FI79</f>
        <v>2</v>
      </c>
      <c r="AI73" s="436" t="s">
        <v>645</v>
      </c>
      <c r="AJ73" s="437">
        <v>40844</v>
      </c>
      <c r="AK73" s="435" t="s">
        <v>396</v>
      </c>
      <c r="AL73" s="424">
        <v>25</v>
      </c>
      <c r="AM73" s="422">
        <v>62.714285714285701</v>
      </c>
      <c r="AN73" s="438">
        <v>4</v>
      </c>
      <c r="AO73" s="422" t="str">
        <f t="shared" si="64"/>
        <v>5</v>
      </c>
      <c r="AP73" s="438">
        <v>5</v>
      </c>
      <c r="AQ73" s="422">
        <v>4</v>
      </c>
      <c r="AR73" s="438">
        <v>4</v>
      </c>
      <c r="AS73" s="438">
        <v>4</v>
      </c>
      <c r="AT73" s="438">
        <v>4</v>
      </c>
      <c r="AU73" s="438">
        <v>3</v>
      </c>
      <c r="AV73" s="438">
        <v>4</v>
      </c>
      <c r="AW73" s="438">
        <v>4</v>
      </c>
      <c r="AX73" s="438">
        <v>3</v>
      </c>
      <c r="AY73" s="438">
        <v>4</v>
      </c>
      <c r="AZ73" s="438">
        <v>3</v>
      </c>
      <c r="BA73" s="438">
        <v>3</v>
      </c>
      <c r="BB73" s="438">
        <v>3</v>
      </c>
      <c r="BC73" s="438">
        <v>4</v>
      </c>
      <c r="BD73" s="438">
        <v>4</v>
      </c>
      <c r="BE73" s="438">
        <v>4</v>
      </c>
      <c r="BF73" s="438">
        <v>3</v>
      </c>
      <c r="BG73" s="438">
        <v>3</v>
      </c>
      <c r="BH73" s="438">
        <v>3</v>
      </c>
      <c r="BI73" s="438">
        <v>5</v>
      </c>
      <c r="BJ73" s="438">
        <v>4</v>
      </c>
      <c r="BK73" s="438">
        <v>3</v>
      </c>
      <c r="BL73" s="438">
        <v>5</v>
      </c>
      <c r="BM73" s="438">
        <v>3</v>
      </c>
      <c r="BN73" s="422" t="s">
        <v>471</v>
      </c>
      <c r="BO73" s="438">
        <v>-0.71428571428572196</v>
      </c>
      <c r="BP73" s="438">
        <v>-251.42857142857099</v>
      </c>
      <c r="BQ73" s="422">
        <f t="shared" ref="BQ73:BQ78" si="608">SUM(BO73:BP73)</f>
        <v>-252.14285714285671</v>
      </c>
      <c r="BR73" s="438" t="str">
        <f t="shared" ref="BR73:BR78" si="609">IF(BQ73&gt;=80,"A1",
IF(BQ73&gt;=75,"A",
IF(BQ73&gt;=70,"B2",
IF(BQ73&gt;=65,"B3",
IF(BQ73&gt;=60,"C4",
IF(BQ73&gt;=55,"C5",
IF(BQ73&gt;=50,"C6",
IF(BQ73&gt;=45,"D7",
IF(BQ73&gt;=40,"E8",
IF(BQ73&gt;=1,"F9",""))))))))))</f>
        <v/>
      </c>
      <c r="BS73" s="422">
        <v>-0.71428571428572196</v>
      </c>
      <c r="BT73" s="438">
        <v>-179.28571428571399</v>
      </c>
      <c r="BU73" s="422">
        <f t="shared" ref="BU73:BU78" si="610">SUM(BS73:BT73)</f>
        <v>-179.99999999999972</v>
      </c>
      <c r="BV73" s="438" t="str">
        <f t="shared" ref="BV73:BV78" si="611">IF(BU73&gt;=80,"A1",
IF(BU73&gt;=75,"A",
IF(BU73&gt;=70,"B2",
IF(BU73&gt;=65,"B3",
IF(BU73&gt;=60,"C4",
IF(BU73&gt;=55,"C5",
IF(BU73&gt;=50,"C6",
IF(BU73&gt;=45,"D7",
IF(BU73&gt;=40,"E8",
IF(BU73&gt;=1,"F9",""))))))))))</f>
        <v/>
      </c>
      <c r="BW73" s="422">
        <v>-0.71428571428572196</v>
      </c>
      <c r="BX73" s="422">
        <v>-174.28571428571399</v>
      </c>
      <c r="BY73" s="422">
        <f t="shared" ref="BY73:BY78" si="612">SUM(BW73:BX73)</f>
        <v>-174.99999999999972</v>
      </c>
      <c r="BZ73" s="438" t="str">
        <f t="shared" ref="BZ73:BZ78" si="613">IF(BY73&gt;=80,"A1",
IF(BY73&gt;=75,"A",
IF(BY73&gt;=70,"B2",
IF(BY73&gt;=65,"B3",
IF(BY73&gt;=60,"C4",
IF(BY73&gt;=55,"C5",
IF(BY73&gt;=50,"C6",
IF(BY73&gt;=45,"D7",
IF(BY73&gt;=40,"E8",
IF(BY73&gt;=1,"F9",""))))))))))</f>
        <v/>
      </c>
      <c r="CA73" s="422">
        <v>-0.71428571428572196</v>
      </c>
      <c r="CB73" s="422">
        <v>-184.28571428571499</v>
      </c>
      <c r="CC73" s="422">
        <f t="shared" ref="CC73:CC78" si="614">SUM(CA73:CB73)</f>
        <v>-185.00000000000071</v>
      </c>
      <c r="CD73" s="438" t="str">
        <f t="shared" ref="CD73:CD78" si="615">IF(CC73&gt;=80,"A1",
IF(CC73&gt;=75,"A",
IF(CC73&gt;=70,"B2",
IF(CC73&gt;=65,"B3",
IF(CC73&gt;=60,"C4",
IF(CC73&gt;=55,"C5",
IF(CC73&gt;=50,"C6",
IF(CC73&gt;=45,"D7",
IF(CC73&gt;=40,"E8",
IF(CC73&gt;=1,"F9",""))))))))))</f>
        <v/>
      </c>
      <c r="CE73" s="422">
        <v>35</v>
      </c>
      <c r="CF73" s="422">
        <v>-175.71428571428601</v>
      </c>
      <c r="CG73" s="422">
        <f t="shared" ref="CG73:CG78" si="616">SUM(CE73:CF73)</f>
        <v>-140.71428571428601</v>
      </c>
      <c r="CH73" s="438" t="str">
        <f t="shared" ref="CH73:CH78" si="617">IF(CG73&gt;=80,"A1",
IF(CG73&gt;=75,"A",
IF(CG73&gt;=70,"B2",
IF(CG73&gt;=65,"B3",
IF(CG73&gt;=60,"C4",
IF(CG73&gt;=55,"C5",
IF(CG73&gt;=50,"C6",
IF(CG73&gt;=45,"D7",
IF(CG73&gt;=40,"E8",
IF(CG73&gt;=1,"F9",""))))))))))</f>
        <v/>
      </c>
      <c r="CI73" s="422">
        <v>-0.71428571428572196</v>
      </c>
      <c r="CJ73" s="422">
        <v>-83.857142857143302</v>
      </c>
      <c r="CK73" s="422">
        <f t="shared" ref="CK73:CK78" si="618">SUM(CI73:CJ73)</f>
        <v>-84.571428571429024</v>
      </c>
      <c r="CL73" s="438" t="str">
        <f t="shared" ref="CL73:CL78" si="619">IF(CK73&gt;=80,"A1",
IF(CK73&gt;=75,"A",
IF(CK73&gt;=70,"B2",
IF(CK73&gt;=65,"B3",
IF(CK73&gt;=60,"C4",
IF(CK73&gt;=55,"C5",
IF(CK73&gt;=50,"C6",
IF(CK73&gt;=45,"D7",
IF(CK73&gt;=40,"E8",
IF(CK73&gt;=1,"F9",""))))))))))</f>
        <v/>
      </c>
      <c r="CM73" s="422">
        <v>-0.71428571428572196</v>
      </c>
      <c r="CN73" s="422"/>
      <c r="CO73" s="422"/>
      <c r="CP73" s="422">
        <f t="shared" ref="CP73:CP74" si="620">CM73</f>
        <v>-0.71428571428572196</v>
      </c>
      <c r="CQ73" s="422">
        <v>28.7413793103449</v>
      </c>
      <c r="CR73" s="422">
        <f t="shared" ref="CR73:CR78" si="621">SUM(CP73:CQ73)</f>
        <v>28.027093596059178</v>
      </c>
      <c r="CS73" s="438" t="str">
        <f t="shared" ref="CS73:CS78" si="622">IF(CR73&gt;=80,"A1",
IF(CR73&gt;=75,"A",
IF(CR73&gt;=70,"B2",
IF(CR73&gt;=65,"B3",
IF(CR73&gt;=60,"C4",
IF(CR73&gt;=55,"C5",
IF(CR73&gt;=50,"C6",
IF(CR73&gt;=45,"D7",
IF(CR73&gt;=40,"E8",
IF(CR73&gt;=1,"F9",""))))))))))</f>
        <v>F9</v>
      </c>
      <c r="CT73" s="422">
        <v>-24.7368421052632</v>
      </c>
      <c r="CU73" s="422">
        <v>-198.947368421053</v>
      </c>
      <c r="CV73" s="422">
        <f t="shared" ref="CV73:CV78" si="623">SUM(CT73:CU73)</f>
        <v>-223.68421052631621</v>
      </c>
      <c r="CW73" s="438" t="str">
        <f t="shared" ref="CW73:CW78" si="624">IF(CV73&gt;=80,"A1",
IF(CV73&gt;=75,"A",
IF(CV73&gt;=70,"B2",
IF(CV73&gt;=65,"B3",
IF(CV73&gt;=60,"C4",
IF(CV73&gt;=55,"C5",
IF(CV73&gt;=50,"C6",
IF(CV73&gt;=45,"D7",
IF(CV73&gt;=40,"E8",
IF(CV73&gt;=1,"F9",""))))))))))</f>
        <v/>
      </c>
      <c r="CX73" s="422">
        <v>-38.3333333333333</v>
      </c>
      <c r="CY73" s="422">
        <v>-184.28571428571499</v>
      </c>
      <c r="CZ73" s="422">
        <f t="shared" ref="CZ73:CZ78" si="625">SUM(CX73:CY73)</f>
        <v>-222.61904761904827</v>
      </c>
      <c r="DA73" s="438" t="str">
        <f t="shared" ref="DA73:DA78" si="626">IF(CZ73&gt;=80,"A1",
IF(CZ73&gt;=75,"A",
IF(CZ73&gt;=70,"B2",
IF(CZ73&gt;=65,"B3",
IF(CZ73&gt;=60,"C4",
IF(CZ73&gt;=55,"C5",
IF(CZ73&gt;=50,"C6",
IF(CZ73&gt;=45,"D7",
IF(CZ73&gt;=40,"E8",
IF(CZ73&gt;=1,"F9",""))))))))))</f>
        <v/>
      </c>
      <c r="DB73" s="422">
        <v>-170</v>
      </c>
      <c r="DC73" s="422">
        <v>-143.57142857142799</v>
      </c>
      <c r="DD73" s="422">
        <f t="shared" ref="DD73:DD78" si="627">SUM(DB73:DC73)</f>
        <v>-313.57142857142799</v>
      </c>
      <c r="DE73" s="422" t="str">
        <f t="shared" ref="DE73:DE78" si="628">IF(DD73&gt;=80,"A1",
IF(DD73&gt;=75,"A",
IF(DD73&gt;=70,"B2",
IF(DD73&gt;=65,"B3",
IF(DD73&gt;=60,"C4",
IF(DD73&gt;=55,"C5",
IF(DD73&gt;=50,"C6",
IF(DD73&gt;=45,"D7",
IF(DD73&gt;=40,"E8",
IF(DD73&gt;=1,"F9",""))))))))))</f>
        <v/>
      </c>
      <c r="DF73" s="422">
        <f t="shared" ref="DF73:DF78" si="629">DB73</f>
        <v>-170</v>
      </c>
      <c r="DG73" s="422">
        <v>-184.28571428571499</v>
      </c>
      <c r="DH73" s="422">
        <f t="shared" ref="DH73:DH78" si="630">SUM(DF73:DG73)</f>
        <v>-354.28571428571502</v>
      </c>
      <c r="DI73" s="422" t="str">
        <f t="shared" ref="DI73:DI78" si="631">IF(DH73&gt;=80,"A1",
IF(DH73&gt;=75,"A",
IF(DH73&gt;=70,"B2",
IF(DH73&gt;=65,"B3",
IF(DH73&gt;=60,"C4",
IF(DH73&gt;=55,"C5",
IF(DH73&gt;=50,"C6",
IF(DH73&gt;=45,"D7",
IF(DH73&gt;=40,"E8",
IF(DH73&gt;=1,"F9",""))))))))))</f>
        <v/>
      </c>
      <c r="DJ73" s="422">
        <v>-65</v>
      </c>
      <c r="DK73" s="422">
        <v>35.142857142857103</v>
      </c>
      <c r="DL73" s="422">
        <f t="shared" ref="DL73:DL78" si="632">SUM(DJ73:DK73)</f>
        <v>-29.857142857142897</v>
      </c>
      <c r="DM73" s="422" t="str">
        <f t="shared" ref="DM73:DM78" si="633">IF(DL73&gt;=80,"A1",
IF(DL73&gt;=75,"A",
IF(DL73&gt;=70,"B2",
IF(DL73&gt;=65,"B3",
IF(DL73&gt;=60,"C4",
IF(DL73&gt;=55,"C5",
IF(DL73&gt;=50,"C6",
IF(DL73&gt;=45,"D7",
IF(DL73&gt;=40,"E8",
IF(DL73&gt;=1,"F9",""))))))))))</f>
        <v/>
      </c>
      <c r="DN73" s="422">
        <v>-65</v>
      </c>
      <c r="DO73" s="422">
        <v>5.1428571428571104</v>
      </c>
      <c r="DP73" s="422">
        <f t="shared" ref="DP73:DP78" si="634">SUM(DN73:DO73)</f>
        <v>-59.85714285714289</v>
      </c>
      <c r="DQ73" s="438" t="str">
        <f t="shared" ref="DQ73:DQ78" si="635">IF(DP73&gt;=80,"A1",
IF(DP73&gt;=75,"A",
IF(DP73&gt;=70,"B2",
IF(DP73&gt;=65,"B3",
IF(DP73&gt;=60,"C4",
IF(DP73&gt;=55,"C5",
IF(DP73&gt;=50,"C6",
IF(DP73&gt;=45,"D7",
IF(DP73&gt;=40,"E8",
IF(DP73&gt;=1,"F9",""))))))))))</f>
        <v/>
      </c>
      <c r="DR73" s="422">
        <v>-275</v>
      </c>
      <c r="DS73" s="422">
        <v>-145.28571428571399</v>
      </c>
      <c r="DT73" s="422">
        <f t="shared" ref="DT73:DT78" si="636">SUM(DR73:DS73)</f>
        <v>-420.28571428571399</v>
      </c>
      <c r="DU73" s="438" t="str">
        <f t="shared" ref="DU73:DU78" si="637">IF(DT73&gt;=80,"A1",
IF(DT73&gt;=75,"A",
IF(DT73&gt;=70,"B2",
IF(DT73&gt;=65,"B3",
IF(DT73&gt;=60,"C4",
IF(DT73&gt;=55,"C5",
IF(DT73&gt;=50,"C6",
IF(DT73&gt;=45,"D7",
IF(DT73&gt;=40,"E8",
IF(DT73&gt;=1,"F9",""))))))))))</f>
        <v/>
      </c>
      <c r="DV73" s="422">
        <v>-65</v>
      </c>
      <c r="DW73" s="422">
        <v>42.285714285714199</v>
      </c>
      <c r="DX73" s="422">
        <f t="shared" ref="DX73:DX78" si="638">SUM(DV73:DW73)</f>
        <v>-22.714285714285801</v>
      </c>
      <c r="DY73" s="438" t="str">
        <f t="shared" ref="DY73:DY78" si="639">IF(DX73&gt;=80,"A1",
IF(DX73&gt;=75,"A",
IF(DX73&gt;=70,"B2",
IF(DX73&gt;=65,"B3",
IF(DX73&gt;=60,"C4",
IF(DX73&gt;=55,"C5",
IF(DX73&gt;=50,"C6",
IF(DX73&gt;=45,"D7",
IF(DX73&gt;=40,"E8",
IF(DX73&gt;=1,"F9",""))))))))))</f>
        <v/>
      </c>
      <c r="DZ73" s="422">
        <f t="shared" ref="DZ73:DZ78" si="640">DV73</f>
        <v>-65</v>
      </c>
      <c r="EA73" s="422">
        <v>-9</v>
      </c>
      <c r="EB73" s="422">
        <f t="shared" ref="EB73:EB78" si="641">SUM(DZ73:EA73)</f>
        <v>-74</v>
      </c>
      <c r="EC73" s="438" t="str">
        <f t="shared" ref="EC73:EC78" si="642">IF(EB73&gt;=80,"A1",
IF(EB73&gt;=75,"A",
IF(EB73&gt;=70,"B2",
IF(EB73&gt;=65,"B3",
IF(EB73&gt;=60,"C4",
IF(EB73&gt;=55,"C5",
IF(EB73&gt;=50,"C6",
IF(EB73&gt;=45,"D7",
IF(EB73&gt;=40,"E8",
IF(EB73&gt;=1,"F9",""))))))))))</f>
        <v/>
      </c>
      <c r="ED73" s="422">
        <f t="shared" ref="ED73:ED136" si="643">SUM(BQ73,BU73,BY73,CC73,CG73,CK73,CR73,CV73,CZ73,DD73,DH73,DL73,DP73,DT73,DX73,EB73)</f>
        <v>-2710.276164549306</v>
      </c>
      <c r="EE73" s="422">
        <f t="shared" si="100"/>
        <v>-169.39226028433163</v>
      </c>
      <c r="EF73" s="438" t="str">
        <f t="shared" si="101"/>
        <v/>
      </c>
      <c r="EG73" s="422" t="str">
        <f t="shared" si="102"/>
        <v/>
      </c>
      <c r="EH73" s="439">
        <v>1</v>
      </c>
      <c r="EI73" s="422">
        <f t="shared" si="103"/>
        <v>-2710.276164549306</v>
      </c>
      <c r="EJ73" s="440">
        <f t="shared" si="104"/>
        <v>-1.6939226028433163</v>
      </c>
      <c r="EK73" s="438" t="s">
        <v>573</v>
      </c>
      <c r="EL73" s="438" t="s">
        <v>762</v>
      </c>
    </row>
    <row r="74" spans="1:142" ht="30" customHeight="1" thickBot="1">
      <c r="A74" s="781"/>
      <c r="B74" s="690"/>
      <c r="C74" s="690"/>
      <c r="D74" s="690"/>
      <c r="E74" s="690"/>
      <c r="F74" s="690"/>
      <c r="G74" s="690"/>
      <c r="H74" s="690"/>
      <c r="I74" s="690"/>
      <c r="J74" s="690"/>
      <c r="K74" s="690"/>
      <c r="L74" s="690"/>
      <c r="M74" s="376"/>
      <c r="N74" s="376"/>
      <c r="O74" s="684" t="e">
        <f>VLOOKUP(D19,AB:EL,113,FALSE)</f>
        <v>#N/A</v>
      </c>
      <c r="P74" s="685"/>
      <c r="Q74" s="685"/>
      <c r="R74" s="686"/>
      <c r="S74" s="376"/>
      <c r="T74" s="376"/>
      <c r="U74" s="376"/>
      <c r="V74" s="373"/>
      <c r="W74" s="373"/>
      <c r="X74" s="373"/>
      <c r="Y74" s="373"/>
      <c r="Z74" s="373"/>
      <c r="AA74" s="420">
        <f t="shared" si="583"/>
        <v>73</v>
      </c>
      <c r="AB74" s="435" t="s">
        <v>59</v>
      </c>
      <c r="AC74" s="422" t="s">
        <v>394</v>
      </c>
      <c r="AD74" s="422" t="s">
        <v>326</v>
      </c>
      <c r="AE74" s="422">
        <v>23.8571428571429</v>
      </c>
      <c r="AF74" s="422">
        <f>'SSS1 ATTENDANCE '!FJ80</f>
        <v>128</v>
      </c>
      <c r="AG74" s="422">
        <f>'SSS1 ATTENDANCE '!FH80</f>
        <v>118</v>
      </c>
      <c r="AH74" s="422">
        <f>'SSS1 ATTENDANCE '!FI80</f>
        <v>10</v>
      </c>
      <c r="AI74" s="436" t="s">
        <v>646</v>
      </c>
      <c r="AJ74" s="437">
        <v>40754</v>
      </c>
      <c r="AK74" s="435" t="s">
        <v>396</v>
      </c>
      <c r="AL74" s="424">
        <v>25</v>
      </c>
      <c r="AM74" s="422">
        <v>63.25</v>
      </c>
      <c r="AN74" s="438">
        <v>4</v>
      </c>
      <c r="AO74" s="422" t="str">
        <f t="shared" ref="AO74:AO137" si="644">IF(AND(AG74&gt;=98, AG74&lt;=128),"5",
IF(AND(AG74&gt;=75, AG74&lt;98),"4",
"3"))</f>
        <v>5</v>
      </c>
      <c r="AP74" s="438">
        <v>5</v>
      </c>
      <c r="AQ74" s="422">
        <v>4</v>
      </c>
      <c r="AR74" s="438">
        <v>4</v>
      </c>
      <c r="AS74" s="438">
        <v>4</v>
      </c>
      <c r="AT74" s="438">
        <v>4</v>
      </c>
      <c r="AU74" s="438">
        <v>3</v>
      </c>
      <c r="AV74" s="438">
        <v>4</v>
      </c>
      <c r="AW74" s="438">
        <v>4</v>
      </c>
      <c r="AX74" s="438">
        <v>3</v>
      </c>
      <c r="AY74" s="438">
        <v>4</v>
      </c>
      <c r="AZ74" s="438">
        <v>3</v>
      </c>
      <c r="BA74" s="438">
        <v>3</v>
      </c>
      <c r="BB74" s="438">
        <v>3</v>
      </c>
      <c r="BC74" s="438">
        <v>4</v>
      </c>
      <c r="BD74" s="438">
        <v>4</v>
      </c>
      <c r="BE74" s="438">
        <v>4</v>
      </c>
      <c r="BF74" s="438">
        <v>3</v>
      </c>
      <c r="BG74" s="438">
        <v>3</v>
      </c>
      <c r="BH74" s="438">
        <v>3</v>
      </c>
      <c r="BI74" s="438">
        <v>5</v>
      </c>
      <c r="BJ74" s="438">
        <v>4</v>
      </c>
      <c r="BK74" s="438">
        <v>3</v>
      </c>
      <c r="BL74" s="438">
        <v>5</v>
      </c>
      <c r="BM74" s="438">
        <v>3</v>
      </c>
      <c r="BN74" s="422" t="s">
        <v>472</v>
      </c>
      <c r="BO74" s="438">
        <v>-1.25000000000002</v>
      </c>
      <c r="BP74" s="438">
        <v>-255.607142857143</v>
      </c>
      <c r="BQ74" s="422">
        <f t="shared" si="608"/>
        <v>-256.857142857143</v>
      </c>
      <c r="BR74" s="438" t="str">
        <f t="shared" si="609"/>
        <v/>
      </c>
      <c r="BS74" s="422">
        <v>-1.25000000000002</v>
      </c>
      <c r="BT74" s="438">
        <v>-182.53571428571399</v>
      </c>
      <c r="BU74" s="422">
        <f t="shared" si="610"/>
        <v>-183.78571428571402</v>
      </c>
      <c r="BV74" s="438" t="str">
        <f t="shared" si="611"/>
        <v/>
      </c>
      <c r="BW74" s="422">
        <v>-1.25000000000002</v>
      </c>
      <c r="BX74" s="422">
        <v>-177.392857142857</v>
      </c>
      <c r="BY74" s="422">
        <f t="shared" si="612"/>
        <v>-178.64285714285703</v>
      </c>
      <c r="BZ74" s="438" t="str">
        <f t="shared" si="613"/>
        <v/>
      </c>
      <c r="CA74" s="422">
        <v>-1.25000000000002</v>
      </c>
      <c r="CB74" s="422">
        <v>-187.50000000000099</v>
      </c>
      <c r="CC74" s="422">
        <f t="shared" si="614"/>
        <v>-188.75000000000102</v>
      </c>
      <c r="CD74" s="438" t="str">
        <f t="shared" si="615"/>
        <v/>
      </c>
      <c r="CE74" s="422">
        <v>35</v>
      </c>
      <c r="CF74" s="422">
        <v>-178.857142857143</v>
      </c>
      <c r="CG74" s="422">
        <f t="shared" si="616"/>
        <v>-143.857142857143</v>
      </c>
      <c r="CH74" s="438" t="str">
        <f t="shared" si="617"/>
        <v/>
      </c>
      <c r="CI74" s="422">
        <v>-1.25000000000002</v>
      </c>
      <c r="CJ74" s="422">
        <v>-85.678571428571303</v>
      </c>
      <c r="CK74" s="422">
        <f t="shared" si="618"/>
        <v>-86.928571428571317</v>
      </c>
      <c r="CL74" s="438" t="str">
        <f t="shared" si="619"/>
        <v/>
      </c>
      <c r="CM74" s="422">
        <v>-1.25000000000002</v>
      </c>
      <c r="CN74" s="422"/>
      <c r="CO74" s="422"/>
      <c r="CP74" s="422">
        <f t="shared" si="620"/>
        <v>-1.25000000000002</v>
      </c>
      <c r="CQ74" s="422">
        <v>28.456896551724199</v>
      </c>
      <c r="CR74" s="422">
        <f t="shared" si="621"/>
        <v>27.206896551724178</v>
      </c>
      <c r="CS74" s="438" t="str">
        <f t="shared" si="622"/>
        <v>F9</v>
      </c>
      <c r="CT74" s="422">
        <v>-25.789473684210598</v>
      </c>
      <c r="CU74" s="422">
        <v>-203.15789473684299</v>
      </c>
      <c r="CV74" s="422">
        <f t="shared" si="623"/>
        <v>-228.9473684210536</v>
      </c>
      <c r="CW74" s="438" t="str">
        <f t="shared" si="624"/>
        <v/>
      </c>
      <c r="CX74" s="422">
        <v>-40.8333333333333</v>
      </c>
      <c r="CY74" s="422">
        <v>-187.50000000000099</v>
      </c>
      <c r="CZ74" s="422">
        <f t="shared" si="625"/>
        <v>-228.33333333333428</v>
      </c>
      <c r="DA74" s="438" t="str">
        <f t="shared" si="626"/>
        <v/>
      </c>
      <c r="DB74" s="422">
        <f t="shared" ref="DB74:DB78" si="645">CX74</f>
        <v>-40.8333333333333</v>
      </c>
      <c r="DC74" s="422">
        <v>-146.25</v>
      </c>
      <c r="DD74" s="422">
        <f t="shared" si="627"/>
        <v>-187.08333333333331</v>
      </c>
      <c r="DE74" s="422" t="str">
        <f t="shared" si="628"/>
        <v/>
      </c>
      <c r="DF74" s="422">
        <f t="shared" si="629"/>
        <v>-40.8333333333333</v>
      </c>
      <c r="DG74" s="422">
        <v>-187.50000000000099</v>
      </c>
      <c r="DH74" s="422">
        <f t="shared" si="630"/>
        <v>-228.33333333333428</v>
      </c>
      <c r="DI74" s="422" t="str">
        <f t="shared" si="631"/>
        <v/>
      </c>
      <c r="DJ74" s="422">
        <f t="shared" ref="DJ74:DJ78" si="646">DF74</f>
        <v>-40.8333333333333</v>
      </c>
      <c r="DK74" s="422">
        <v>34.964285714285701</v>
      </c>
      <c r="DL74" s="422">
        <f t="shared" si="632"/>
        <v>-5.8690476190475991</v>
      </c>
      <c r="DM74" s="422" t="str">
        <f t="shared" si="633"/>
        <v/>
      </c>
      <c r="DN74" s="422">
        <f t="shared" ref="DN74:DN78" si="647">DJ74</f>
        <v>-40.8333333333333</v>
      </c>
      <c r="DO74" s="422">
        <v>4.5357142857143096</v>
      </c>
      <c r="DP74" s="422">
        <f t="shared" si="634"/>
        <v>-36.297619047618994</v>
      </c>
      <c r="DQ74" s="438" t="str">
        <f t="shared" si="635"/>
        <v/>
      </c>
      <c r="DR74" s="422">
        <f t="shared" ref="DR74:DR78" si="648">DN74</f>
        <v>-40.8333333333333</v>
      </c>
      <c r="DS74" s="422">
        <v>-147.892857142857</v>
      </c>
      <c r="DT74" s="422">
        <f t="shared" si="636"/>
        <v>-188.72619047619031</v>
      </c>
      <c r="DU74" s="438" t="str">
        <f t="shared" si="637"/>
        <v/>
      </c>
      <c r="DV74" s="422">
        <f t="shared" ref="DV74:DV78" si="649">DR74</f>
        <v>-40.8333333333333</v>
      </c>
      <c r="DW74" s="422">
        <v>42.214285714285701</v>
      </c>
      <c r="DX74" s="422">
        <f t="shared" si="638"/>
        <v>1.3809523809524009</v>
      </c>
      <c r="DY74" s="438" t="str">
        <f t="shared" si="639"/>
        <v>F9</v>
      </c>
      <c r="DZ74" s="422">
        <f t="shared" si="640"/>
        <v>-40.8333333333333</v>
      </c>
      <c r="EA74" s="422">
        <v>-9.75</v>
      </c>
      <c r="EB74" s="422">
        <f t="shared" si="641"/>
        <v>-50.5833333333333</v>
      </c>
      <c r="EC74" s="438" t="str">
        <f t="shared" si="642"/>
        <v/>
      </c>
      <c r="ED74" s="422">
        <f t="shared" si="643"/>
        <v>-2164.4071385359985</v>
      </c>
      <c r="EE74" s="422">
        <f t="shared" ref="EE74:EE137" si="650">ED74/16</f>
        <v>-135.2754461584999</v>
      </c>
      <c r="EF74" s="438" t="str">
        <f t="shared" ref="EF74:EF137" si="651">IF(EE74&gt;=80,"A1",
IF(EE74&gt;=75,"A",
IF(EE74&gt;=70,"B2",
IF(EE74&gt;=65,"B3",
IF(EE74&gt;=60,"C4",
IF(EE74&gt;=55,"C5",
IF(EE74&gt;=50,"C6",
IF(EE74&gt;=45,"D7",
IF(EE74&gt;=40,"E8",
IF(EE74&gt;=1,"F9",""))))))))))</f>
        <v/>
      </c>
      <c r="EG74" s="422" t="str">
        <f t="shared" ref="EG74:EG137" si="652">IF(EF74="F9","FAIL",
IF(OR(EF74="E8",EF74="D7"),"PASS",
IF(OR(EF74="C6",EF74="C5"),"CREDIT",
IF(OR(EF74="C4",EF74="B3",EF74="B2"),"HIGH-CREDIT",
IF(OR(EF74="A",EF74="A1"),"DISTINTION","")))))</f>
        <v/>
      </c>
      <c r="EH74" s="439">
        <v>1</v>
      </c>
      <c r="EI74" s="422">
        <f t="shared" ref="EI74:EI137" si="653">ED74</f>
        <v>-2164.4071385359985</v>
      </c>
      <c r="EJ74" s="440">
        <f t="shared" ref="EJ74:EJ137" si="654">EE74/100</f>
        <v>-1.3527544615849991</v>
      </c>
      <c r="EK74" s="438" t="s">
        <v>573</v>
      </c>
      <c r="EL74" s="438" t="s">
        <v>762</v>
      </c>
    </row>
    <row r="75" spans="1:142" ht="30" customHeight="1" thickBot="1">
      <c r="A75" s="781"/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L75" s="690"/>
      <c r="M75" s="376"/>
      <c r="N75" s="376"/>
      <c r="O75" s="687" t="s">
        <v>340</v>
      </c>
      <c r="P75" s="688"/>
      <c r="Q75" s="688"/>
      <c r="R75" s="689"/>
      <c r="S75" s="376"/>
      <c r="T75" s="376"/>
      <c r="U75" s="376"/>
      <c r="V75" s="373"/>
      <c r="W75" s="373"/>
      <c r="X75" s="373"/>
      <c r="Y75" s="373"/>
      <c r="Z75" s="373"/>
      <c r="AA75" s="420">
        <f t="shared" si="583"/>
        <v>74</v>
      </c>
      <c r="AB75" s="435" t="s">
        <v>60</v>
      </c>
      <c r="AC75" s="422" t="s">
        <v>394</v>
      </c>
      <c r="AD75" s="422" t="s">
        <v>326</v>
      </c>
      <c r="AE75" s="422">
        <v>24</v>
      </c>
      <c r="AF75" s="422">
        <f>'SSS1 ATTENDANCE '!FJ81</f>
        <v>128</v>
      </c>
      <c r="AG75" s="422">
        <f>'SSS1 ATTENDANCE '!FH81</f>
        <v>122</v>
      </c>
      <c r="AH75" s="422">
        <f>'SSS1 ATTENDANCE '!FI81</f>
        <v>6</v>
      </c>
      <c r="AI75" s="436" t="s">
        <v>647</v>
      </c>
      <c r="AJ75" s="437">
        <v>40900</v>
      </c>
      <c r="AK75" s="435" t="s">
        <v>396</v>
      </c>
      <c r="AL75" s="424">
        <v>25</v>
      </c>
      <c r="AM75" s="422">
        <v>63.785714285714299</v>
      </c>
      <c r="AN75" s="438">
        <v>4</v>
      </c>
      <c r="AO75" s="422" t="str">
        <f t="shared" si="644"/>
        <v>5</v>
      </c>
      <c r="AP75" s="438">
        <v>5</v>
      </c>
      <c r="AQ75" s="422">
        <v>4</v>
      </c>
      <c r="AR75" s="438">
        <v>4</v>
      </c>
      <c r="AS75" s="438">
        <v>4</v>
      </c>
      <c r="AT75" s="438">
        <v>4</v>
      </c>
      <c r="AU75" s="438">
        <v>3</v>
      </c>
      <c r="AV75" s="438">
        <v>4</v>
      </c>
      <c r="AW75" s="438">
        <v>4</v>
      </c>
      <c r="AX75" s="438">
        <v>3</v>
      </c>
      <c r="AY75" s="438">
        <v>4</v>
      </c>
      <c r="AZ75" s="438">
        <v>3</v>
      </c>
      <c r="BA75" s="438">
        <v>3</v>
      </c>
      <c r="BB75" s="438">
        <v>3</v>
      </c>
      <c r="BC75" s="438">
        <v>4</v>
      </c>
      <c r="BD75" s="438">
        <v>4</v>
      </c>
      <c r="BE75" s="438">
        <v>4</v>
      </c>
      <c r="BF75" s="438">
        <v>3</v>
      </c>
      <c r="BG75" s="438">
        <v>3</v>
      </c>
      <c r="BH75" s="438">
        <v>3</v>
      </c>
      <c r="BI75" s="438">
        <v>5</v>
      </c>
      <c r="BJ75" s="438">
        <v>4</v>
      </c>
      <c r="BK75" s="438">
        <v>3</v>
      </c>
      <c r="BL75" s="438">
        <v>5</v>
      </c>
      <c r="BM75" s="438">
        <v>3</v>
      </c>
      <c r="BN75" s="422" t="s">
        <v>473</v>
      </c>
      <c r="BO75" s="438">
        <v>-1.78571428571432</v>
      </c>
      <c r="BP75" s="438">
        <v>-259.78571428571399</v>
      </c>
      <c r="BQ75" s="422">
        <f t="shared" si="608"/>
        <v>-261.57142857142833</v>
      </c>
      <c r="BR75" s="438" t="str">
        <f t="shared" si="609"/>
        <v/>
      </c>
      <c r="BS75" s="422">
        <v>-1.78571428571432</v>
      </c>
      <c r="BT75" s="438">
        <v>-185.78571428571399</v>
      </c>
      <c r="BU75" s="422">
        <f t="shared" si="610"/>
        <v>-187.5714285714283</v>
      </c>
      <c r="BV75" s="438" t="str">
        <f t="shared" si="611"/>
        <v/>
      </c>
      <c r="BW75" s="422">
        <v>-1.78571428571432</v>
      </c>
      <c r="BX75" s="422">
        <v>-180.49999999999901</v>
      </c>
      <c r="BY75" s="422">
        <f t="shared" si="612"/>
        <v>-182.28571428571331</v>
      </c>
      <c r="BZ75" s="438" t="str">
        <f t="shared" si="613"/>
        <v/>
      </c>
      <c r="CA75" s="422">
        <v>-1.78571428571432</v>
      </c>
      <c r="CB75" s="422">
        <v>-190.71428571428601</v>
      </c>
      <c r="CC75" s="422">
        <f t="shared" si="614"/>
        <v>-192.50000000000031</v>
      </c>
      <c r="CD75" s="438" t="str">
        <f t="shared" si="615"/>
        <v/>
      </c>
      <c r="CE75" s="422">
        <v>35</v>
      </c>
      <c r="CF75" s="422">
        <v>-182</v>
      </c>
      <c r="CG75" s="422">
        <f t="shared" si="616"/>
        <v>-147</v>
      </c>
      <c r="CH75" s="438" t="str">
        <f t="shared" si="617"/>
        <v/>
      </c>
      <c r="CI75" s="422">
        <v>-1.78571428571432</v>
      </c>
      <c r="CJ75" s="422">
        <v>-87.500000000000298</v>
      </c>
      <c r="CK75" s="422">
        <f t="shared" si="618"/>
        <v>-89.285714285714619</v>
      </c>
      <c r="CL75" s="438" t="str">
        <f t="shared" si="619"/>
        <v/>
      </c>
      <c r="CM75" s="422">
        <v>-1.78571428571432</v>
      </c>
      <c r="CN75" s="422"/>
      <c r="CO75" s="422"/>
      <c r="CP75" s="422"/>
      <c r="CQ75" s="422">
        <v>28.172413793103502</v>
      </c>
      <c r="CR75" s="422">
        <f t="shared" si="621"/>
        <v>28.172413793103502</v>
      </c>
      <c r="CS75" s="438" t="str">
        <f t="shared" si="622"/>
        <v>F9</v>
      </c>
      <c r="CT75" s="422">
        <v>-26.842105263157901</v>
      </c>
      <c r="CU75" s="422">
        <v>-207.36842105263199</v>
      </c>
      <c r="CV75" s="422">
        <f t="shared" si="623"/>
        <v>-234.21052631578988</v>
      </c>
      <c r="CW75" s="438" t="str">
        <f t="shared" si="624"/>
        <v/>
      </c>
      <c r="CX75" s="422">
        <f t="shared" ref="CX75" si="655">CT75</f>
        <v>-26.842105263157901</v>
      </c>
      <c r="CY75" s="422">
        <v>-190.71428571428601</v>
      </c>
      <c r="CZ75" s="422">
        <f t="shared" si="625"/>
        <v>-217.5563909774439</v>
      </c>
      <c r="DA75" s="438" t="str">
        <f t="shared" si="626"/>
        <v/>
      </c>
      <c r="DB75" s="422">
        <f t="shared" si="645"/>
        <v>-26.842105263157901</v>
      </c>
      <c r="DC75" s="422">
        <v>-148.92857142857099</v>
      </c>
      <c r="DD75" s="422">
        <f t="shared" si="627"/>
        <v>-175.77067669172888</v>
      </c>
      <c r="DE75" s="422" t="str">
        <f t="shared" si="628"/>
        <v/>
      </c>
      <c r="DF75" s="422">
        <f t="shared" si="629"/>
        <v>-26.842105263157901</v>
      </c>
      <c r="DG75" s="422">
        <v>-190.71428571428601</v>
      </c>
      <c r="DH75" s="422">
        <f t="shared" si="630"/>
        <v>-217.5563909774439</v>
      </c>
      <c r="DI75" s="422" t="str">
        <f t="shared" si="631"/>
        <v/>
      </c>
      <c r="DJ75" s="422">
        <f t="shared" si="646"/>
        <v>-26.842105263157901</v>
      </c>
      <c r="DK75" s="422">
        <v>34.785714285714299</v>
      </c>
      <c r="DL75" s="422">
        <f t="shared" si="632"/>
        <v>7.943609022556398</v>
      </c>
      <c r="DM75" s="422" t="str">
        <f t="shared" si="633"/>
        <v>F9</v>
      </c>
      <c r="DN75" s="422">
        <f t="shared" si="647"/>
        <v>-26.842105263157901</v>
      </c>
      <c r="DO75" s="422">
        <v>3.9285714285714102</v>
      </c>
      <c r="DP75" s="422">
        <f t="shared" si="634"/>
        <v>-22.913533834586492</v>
      </c>
      <c r="DQ75" s="438" t="str">
        <f t="shared" si="635"/>
        <v/>
      </c>
      <c r="DR75" s="422">
        <f t="shared" si="648"/>
        <v>-26.842105263157901</v>
      </c>
      <c r="DS75" s="422">
        <v>-150.5</v>
      </c>
      <c r="DT75" s="422">
        <f t="shared" si="636"/>
        <v>-177.34210526315789</v>
      </c>
      <c r="DU75" s="438" t="str">
        <f t="shared" si="637"/>
        <v/>
      </c>
      <c r="DV75" s="422">
        <f t="shared" si="649"/>
        <v>-26.842105263157901</v>
      </c>
      <c r="DW75" s="422">
        <v>42.142857142857103</v>
      </c>
      <c r="DX75" s="422">
        <f t="shared" si="638"/>
        <v>15.300751879699202</v>
      </c>
      <c r="DY75" s="438" t="str">
        <f t="shared" si="639"/>
        <v>F9</v>
      </c>
      <c r="DZ75" s="422">
        <f t="shared" si="640"/>
        <v>-26.842105263157901</v>
      </c>
      <c r="EA75" s="422">
        <v>-10.5</v>
      </c>
      <c r="EB75" s="422">
        <f t="shared" si="641"/>
        <v>-37.342105263157904</v>
      </c>
      <c r="EC75" s="438" t="str">
        <f t="shared" si="642"/>
        <v/>
      </c>
      <c r="ED75" s="422">
        <f t="shared" si="643"/>
        <v>-2091.4892403422346</v>
      </c>
      <c r="EE75" s="422">
        <f t="shared" si="650"/>
        <v>-130.71807752138966</v>
      </c>
      <c r="EF75" s="438" t="str">
        <f t="shared" si="651"/>
        <v/>
      </c>
      <c r="EG75" s="422" t="str">
        <f t="shared" si="652"/>
        <v/>
      </c>
      <c r="EH75" s="439">
        <v>1</v>
      </c>
      <c r="EI75" s="422">
        <f t="shared" si="653"/>
        <v>-2091.4892403422346</v>
      </c>
      <c r="EJ75" s="440">
        <f t="shared" si="654"/>
        <v>-1.3071807752138966</v>
      </c>
      <c r="EK75" s="438" t="s">
        <v>573</v>
      </c>
      <c r="EL75" s="438" t="s">
        <v>762</v>
      </c>
    </row>
    <row r="76" spans="1:142" ht="31.5">
      <c r="A76" s="781"/>
      <c r="B76" s="690"/>
      <c r="C76" s="690"/>
      <c r="D76" s="690"/>
      <c r="E76" s="690"/>
      <c r="F76" s="690"/>
      <c r="G76" s="690"/>
      <c r="H76" s="690"/>
      <c r="I76" s="690"/>
      <c r="J76" s="690"/>
      <c r="K76" s="690"/>
      <c r="L76" s="690"/>
      <c r="M76" s="376"/>
      <c r="N76" s="376"/>
      <c r="O76" s="397"/>
      <c r="P76" s="419" t="e">
        <f>VLOOKUP(D19,AB:EL,110,FALSE)</f>
        <v>#N/A</v>
      </c>
      <c r="Q76" s="418"/>
      <c r="R76" s="398"/>
      <c r="S76" s="376"/>
      <c r="T76" s="376"/>
      <c r="U76" s="376"/>
      <c r="V76" s="373"/>
      <c r="W76" s="373"/>
      <c r="X76" s="373"/>
      <c r="Y76" s="373"/>
      <c r="Z76" s="373"/>
      <c r="AA76" s="420">
        <f t="shared" si="583"/>
        <v>75</v>
      </c>
      <c r="AB76" s="435" t="s">
        <v>61</v>
      </c>
      <c r="AC76" s="422" t="s">
        <v>394</v>
      </c>
      <c r="AD76" s="422" t="s">
        <v>326</v>
      </c>
      <c r="AE76" s="422">
        <v>24.142857142857199</v>
      </c>
      <c r="AF76" s="422">
        <f>'SSS1 ATTENDANCE '!FJ82</f>
        <v>128</v>
      </c>
      <c r="AG76" s="422">
        <f>'SSS1 ATTENDANCE '!FH82</f>
        <v>126</v>
      </c>
      <c r="AH76" s="422">
        <f>'SSS1 ATTENDANCE '!FI82</f>
        <v>2</v>
      </c>
      <c r="AI76" s="436" t="s">
        <v>648</v>
      </c>
      <c r="AJ76" s="437">
        <v>40368</v>
      </c>
      <c r="AK76" s="435" t="s">
        <v>396</v>
      </c>
      <c r="AL76" s="424">
        <v>25</v>
      </c>
      <c r="AM76" s="422">
        <v>64.321428571428498</v>
      </c>
      <c r="AN76" s="438">
        <v>4</v>
      </c>
      <c r="AO76" s="422" t="str">
        <f t="shared" si="644"/>
        <v>5</v>
      </c>
      <c r="AP76" s="438">
        <v>5</v>
      </c>
      <c r="AQ76" s="422">
        <v>4</v>
      </c>
      <c r="AR76" s="438">
        <v>4</v>
      </c>
      <c r="AS76" s="438">
        <v>4</v>
      </c>
      <c r="AT76" s="438">
        <v>4</v>
      </c>
      <c r="AU76" s="438">
        <v>3</v>
      </c>
      <c r="AV76" s="438">
        <v>4</v>
      </c>
      <c r="AW76" s="438">
        <v>4</v>
      </c>
      <c r="AX76" s="438">
        <v>3</v>
      </c>
      <c r="AY76" s="438">
        <v>4</v>
      </c>
      <c r="AZ76" s="438">
        <v>3</v>
      </c>
      <c r="BA76" s="438">
        <v>3</v>
      </c>
      <c r="BB76" s="438">
        <v>3</v>
      </c>
      <c r="BC76" s="438">
        <v>4</v>
      </c>
      <c r="BD76" s="438">
        <v>4</v>
      </c>
      <c r="BE76" s="438">
        <v>4</v>
      </c>
      <c r="BF76" s="438">
        <v>3</v>
      </c>
      <c r="BG76" s="438">
        <v>3</v>
      </c>
      <c r="BH76" s="438">
        <v>3</v>
      </c>
      <c r="BI76" s="438">
        <v>5</v>
      </c>
      <c r="BJ76" s="438">
        <v>4</v>
      </c>
      <c r="BK76" s="438">
        <v>3</v>
      </c>
      <c r="BL76" s="438">
        <v>5</v>
      </c>
      <c r="BM76" s="438">
        <v>3</v>
      </c>
      <c r="BN76" s="422" t="s">
        <v>474</v>
      </c>
      <c r="BO76" s="438">
        <v>-2.3214285714285299</v>
      </c>
      <c r="BP76" s="438">
        <v>-263.96428571428601</v>
      </c>
      <c r="BQ76" s="422">
        <f t="shared" si="608"/>
        <v>-266.28571428571456</v>
      </c>
      <c r="BR76" s="438" t="str">
        <f t="shared" si="609"/>
        <v/>
      </c>
      <c r="BS76" s="422">
        <v>-2.3214285714285299</v>
      </c>
      <c r="BT76" s="438">
        <v>-189.03571428571399</v>
      </c>
      <c r="BU76" s="422">
        <f t="shared" si="610"/>
        <v>-191.35714285714252</v>
      </c>
      <c r="BV76" s="438" t="str">
        <f t="shared" si="611"/>
        <v/>
      </c>
      <c r="BW76" s="422">
        <v>-2.3214285714285299</v>
      </c>
      <c r="BX76" s="422">
        <v>-183.60714285714201</v>
      </c>
      <c r="BY76" s="422">
        <f t="shared" si="612"/>
        <v>-185.92857142857054</v>
      </c>
      <c r="BZ76" s="438" t="str">
        <f t="shared" si="613"/>
        <v/>
      </c>
      <c r="CA76" s="422">
        <v>-2.3214285714285299</v>
      </c>
      <c r="CB76" s="422">
        <v>-193.92857142857201</v>
      </c>
      <c r="CC76" s="422">
        <f t="shared" si="614"/>
        <v>-196.25000000000054</v>
      </c>
      <c r="CD76" s="438" t="str">
        <f t="shared" si="615"/>
        <v/>
      </c>
      <c r="CE76" s="422">
        <v>35</v>
      </c>
      <c r="CF76" s="422">
        <v>-185.14285714285799</v>
      </c>
      <c r="CG76" s="422">
        <f t="shared" si="616"/>
        <v>-150.14285714285799</v>
      </c>
      <c r="CH76" s="438" t="str">
        <f t="shared" si="617"/>
        <v/>
      </c>
      <c r="CI76" s="422">
        <v>-2.3214285714285299</v>
      </c>
      <c r="CJ76" s="422">
        <v>-89.321428571428299</v>
      </c>
      <c r="CK76" s="422">
        <f t="shared" si="618"/>
        <v>-91.642857142856826</v>
      </c>
      <c r="CL76" s="438" t="str">
        <f t="shared" si="619"/>
        <v/>
      </c>
      <c r="CM76" s="422">
        <v>-2.3214285714285299</v>
      </c>
      <c r="CN76" s="422"/>
      <c r="CO76" s="422"/>
      <c r="CP76" s="422">
        <f t="shared" ref="CP76" si="656">CM76</f>
        <v>-2.3214285714285299</v>
      </c>
      <c r="CQ76" s="422">
        <v>27.887931034482801</v>
      </c>
      <c r="CR76" s="422">
        <f t="shared" si="621"/>
        <v>25.56650246305427</v>
      </c>
      <c r="CS76" s="438" t="str">
        <f t="shared" si="622"/>
        <v>F9</v>
      </c>
      <c r="CT76" s="422">
        <v>-27.894736842105299</v>
      </c>
      <c r="CU76" s="422">
        <v>-211.57894736842101</v>
      </c>
      <c r="CV76" s="422">
        <f t="shared" si="623"/>
        <v>-239.4736842105263</v>
      </c>
      <c r="CW76" s="438" t="str">
        <f t="shared" si="624"/>
        <v/>
      </c>
      <c r="CX76" s="422">
        <v>35</v>
      </c>
      <c r="CY76" s="422">
        <v>-193.92857142857201</v>
      </c>
      <c r="CZ76" s="422">
        <f t="shared" si="625"/>
        <v>-158.92857142857201</v>
      </c>
      <c r="DA76" s="438" t="str">
        <f t="shared" si="626"/>
        <v/>
      </c>
      <c r="DB76" s="422">
        <f t="shared" si="645"/>
        <v>35</v>
      </c>
      <c r="DC76" s="422">
        <v>-151.607142857143</v>
      </c>
      <c r="DD76" s="422">
        <f t="shared" si="627"/>
        <v>-116.607142857143</v>
      </c>
      <c r="DE76" s="422" t="str">
        <f t="shared" si="628"/>
        <v/>
      </c>
      <c r="DF76" s="422">
        <f t="shared" si="629"/>
        <v>35</v>
      </c>
      <c r="DG76" s="422">
        <v>-193.92857142857201</v>
      </c>
      <c r="DH76" s="422">
        <f t="shared" si="630"/>
        <v>-158.92857142857201</v>
      </c>
      <c r="DI76" s="422" t="str">
        <f t="shared" si="631"/>
        <v/>
      </c>
      <c r="DJ76" s="422">
        <f t="shared" si="646"/>
        <v>35</v>
      </c>
      <c r="DK76" s="422">
        <v>34.607142857142797</v>
      </c>
      <c r="DL76" s="422">
        <f t="shared" si="632"/>
        <v>69.607142857142804</v>
      </c>
      <c r="DM76" s="422" t="str">
        <f t="shared" si="633"/>
        <v>B3</v>
      </c>
      <c r="DN76" s="422">
        <f t="shared" si="647"/>
        <v>35</v>
      </c>
      <c r="DO76" s="422">
        <v>3.3214285714286</v>
      </c>
      <c r="DP76" s="422">
        <f t="shared" si="634"/>
        <v>38.321428571428598</v>
      </c>
      <c r="DQ76" s="438" t="str">
        <f t="shared" si="635"/>
        <v>F9</v>
      </c>
      <c r="DR76" s="422">
        <f t="shared" si="648"/>
        <v>35</v>
      </c>
      <c r="DS76" s="422">
        <v>-153.10714285714201</v>
      </c>
      <c r="DT76" s="422">
        <f t="shared" si="636"/>
        <v>-118.10714285714201</v>
      </c>
      <c r="DU76" s="438" t="str">
        <f t="shared" si="637"/>
        <v/>
      </c>
      <c r="DV76" s="422">
        <f t="shared" si="649"/>
        <v>35</v>
      </c>
      <c r="DW76" s="422">
        <v>42.071428571428498</v>
      </c>
      <c r="DX76" s="422">
        <f t="shared" si="638"/>
        <v>77.071428571428498</v>
      </c>
      <c r="DY76" s="438" t="str">
        <f t="shared" si="639"/>
        <v>A</v>
      </c>
      <c r="DZ76" s="422">
        <f t="shared" si="640"/>
        <v>35</v>
      </c>
      <c r="EA76" s="422">
        <v>-11.25</v>
      </c>
      <c r="EB76" s="422">
        <f t="shared" si="641"/>
        <v>23.75</v>
      </c>
      <c r="EC76" s="438" t="str">
        <f t="shared" si="642"/>
        <v>F9</v>
      </c>
      <c r="ED76" s="422">
        <f t="shared" si="643"/>
        <v>-1639.3357531760441</v>
      </c>
      <c r="EE76" s="422">
        <f t="shared" si="650"/>
        <v>-102.45848457350276</v>
      </c>
      <c r="EF76" s="438" t="str">
        <f t="shared" si="651"/>
        <v/>
      </c>
      <c r="EG76" s="422" t="str">
        <f t="shared" si="652"/>
        <v/>
      </c>
      <c r="EH76" s="439">
        <v>1</v>
      </c>
      <c r="EI76" s="422">
        <f t="shared" si="653"/>
        <v>-1639.3357531760441</v>
      </c>
      <c r="EJ76" s="440">
        <f t="shared" si="654"/>
        <v>-1.0245848457350275</v>
      </c>
      <c r="EK76" s="438" t="s">
        <v>746</v>
      </c>
      <c r="EL76" s="438" t="s">
        <v>762</v>
      </c>
    </row>
    <row r="77" spans="1:142" ht="30.75" thickBot="1">
      <c r="A77" s="781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376"/>
      <c r="N77" s="376"/>
      <c r="O77" s="395"/>
      <c r="P77" s="396"/>
      <c r="Q77" s="396"/>
      <c r="R77" s="399"/>
      <c r="S77" s="376"/>
      <c r="T77" s="376"/>
      <c r="U77" s="376"/>
      <c r="V77" s="373"/>
      <c r="W77" s="373"/>
      <c r="X77" s="373"/>
      <c r="Y77" s="373"/>
      <c r="Z77" s="373"/>
      <c r="AA77" s="420">
        <f t="shared" si="583"/>
        <v>76</v>
      </c>
      <c r="AB77" s="435" t="s">
        <v>62</v>
      </c>
      <c r="AC77" s="422" t="s">
        <v>394</v>
      </c>
      <c r="AD77" s="422" t="s">
        <v>326</v>
      </c>
      <c r="AE77" s="422">
        <v>24.285714285714299</v>
      </c>
      <c r="AF77" s="422">
        <f>'SSS1 ATTENDANCE '!FJ83</f>
        <v>128</v>
      </c>
      <c r="AG77" s="422">
        <f>'SSS1 ATTENDANCE '!FH83</f>
        <v>116</v>
      </c>
      <c r="AH77" s="422">
        <f>'SSS1 ATTENDANCE '!FI83</f>
        <v>12</v>
      </c>
      <c r="AI77" s="436" t="s">
        <v>649</v>
      </c>
      <c r="AJ77" s="437">
        <v>40852</v>
      </c>
      <c r="AK77" s="435" t="s">
        <v>396</v>
      </c>
      <c r="AL77" s="424">
        <v>25</v>
      </c>
      <c r="AM77" s="422">
        <v>64.857142857142804</v>
      </c>
      <c r="AN77" s="438">
        <v>4</v>
      </c>
      <c r="AO77" s="422" t="str">
        <f t="shared" si="644"/>
        <v>5</v>
      </c>
      <c r="AP77" s="438">
        <v>5</v>
      </c>
      <c r="AQ77" s="422">
        <v>4</v>
      </c>
      <c r="AR77" s="438">
        <v>4</v>
      </c>
      <c r="AS77" s="438">
        <v>4</v>
      </c>
      <c r="AT77" s="438">
        <v>4</v>
      </c>
      <c r="AU77" s="438">
        <v>3</v>
      </c>
      <c r="AV77" s="438">
        <v>4</v>
      </c>
      <c r="AW77" s="438">
        <v>4</v>
      </c>
      <c r="AX77" s="438">
        <v>3</v>
      </c>
      <c r="AY77" s="438">
        <v>4</v>
      </c>
      <c r="AZ77" s="438">
        <v>3</v>
      </c>
      <c r="BA77" s="438">
        <v>3</v>
      </c>
      <c r="BB77" s="438">
        <v>3</v>
      </c>
      <c r="BC77" s="438">
        <v>4</v>
      </c>
      <c r="BD77" s="438">
        <v>4</v>
      </c>
      <c r="BE77" s="438">
        <v>4</v>
      </c>
      <c r="BF77" s="438">
        <v>3</v>
      </c>
      <c r="BG77" s="438">
        <v>3</v>
      </c>
      <c r="BH77" s="438">
        <v>3</v>
      </c>
      <c r="BI77" s="438">
        <v>5</v>
      </c>
      <c r="BJ77" s="438">
        <v>4</v>
      </c>
      <c r="BK77" s="438">
        <v>3</v>
      </c>
      <c r="BL77" s="438">
        <v>5</v>
      </c>
      <c r="BM77" s="438">
        <v>3</v>
      </c>
      <c r="BN77" s="422" t="s">
        <v>475</v>
      </c>
      <c r="BO77" s="438">
        <v>-2.8571428571428301</v>
      </c>
      <c r="BP77" s="438">
        <v>-268.142857142857</v>
      </c>
      <c r="BQ77" s="422">
        <f t="shared" si="608"/>
        <v>-270.99999999999983</v>
      </c>
      <c r="BR77" s="438" t="str">
        <f t="shared" si="609"/>
        <v/>
      </c>
      <c r="BS77" s="422">
        <v>-2.8571428571428301</v>
      </c>
      <c r="BT77" s="438">
        <v>-192.28571428571399</v>
      </c>
      <c r="BU77" s="422">
        <f t="shared" si="610"/>
        <v>-195.14285714285683</v>
      </c>
      <c r="BV77" s="438" t="str">
        <f t="shared" si="611"/>
        <v/>
      </c>
      <c r="BW77" s="422">
        <v>-2.8571428571428301</v>
      </c>
      <c r="BX77" s="422">
        <v>-186.71428571428501</v>
      </c>
      <c r="BY77" s="422">
        <f t="shared" si="612"/>
        <v>-189.57142857142784</v>
      </c>
      <c r="BZ77" s="438" t="str">
        <f t="shared" si="613"/>
        <v/>
      </c>
      <c r="CA77" s="422">
        <v>-2.8571428571428301</v>
      </c>
      <c r="CB77" s="422">
        <v>-197.14285714285799</v>
      </c>
      <c r="CC77" s="422">
        <f t="shared" si="614"/>
        <v>-200.00000000000082</v>
      </c>
      <c r="CD77" s="438" t="str">
        <f t="shared" si="615"/>
        <v/>
      </c>
      <c r="CE77" s="422">
        <v>35</v>
      </c>
      <c r="CF77" s="422">
        <v>-188.28571428571499</v>
      </c>
      <c r="CG77" s="422">
        <f t="shared" si="616"/>
        <v>-153.28571428571499</v>
      </c>
      <c r="CH77" s="438" t="str">
        <f t="shared" si="617"/>
        <v/>
      </c>
      <c r="CI77" s="422">
        <v>-2.8571428571428301</v>
      </c>
      <c r="CJ77" s="422">
        <v>-91.142857142857295</v>
      </c>
      <c r="CK77" s="422">
        <f t="shared" si="618"/>
        <v>-94.000000000000128</v>
      </c>
      <c r="CL77" s="438" t="str">
        <f t="shared" si="619"/>
        <v/>
      </c>
      <c r="CM77" s="422">
        <v>-2.8571428571428301</v>
      </c>
      <c r="CN77" s="422"/>
      <c r="CO77" s="422"/>
      <c r="CP77" s="422"/>
      <c r="CQ77" s="422">
        <v>27.6034482758621</v>
      </c>
      <c r="CR77" s="422">
        <f t="shared" si="621"/>
        <v>27.6034482758621</v>
      </c>
      <c r="CS77" s="438" t="str">
        <f t="shared" si="622"/>
        <v>F9</v>
      </c>
      <c r="CT77" s="422">
        <v>-28.947368421052701</v>
      </c>
      <c r="CU77" s="422">
        <v>-215.789473684211</v>
      </c>
      <c r="CV77" s="422">
        <f t="shared" si="623"/>
        <v>-244.73684210526369</v>
      </c>
      <c r="CW77" s="438" t="str">
        <f t="shared" si="624"/>
        <v/>
      </c>
      <c r="CX77" s="422">
        <f t="shared" ref="CX77" si="657">CT77</f>
        <v>-28.947368421052701</v>
      </c>
      <c r="CY77" s="422">
        <v>-197.14285714285799</v>
      </c>
      <c r="CZ77" s="422">
        <f t="shared" si="625"/>
        <v>-226.09022556391068</v>
      </c>
      <c r="DA77" s="438" t="str">
        <f t="shared" si="626"/>
        <v/>
      </c>
      <c r="DB77" s="422">
        <f t="shared" si="645"/>
        <v>-28.947368421052701</v>
      </c>
      <c r="DC77" s="422">
        <v>-154.28571428571399</v>
      </c>
      <c r="DD77" s="422">
        <f t="shared" si="627"/>
        <v>-183.23308270676671</v>
      </c>
      <c r="DE77" s="422" t="str">
        <f t="shared" si="628"/>
        <v/>
      </c>
      <c r="DF77" s="422">
        <f t="shared" si="629"/>
        <v>-28.947368421052701</v>
      </c>
      <c r="DG77" s="422">
        <v>-197.14285714285799</v>
      </c>
      <c r="DH77" s="422">
        <f t="shared" si="630"/>
        <v>-226.09022556391068</v>
      </c>
      <c r="DI77" s="422" t="str">
        <f t="shared" si="631"/>
        <v/>
      </c>
      <c r="DJ77" s="422">
        <f t="shared" si="646"/>
        <v>-28.947368421052701</v>
      </c>
      <c r="DK77" s="422">
        <v>34.428571428571402</v>
      </c>
      <c r="DL77" s="422">
        <f t="shared" si="632"/>
        <v>5.481203007518701</v>
      </c>
      <c r="DM77" s="422" t="str">
        <f t="shared" si="633"/>
        <v>F9</v>
      </c>
      <c r="DN77" s="422">
        <f t="shared" si="647"/>
        <v>-28.947368421052701</v>
      </c>
      <c r="DO77" s="422">
        <v>2.71428571428571</v>
      </c>
      <c r="DP77" s="422">
        <f t="shared" si="634"/>
        <v>-26.233082706766993</v>
      </c>
      <c r="DQ77" s="438" t="str">
        <f t="shared" si="635"/>
        <v/>
      </c>
      <c r="DR77" s="422">
        <f t="shared" si="648"/>
        <v>-28.947368421052701</v>
      </c>
      <c r="DS77" s="422">
        <v>-155.71428571428501</v>
      </c>
      <c r="DT77" s="422">
        <f t="shared" si="636"/>
        <v>-184.6616541353377</v>
      </c>
      <c r="DU77" s="438" t="str">
        <f t="shared" si="637"/>
        <v/>
      </c>
      <c r="DV77" s="422">
        <f t="shared" si="649"/>
        <v>-28.947368421052701</v>
      </c>
      <c r="DW77" s="422">
        <v>42</v>
      </c>
      <c r="DX77" s="422">
        <f t="shared" si="638"/>
        <v>13.052631578947299</v>
      </c>
      <c r="DY77" s="438" t="str">
        <f t="shared" si="639"/>
        <v>F9</v>
      </c>
      <c r="DZ77" s="422">
        <f t="shared" si="640"/>
        <v>-28.947368421052701</v>
      </c>
      <c r="EA77" s="422">
        <v>-12</v>
      </c>
      <c r="EB77" s="422">
        <f t="shared" si="641"/>
        <v>-40.947368421052701</v>
      </c>
      <c r="EC77" s="438" t="str">
        <f t="shared" si="642"/>
        <v/>
      </c>
      <c r="ED77" s="422">
        <f t="shared" si="643"/>
        <v>-2188.855198340681</v>
      </c>
      <c r="EE77" s="422">
        <f t="shared" si="650"/>
        <v>-136.80344989629256</v>
      </c>
      <c r="EF77" s="438" t="str">
        <f t="shared" si="651"/>
        <v/>
      </c>
      <c r="EG77" s="422" t="str">
        <f t="shared" si="652"/>
        <v/>
      </c>
      <c r="EH77" s="439">
        <v>1</v>
      </c>
      <c r="EI77" s="422">
        <f t="shared" si="653"/>
        <v>-2188.855198340681</v>
      </c>
      <c r="EJ77" s="440">
        <f t="shared" si="654"/>
        <v>-1.3680344989629256</v>
      </c>
      <c r="EK77" s="438" t="s">
        <v>747</v>
      </c>
      <c r="EL77" s="438" t="s">
        <v>762</v>
      </c>
    </row>
    <row r="78" spans="1:142" ht="30">
      <c r="A78" s="781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376"/>
      <c r="N78" s="376"/>
      <c r="O78" s="376"/>
      <c r="P78" s="376"/>
      <c r="Q78" s="376"/>
      <c r="R78" s="376"/>
      <c r="S78" s="376"/>
      <c r="T78" s="376"/>
      <c r="U78" s="376"/>
      <c r="V78" s="373"/>
      <c r="W78" s="373"/>
      <c r="X78" s="373"/>
      <c r="Y78" s="373"/>
      <c r="Z78" s="373"/>
      <c r="AA78" s="420">
        <f t="shared" si="583"/>
        <v>77</v>
      </c>
      <c r="AB78" s="435" t="s">
        <v>63</v>
      </c>
      <c r="AC78" s="422" t="s">
        <v>394</v>
      </c>
      <c r="AD78" s="422" t="s">
        <v>326</v>
      </c>
      <c r="AE78" s="422">
        <v>24.428571428571502</v>
      </c>
      <c r="AF78" s="422">
        <f>'SSS1 ATTENDANCE '!FJ84</f>
        <v>128</v>
      </c>
      <c r="AG78" s="422">
        <f>'SSS1 ATTENDANCE '!FH84</f>
        <v>118</v>
      </c>
      <c r="AH78" s="422">
        <f>'SSS1 ATTENDANCE '!FI84</f>
        <v>10</v>
      </c>
      <c r="AI78" s="436" t="s">
        <v>650</v>
      </c>
      <c r="AJ78" s="437">
        <v>40881</v>
      </c>
      <c r="AK78" s="435" t="s">
        <v>396</v>
      </c>
      <c r="AL78" s="424">
        <v>25</v>
      </c>
      <c r="AM78" s="422">
        <v>65.392857142857096</v>
      </c>
      <c r="AN78" s="438">
        <v>4</v>
      </c>
      <c r="AO78" s="422" t="str">
        <f t="shared" si="644"/>
        <v>5</v>
      </c>
      <c r="AP78" s="438">
        <v>5</v>
      </c>
      <c r="AQ78" s="422">
        <v>4</v>
      </c>
      <c r="AR78" s="438">
        <v>4</v>
      </c>
      <c r="AS78" s="438">
        <v>4</v>
      </c>
      <c r="AT78" s="438">
        <v>4</v>
      </c>
      <c r="AU78" s="438">
        <v>3</v>
      </c>
      <c r="AV78" s="438">
        <v>4</v>
      </c>
      <c r="AW78" s="438">
        <v>4</v>
      </c>
      <c r="AX78" s="438">
        <v>3</v>
      </c>
      <c r="AY78" s="438">
        <v>4</v>
      </c>
      <c r="AZ78" s="438">
        <v>3</v>
      </c>
      <c r="BA78" s="438">
        <v>3</v>
      </c>
      <c r="BB78" s="438">
        <v>3</v>
      </c>
      <c r="BC78" s="438">
        <v>4</v>
      </c>
      <c r="BD78" s="438">
        <v>4</v>
      </c>
      <c r="BE78" s="438">
        <v>4</v>
      </c>
      <c r="BF78" s="438">
        <v>3</v>
      </c>
      <c r="BG78" s="438">
        <v>3</v>
      </c>
      <c r="BH78" s="438">
        <v>3</v>
      </c>
      <c r="BI78" s="438">
        <v>5</v>
      </c>
      <c r="BJ78" s="438">
        <v>4</v>
      </c>
      <c r="BK78" s="438">
        <v>3</v>
      </c>
      <c r="BL78" s="438">
        <v>5</v>
      </c>
      <c r="BM78" s="438">
        <v>3</v>
      </c>
      <c r="BN78" s="422" t="s">
        <v>476</v>
      </c>
      <c r="BO78" s="438">
        <v>-3.3928571428571201</v>
      </c>
      <c r="BP78" s="438">
        <v>-272.32142857142799</v>
      </c>
      <c r="BQ78" s="422">
        <f t="shared" si="608"/>
        <v>-275.7142857142851</v>
      </c>
      <c r="BR78" s="438" t="str">
        <f t="shared" si="609"/>
        <v/>
      </c>
      <c r="BS78" s="422">
        <v>-3.3928571428571201</v>
      </c>
      <c r="BT78" s="438">
        <v>-195.53571428571399</v>
      </c>
      <c r="BU78" s="422">
        <f t="shared" si="610"/>
        <v>-198.9285714285711</v>
      </c>
      <c r="BV78" s="438" t="str">
        <f t="shared" si="611"/>
        <v/>
      </c>
      <c r="BW78" s="422">
        <v>-3.3928571428571201</v>
      </c>
      <c r="BX78" s="422">
        <v>-189.82142857142799</v>
      </c>
      <c r="BY78" s="422">
        <f t="shared" si="612"/>
        <v>-193.2142857142851</v>
      </c>
      <c r="BZ78" s="438" t="str">
        <f t="shared" si="613"/>
        <v/>
      </c>
      <c r="CA78" s="422">
        <v>-3.3928571428571201</v>
      </c>
      <c r="CB78" s="422">
        <v>-200.357142857143</v>
      </c>
      <c r="CC78" s="422">
        <f t="shared" si="614"/>
        <v>-203.75000000000011</v>
      </c>
      <c r="CD78" s="438" t="str">
        <f t="shared" si="615"/>
        <v/>
      </c>
      <c r="CE78" s="422">
        <v>35</v>
      </c>
      <c r="CF78" s="422">
        <v>-191.42857142857201</v>
      </c>
      <c r="CG78" s="422">
        <f t="shared" si="616"/>
        <v>-156.42857142857201</v>
      </c>
      <c r="CH78" s="438" t="str">
        <f t="shared" si="617"/>
        <v/>
      </c>
      <c r="CI78" s="422">
        <v>-3.3928571428571201</v>
      </c>
      <c r="CJ78" s="422">
        <v>-92.964285714285296</v>
      </c>
      <c r="CK78" s="422">
        <f t="shared" si="618"/>
        <v>-96.357142857142421</v>
      </c>
      <c r="CL78" s="438" t="str">
        <f t="shared" si="619"/>
        <v/>
      </c>
      <c r="CM78" s="422">
        <v>-3.3928571428571201</v>
      </c>
      <c r="CN78" s="422"/>
      <c r="CO78" s="422"/>
      <c r="CP78" s="422">
        <f t="shared" ref="CP78" si="658">CM78</f>
        <v>-3.3928571428571201</v>
      </c>
      <c r="CQ78" s="422">
        <v>27.318965517241502</v>
      </c>
      <c r="CR78" s="422">
        <f t="shared" si="621"/>
        <v>23.926108374384381</v>
      </c>
      <c r="CS78" s="438" t="str">
        <f t="shared" si="622"/>
        <v>F9</v>
      </c>
      <c r="CT78" s="422"/>
      <c r="CU78" s="422"/>
      <c r="CV78" s="422">
        <f t="shared" si="623"/>
        <v>0</v>
      </c>
      <c r="CW78" s="438" t="str">
        <f t="shared" si="624"/>
        <v/>
      </c>
      <c r="CX78" s="422">
        <v>35</v>
      </c>
      <c r="CY78" s="422">
        <v>-200.357142857143</v>
      </c>
      <c r="CZ78" s="422">
        <f t="shared" si="625"/>
        <v>-165.357142857143</v>
      </c>
      <c r="DA78" s="438" t="str">
        <f t="shared" si="626"/>
        <v/>
      </c>
      <c r="DB78" s="422">
        <f t="shared" si="645"/>
        <v>35</v>
      </c>
      <c r="DC78" s="422">
        <v>-156.96428571428601</v>
      </c>
      <c r="DD78" s="422">
        <f t="shared" si="627"/>
        <v>-121.96428571428601</v>
      </c>
      <c r="DE78" s="422" t="str">
        <f t="shared" si="628"/>
        <v/>
      </c>
      <c r="DF78" s="422">
        <f t="shared" si="629"/>
        <v>35</v>
      </c>
      <c r="DG78" s="422">
        <v>-200.357142857143</v>
      </c>
      <c r="DH78" s="422">
        <f t="shared" si="630"/>
        <v>-165.357142857143</v>
      </c>
      <c r="DI78" s="422" t="str">
        <f t="shared" si="631"/>
        <v/>
      </c>
      <c r="DJ78" s="422">
        <f t="shared" si="646"/>
        <v>35</v>
      </c>
      <c r="DK78" s="422">
        <v>34.25</v>
      </c>
      <c r="DL78" s="422">
        <f t="shared" si="632"/>
        <v>69.25</v>
      </c>
      <c r="DM78" s="422" t="str">
        <f t="shared" si="633"/>
        <v>B3</v>
      </c>
      <c r="DN78" s="422">
        <f t="shared" si="647"/>
        <v>35</v>
      </c>
      <c r="DO78" s="422">
        <v>2.1071428571427999</v>
      </c>
      <c r="DP78" s="422">
        <f t="shared" si="634"/>
        <v>37.107142857142797</v>
      </c>
      <c r="DQ78" s="438" t="str">
        <f t="shared" si="635"/>
        <v>F9</v>
      </c>
      <c r="DR78" s="422">
        <f t="shared" si="648"/>
        <v>35</v>
      </c>
      <c r="DS78" s="422">
        <v>-158.32142857142799</v>
      </c>
      <c r="DT78" s="422">
        <f t="shared" si="636"/>
        <v>-123.32142857142799</v>
      </c>
      <c r="DU78" s="438" t="str">
        <f t="shared" si="637"/>
        <v/>
      </c>
      <c r="DV78" s="422">
        <f t="shared" si="649"/>
        <v>35</v>
      </c>
      <c r="DW78" s="422">
        <v>41.928571428571402</v>
      </c>
      <c r="DX78" s="422">
        <f t="shared" si="638"/>
        <v>76.928571428571402</v>
      </c>
      <c r="DY78" s="438" t="str">
        <f t="shared" si="639"/>
        <v>A</v>
      </c>
      <c r="DZ78" s="422">
        <f t="shared" si="640"/>
        <v>35</v>
      </c>
      <c r="EA78" s="422">
        <v>-12.75</v>
      </c>
      <c r="EB78" s="422">
        <f t="shared" si="641"/>
        <v>22.25</v>
      </c>
      <c r="EC78" s="438" t="str">
        <f t="shared" si="642"/>
        <v>F9</v>
      </c>
      <c r="ED78" s="422">
        <f t="shared" si="643"/>
        <v>-1470.9310344827572</v>
      </c>
      <c r="EE78" s="422">
        <f t="shared" si="650"/>
        <v>-91.933189655172328</v>
      </c>
      <c r="EF78" s="438" t="str">
        <f t="shared" si="651"/>
        <v/>
      </c>
      <c r="EG78" s="422" t="str">
        <f t="shared" si="652"/>
        <v/>
      </c>
      <c r="EH78" s="439">
        <v>1</v>
      </c>
      <c r="EI78" s="422">
        <f t="shared" si="653"/>
        <v>-1470.9310344827572</v>
      </c>
      <c r="EJ78" s="440">
        <f t="shared" si="654"/>
        <v>-0.91933189655172332</v>
      </c>
      <c r="EK78" s="438" t="s">
        <v>573</v>
      </c>
      <c r="EL78" s="438" t="s">
        <v>762</v>
      </c>
    </row>
    <row r="79" spans="1:142" ht="30">
      <c r="A79" s="781"/>
      <c r="B79" s="690"/>
      <c r="C79" s="690"/>
      <c r="D79" s="690"/>
      <c r="E79" s="690"/>
      <c r="F79" s="690"/>
      <c r="G79" s="690"/>
      <c r="H79" s="690"/>
      <c r="I79" s="690"/>
      <c r="J79" s="690"/>
      <c r="K79" s="690"/>
      <c r="L79" s="690"/>
      <c r="M79" s="376"/>
      <c r="N79" s="376"/>
      <c r="O79" s="376"/>
      <c r="P79" s="376"/>
      <c r="Q79" s="376"/>
      <c r="R79" s="376"/>
      <c r="S79" s="376"/>
      <c r="T79" s="376"/>
      <c r="U79" s="376"/>
      <c r="V79" s="373"/>
      <c r="W79" s="373"/>
      <c r="X79" s="373"/>
      <c r="Y79" s="373"/>
      <c r="Z79" s="373"/>
      <c r="AA79" s="420">
        <f t="shared" si="583"/>
        <v>78</v>
      </c>
      <c r="AB79" s="435" t="s">
        <v>57</v>
      </c>
      <c r="AC79" s="422" t="s">
        <v>394</v>
      </c>
      <c r="AD79" s="422" t="s">
        <v>326</v>
      </c>
      <c r="AE79" s="422">
        <v>24.571428571428601</v>
      </c>
      <c r="AF79" s="422">
        <f>'SSS1 ATTENDANCE '!FJ85</f>
        <v>128</v>
      </c>
      <c r="AG79" s="422">
        <f>'SSS1 ATTENDANCE '!FH85</f>
        <v>8</v>
      </c>
      <c r="AH79" s="422">
        <f>'SSS1 ATTENDANCE '!FI85</f>
        <v>120</v>
      </c>
      <c r="AI79" s="436" t="s">
        <v>651</v>
      </c>
      <c r="AJ79" s="437">
        <v>41122</v>
      </c>
      <c r="AK79" s="435" t="s">
        <v>396</v>
      </c>
      <c r="AL79" s="424">
        <v>25</v>
      </c>
      <c r="AM79" s="422">
        <v>65.928571428571402</v>
      </c>
      <c r="AN79" s="438">
        <v>4</v>
      </c>
      <c r="AO79" s="422" t="str">
        <f t="shared" si="644"/>
        <v>3</v>
      </c>
      <c r="AP79" s="438">
        <v>5</v>
      </c>
      <c r="AQ79" s="422">
        <v>4</v>
      </c>
      <c r="AR79" s="438">
        <v>4</v>
      </c>
      <c r="AS79" s="438">
        <v>4</v>
      </c>
      <c r="AT79" s="438">
        <v>4</v>
      </c>
      <c r="AU79" s="438">
        <v>3</v>
      </c>
      <c r="AV79" s="438">
        <v>4</v>
      </c>
      <c r="AW79" s="438">
        <v>4</v>
      </c>
      <c r="AX79" s="438">
        <v>3</v>
      </c>
      <c r="AY79" s="438">
        <v>4</v>
      </c>
      <c r="AZ79" s="438">
        <v>3</v>
      </c>
      <c r="BA79" s="438">
        <v>3</v>
      </c>
      <c r="BB79" s="438">
        <v>3</v>
      </c>
      <c r="BC79" s="438">
        <v>4</v>
      </c>
      <c r="BD79" s="438">
        <v>4</v>
      </c>
      <c r="BE79" s="438">
        <v>4</v>
      </c>
      <c r="BF79" s="438">
        <v>3</v>
      </c>
      <c r="BG79" s="438">
        <v>3</v>
      </c>
      <c r="BH79" s="438">
        <v>3</v>
      </c>
      <c r="BI79" s="438">
        <v>5</v>
      </c>
      <c r="BJ79" s="438">
        <v>4</v>
      </c>
      <c r="BK79" s="438">
        <v>3</v>
      </c>
      <c r="BL79" s="438">
        <v>5</v>
      </c>
      <c r="BM79" s="438">
        <v>3</v>
      </c>
      <c r="BN79" s="422" t="s">
        <v>477</v>
      </c>
      <c r="BO79" s="422">
        <v>-3.9285714285714199</v>
      </c>
      <c r="BP79" s="422">
        <v>-276.5</v>
      </c>
      <c r="BQ79" s="422">
        <v>100</v>
      </c>
      <c r="BR79" s="438" t="s">
        <v>749</v>
      </c>
      <c r="BS79" s="422">
        <v>-3.9285714285714199</v>
      </c>
      <c r="BT79" s="422">
        <v>-198.78571428571399</v>
      </c>
      <c r="BU79" s="422">
        <v>100</v>
      </c>
      <c r="BV79" s="438" t="s">
        <v>749</v>
      </c>
      <c r="BW79" s="422">
        <v>-3.9285714285714199</v>
      </c>
      <c r="BX79" s="422">
        <v>-192.92857142857099</v>
      </c>
      <c r="BY79" s="422">
        <v>100</v>
      </c>
      <c r="BZ79" s="422" t="str">
        <f t="shared" ref="BZ79" si="659">BV79</f>
        <v>Grades</v>
      </c>
      <c r="CA79" s="422">
        <v>-3.9285714285714199</v>
      </c>
      <c r="CB79" s="422">
        <v>-203.57142857142901</v>
      </c>
      <c r="CC79" s="422">
        <v>100</v>
      </c>
      <c r="CD79" s="422" t="str">
        <f t="shared" ref="CD79" si="660">BZ79</f>
        <v>Grades</v>
      </c>
      <c r="CE79" s="422">
        <f t="shared" ref="CE79" si="661">CA79</f>
        <v>-3.9285714285714199</v>
      </c>
      <c r="CF79" s="422">
        <v>-194.57142857142901</v>
      </c>
      <c r="CG79" s="422">
        <v>100</v>
      </c>
      <c r="CH79" s="422" t="str">
        <f t="shared" ref="CH79" si="662">CD79</f>
        <v>Grades</v>
      </c>
      <c r="CI79" s="422">
        <v>-3.9285714285714199</v>
      </c>
      <c r="CJ79" s="422">
        <v>-94.785714285714306</v>
      </c>
      <c r="CK79" s="422">
        <v>100</v>
      </c>
      <c r="CL79" s="422" t="str">
        <f t="shared" ref="CL79" si="663">CH79</f>
        <v>Grades</v>
      </c>
      <c r="CM79" s="422">
        <v>-3.9285714285714199</v>
      </c>
      <c r="CN79" s="422">
        <v>60</v>
      </c>
      <c r="CO79" s="422"/>
      <c r="CP79" s="422">
        <v>40</v>
      </c>
      <c r="CQ79" s="422">
        <v>27.034482758620801</v>
      </c>
      <c r="CR79" s="422">
        <v>100</v>
      </c>
      <c r="CS79" s="438" t="str">
        <f t="shared" ref="CS79" si="664">CL79</f>
        <v>Grades</v>
      </c>
      <c r="CT79" s="422">
        <v>-30.000000000000099</v>
      </c>
      <c r="CU79" s="422">
        <v>-220</v>
      </c>
      <c r="CV79" s="422">
        <v>100</v>
      </c>
      <c r="CW79" s="438" t="str">
        <f t="shared" ref="CW79" si="665">CS79</f>
        <v>Grades</v>
      </c>
      <c r="CX79" s="422">
        <v>-43.3333333333333</v>
      </c>
      <c r="CY79" s="422">
        <v>-203.57142857142901</v>
      </c>
      <c r="CZ79" s="422">
        <v>100</v>
      </c>
      <c r="DA79" s="438" t="str">
        <f t="shared" ref="DA79" si="666">CW79</f>
        <v>Grades</v>
      </c>
      <c r="DB79" s="422">
        <v>-180</v>
      </c>
      <c r="DC79" s="422">
        <v>-159.642857142857</v>
      </c>
      <c r="DD79" s="422">
        <v>100</v>
      </c>
      <c r="DE79" s="422" t="str">
        <f t="shared" ref="DE79" si="667">DA79</f>
        <v>Grades</v>
      </c>
      <c r="DF79" s="422">
        <v>40</v>
      </c>
      <c r="DG79" s="422">
        <v>-203.57142857142901</v>
      </c>
      <c r="DH79" s="422">
        <v>100</v>
      </c>
      <c r="DI79" s="422" t="str">
        <f t="shared" ref="DI79" si="668">DE79</f>
        <v>Grades</v>
      </c>
      <c r="DJ79" s="422">
        <v>-70</v>
      </c>
      <c r="DK79" s="422">
        <v>34.071428571428498</v>
      </c>
      <c r="DL79" s="422">
        <v>100</v>
      </c>
      <c r="DM79" s="422" t="str">
        <f t="shared" ref="DM79" si="669">DI79</f>
        <v>Grades</v>
      </c>
      <c r="DN79" s="422">
        <v>-70</v>
      </c>
      <c r="DO79" s="422">
        <v>1.50000000000001</v>
      </c>
      <c r="DP79" s="422">
        <v>100</v>
      </c>
      <c r="DQ79" s="438" t="str">
        <f t="shared" ref="DQ79" si="670">DM79</f>
        <v>Grades</v>
      </c>
      <c r="DR79" s="422">
        <v>-290</v>
      </c>
      <c r="DS79" s="422">
        <v>-160.92857142857099</v>
      </c>
      <c r="DT79" s="422">
        <v>100</v>
      </c>
      <c r="DU79" s="438" t="str">
        <f t="shared" ref="DU79" si="671">DQ79</f>
        <v>Grades</v>
      </c>
      <c r="DV79" s="422">
        <v>-70</v>
      </c>
      <c r="DW79" s="422">
        <v>41.857142857142797</v>
      </c>
      <c r="DX79" s="422">
        <v>100</v>
      </c>
      <c r="DY79" s="438" t="str">
        <f t="shared" ref="DY79" si="672">DU79</f>
        <v>Grades</v>
      </c>
      <c r="DZ79" s="422">
        <v>40</v>
      </c>
      <c r="EA79" s="422">
        <v>-13.5</v>
      </c>
      <c r="EB79" s="422">
        <v>100</v>
      </c>
      <c r="EC79" s="438" t="str">
        <f t="shared" ref="EC79" si="673">DY79</f>
        <v>Grades</v>
      </c>
      <c r="ED79" s="422">
        <f t="shared" si="643"/>
        <v>1600</v>
      </c>
      <c r="EE79" s="422">
        <f t="shared" si="650"/>
        <v>100</v>
      </c>
      <c r="EF79" s="438" t="str">
        <f t="shared" si="651"/>
        <v>A1</v>
      </c>
      <c r="EG79" s="422" t="str">
        <f t="shared" si="652"/>
        <v>DISTINTION</v>
      </c>
      <c r="EH79" s="439">
        <v>1</v>
      </c>
      <c r="EI79" s="422">
        <f t="shared" si="653"/>
        <v>1600</v>
      </c>
      <c r="EJ79" s="440">
        <f t="shared" si="654"/>
        <v>1</v>
      </c>
      <c r="EK79" s="438" t="s">
        <v>573</v>
      </c>
      <c r="EL79" s="438" t="s">
        <v>762</v>
      </c>
    </row>
    <row r="80" spans="1:142" ht="30">
      <c r="A80" s="781"/>
      <c r="B80" s="690"/>
      <c r="C80" s="690"/>
      <c r="D80" s="690"/>
      <c r="E80" s="690"/>
      <c r="F80" s="690"/>
      <c r="G80" s="690"/>
      <c r="H80" s="690"/>
      <c r="I80" s="690"/>
      <c r="J80" s="690"/>
      <c r="K80" s="690"/>
      <c r="L80" s="690"/>
      <c r="M80" s="376"/>
      <c r="N80" s="376"/>
      <c r="O80" s="376"/>
      <c r="P80" s="376"/>
      <c r="Q80" s="376"/>
      <c r="R80" s="376"/>
      <c r="S80" s="376"/>
      <c r="T80" s="376"/>
      <c r="U80" s="376"/>
      <c r="V80" s="373"/>
      <c r="W80" s="373"/>
      <c r="X80" s="373"/>
      <c r="Y80" s="373"/>
      <c r="Z80" s="373"/>
      <c r="AA80" s="420">
        <f t="shared" si="583"/>
        <v>79</v>
      </c>
      <c r="AB80" s="435" t="s">
        <v>58</v>
      </c>
      <c r="AC80" s="422" t="s">
        <v>394</v>
      </c>
      <c r="AD80" s="422" t="s">
        <v>326</v>
      </c>
      <c r="AE80" s="422">
        <v>24.714285714285701</v>
      </c>
      <c r="AF80" s="422">
        <f>'SSS1 ATTENDANCE '!FJ86</f>
        <v>128</v>
      </c>
      <c r="AG80" s="422">
        <f>'SSS1 ATTENDANCE '!FH86</f>
        <v>128</v>
      </c>
      <c r="AH80" s="422">
        <f>'SSS1 ATTENDANCE '!FI86</f>
        <v>0</v>
      </c>
      <c r="AI80" s="436" t="s">
        <v>652</v>
      </c>
      <c r="AJ80" s="437">
        <v>40844</v>
      </c>
      <c r="AK80" s="435" t="s">
        <v>396</v>
      </c>
      <c r="AL80" s="424">
        <v>25</v>
      </c>
      <c r="AM80" s="422">
        <v>66.464285714285694</v>
      </c>
      <c r="AN80" s="438">
        <v>4</v>
      </c>
      <c r="AO80" s="422" t="str">
        <f t="shared" si="644"/>
        <v>5</v>
      </c>
      <c r="AP80" s="438">
        <v>5</v>
      </c>
      <c r="AQ80" s="422">
        <v>4</v>
      </c>
      <c r="AR80" s="438">
        <v>4</v>
      </c>
      <c r="AS80" s="438">
        <v>4</v>
      </c>
      <c r="AT80" s="438">
        <v>4</v>
      </c>
      <c r="AU80" s="438">
        <v>3</v>
      </c>
      <c r="AV80" s="438">
        <v>4</v>
      </c>
      <c r="AW80" s="438">
        <v>4</v>
      </c>
      <c r="AX80" s="438">
        <v>3</v>
      </c>
      <c r="AY80" s="438">
        <v>4</v>
      </c>
      <c r="AZ80" s="438">
        <v>3</v>
      </c>
      <c r="BA80" s="438">
        <v>3</v>
      </c>
      <c r="BB80" s="438">
        <v>3</v>
      </c>
      <c r="BC80" s="438">
        <v>4</v>
      </c>
      <c r="BD80" s="438">
        <v>4</v>
      </c>
      <c r="BE80" s="438">
        <v>4</v>
      </c>
      <c r="BF80" s="438">
        <v>3</v>
      </c>
      <c r="BG80" s="438">
        <v>3</v>
      </c>
      <c r="BH80" s="438">
        <v>3</v>
      </c>
      <c r="BI80" s="438">
        <v>5</v>
      </c>
      <c r="BJ80" s="438">
        <v>4</v>
      </c>
      <c r="BK80" s="438">
        <v>3</v>
      </c>
      <c r="BL80" s="438">
        <v>5</v>
      </c>
      <c r="BM80" s="438">
        <v>3</v>
      </c>
      <c r="BN80" s="422" t="s">
        <v>478</v>
      </c>
      <c r="BO80" s="438">
        <v>-4.4642857142857197</v>
      </c>
      <c r="BP80" s="438">
        <v>-280.67857142857099</v>
      </c>
      <c r="BQ80" s="422">
        <f t="shared" ref="BQ80:BQ85" si="674">SUM(BO80:BP80)</f>
        <v>-285.14285714285671</v>
      </c>
      <c r="BR80" s="438" t="str">
        <f t="shared" ref="BR80:BR85" si="675">IF(BQ80&gt;=80,"A1",
IF(BQ80&gt;=75,"A",
IF(BQ80&gt;=70,"B2",
IF(BQ80&gt;=65,"B3",
IF(BQ80&gt;=60,"C4",
IF(BQ80&gt;=55,"C5",
IF(BQ80&gt;=50,"C6",
IF(BQ80&gt;=45,"D7",
IF(BQ80&gt;=40,"E8",
IF(BQ80&gt;=1,"F9",""))))))))))</f>
        <v/>
      </c>
      <c r="BS80" s="422">
        <v>-4.4642857142857197</v>
      </c>
      <c r="BT80" s="438">
        <v>-202.03571428571399</v>
      </c>
      <c r="BU80" s="422">
        <f t="shared" ref="BU80:BU85" si="676">SUM(BS80:BT80)</f>
        <v>-206.49999999999972</v>
      </c>
      <c r="BV80" s="438" t="str">
        <f t="shared" ref="BV80:BV85" si="677">IF(BU80&gt;=80,"A1",
IF(BU80&gt;=75,"A",
IF(BU80&gt;=70,"B2",
IF(BU80&gt;=65,"B3",
IF(BU80&gt;=60,"C4",
IF(BU80&gt;=55,"C5",
IF(BU80&gt;=50,"C6",
IF(BU80&gt;=45,"D7",
IF(BU80&gt;=40,"E8",
IF(BU80&gt;=1,"F9",""))))))))))</f>
        <v/>
      </c>
      <c r="BW80" s="422">
        <v>-4.4642857142857197</v>
      </c>
      <c r="BX80" s="422">
        <v>-196.03571428571399</v>
      </c>
      <c r="BY80" s="422">
        <f t="shared" ref="BY80:BY85" si="678">SUM(BW80:BX80)</f>
        <v>-200.49999999999972</v>
      </c>
      <c r="BZ80" s="438" t="str">
        <f t="shared" ref="BZ80:BZ85" si="679">IF(BY80&gt;=80,"A1",
IF(BY80&gt;=75,"A",
IF(BY80&gt;=70,"B2",
IF(BY80&gt;=65,"B3",
IF(BY80&gt;=60,"C4",
IF(BY80&gt;=55,"C5",
IF(BY80&gt;=50,"C6",
IF(BY80&gt;=45,"D7",
IF(BY80&gt;=40,"E8",
IF(BY80&gt;=1,"F9",""))))))))))</f>
        <v/>
      </c>
      <c r="CA80" s="422">
        <v>-4.4642857142857197</v>
      </c>
      <c r="CB80" s="422">
        <v>-206.78571428571499</v>
      </c>
      <c r="CC80" s="422">
        <f t="shared" ref="CC80:CC85" si="680">SUM(CA80:CB80)</f>
        <v>-211.25000000000071</v>
      </c>
      <c r="CD80" s="438" t="str">
        <f t="shared" ref="CD80:CD85" si="681">IF(CC80&gt;=80,"A1",
IF(CC80&gt;=75,"A",
IF(CC80&gt;=70,"B2",
IF(CC80&gt;=65,"B3",
IF(CC80&gt;=60,"C4",
IF(CC80&gt;=55,"C5",
IF(CC80&gt;=50,"C6",
IF(CC80&gt;=45,"D7",
IF(CC80&gt;=40,"E8",
IF(CC80&gt;=1,"F9",""))))))))))</f>
        <v/>
      </c>
      <c r="CE80" s="422">
        <v>35</v>
      </c>
      <c r="CF80" s="422">
        <v>-197.71428571428601</v>
      </c>
      <c r="CG80" s="422">
        <f t="shared" ref="CG80:CG85" si="682">SUM(CE80:CF80)</f>
        <v>-162.71428571428601</v>
      </c>
      <c r="CH80" s="438" t="str">
        <f t="shared" ref="CH80:CH85" si="683">IF(CG80&gt;=80,"A1",
IF(CG80&gt;=75,"A",
IF(CG80&gt;=70,"B2",
IF(CG80&gt;=65,"B3",
IF(CG80&gt;=60,"C4",
IF(CG80&gt;=55,"C5",
IF(CG80&gt;=50,"C6",
IF(CG80&gt;=45,"D7",
IF(CG80&gt;=40,"E8",
IF(CG80&gt;=1,"F9",""))))))))))</f>
        <v/>
      </c>
      <c r="CI80" s="422">
        <v>-4.4642857142857197</v>
      </c>
      <c r="CJ80" s="422">
        <v>-96.607142857143302</v>
      </c>
      <c r="CK80" s="422">
        <f t="shared" ref="CK80:CK85" si="684">SUM(CI80:CJ80)</f>
        <v>-101.07142857142902</v>
      </c>
      <c r="CL80" s="438" t="str">
        <f t="shared" ref="CL80:CL85" si="685">IF(CK80&gt;=80,"A1",
IF(CK80&gt;=75,"A",
IF(CK80&gt;=70,"B2",
IF(CK80&gt;=65,"B3",
IF(CK80&gt;=60,"C4",
IF(CK80&gt;=55,"C5",
IF(CK80&gt;=50,"C6",
IF(CK80&gt;=45,"D7",
IF(CK80&gt;=40,"E8",
IF(CK80&gt;=1,"F9",""))))))))))</f>
        <v/>
      </c>
      <c r="CM80" s="422">
        <v>-4.4642857142857197</v>
      </c>
      <c r="CN80" s="422"/>
      <c r="CO80" s="422"/>
      <c r="CP80" s="422">
        <f t="shared" ref="CP80:CP81" si="686">CM80</f>
        <v>-4.4642857142857197</v>
      </c>
      <c r="CQ80" s="422">
        <v>26.750000000000099</v>
      </c>
      <c r="CR80" s="422">
        <f t="shared" ref="CR80:CR85" si="687">SUM(CP80:CQ80)</f>
        <v>22.285714285714381</v>
      </c>
      <c r="CS80" s="438" t="str">
        <f t="shared" ref="CS80:CS85" si="688">IF(CR80&gt;=80,"A1",
IF(CR80&gt;=75,"A",
IF(CR80&gt;=70,"B2",
IF(CR80&gt;=65,"B3",
IF(CR80&gt;=60,"C4",
IF(CR80&gt;=55,"C5",
IF(CR80&gt;=50,"C6",
IF(CR80&gt;=45,"D7",
IF(CR80&gt;=40,"E8",
IF(CR80&gt;=1,"F9",""))))))))))</f>
        <v>F9</v>
      </c>
      <c r="CT80" s="422">
        <v>-31.052631578947398</v>
      </c>
      <c r="CU80" s="422">
        <v>-224.21052631578999</v>
      </c>
      <c r="CV80" s="422">
        <f t="shared" ref="CV80:CV85" si="689">SUM(CT80:CU80)</f>
        <v>-255.26315789473739</v>
      </c>
      <c r="CW80" s="438" t="str">
        <f t="shared" ref="CW80:CW85" si="690">IF(CV80&gt;=80,"A1",
IF(CV80&gt;=75,"A",
IF(CV80&gt;=70,"B2",
IF(CV80&gt;=65,"B3",
IF(CV80&gt;=60,"C4",
IF(CV80&gt;=55,"C5",
IF(CV80&gt;=50,"C6",
IF(CV80&gt;=45,"D7",
IF(CV80&gt;=40,"E8",
IF(CV80&gt;=1,"F9",""))))))))))</f>
        <v/>
      </c>
      <c r="CX80" s="422">
        <v>-45.8333333333333</v>
      </c>
      <c r="CY80" s="422">
        <v>-206.78571428571499</v>
      </c>
      <c r="CZ80" s="422">
        <f t="shared" ref="CZ80:CZ85" si="691">SUM(CX80:CY80)</f>
        <v>-252.61904761904827</v>
      </c>
      <c r="DA80" s="438" t="str">
        <f t="shared" ref="DA80:DA85" si="692">IF(CZ80&gt;=80,"A1",
IF(CZ80&gt;=75,"A",
IF(CZ80&gt;=70,"B2",
IF(CZ80&gt;=65,"B3",
IF(CZ80&gt;=60,"C4",
IF(CZ80&gt;=55,"C5",
IF(CZ80&gt;=50,"C6",
IF(CZ80&gt;=45,"D7",
IF(CZ80&gt;=40,"E8",
IF(CZ80&gt;=1,"F9",""))))))))))</f>
        <v/>
      </c>
      <c r="DB80" s="422">
        <v>-190</v>
      </c>
      <c r="DC80" s="422">
        <v>-162.32142857142799</v>
      </c>
      <c r="DD80" s="422">
        <f t="shared" ref="DD80:DD85" si="693">SUM(DB80:DC80)</f>
        <v>-352.32142857142799</v>
      </c>
      <c r="DE80" s="422" t="str">
        <f t="shared" ref="DE80:DE85" si="694">IF(DD80&gt;=80,"A1",
IF(DD80&gt;=75,"A",
IF(DD80&gt;=70,"B2",
IF(DD80&gt;=65,"B3",
IF(DD80&gt;=60,"C4",
IF(DD80&gt;=55,"C5",
IF(DD80&gt;=50,"C6",
IF(DD80&gt;=45,"D7",
IF(DD80&gt;=40,"E8",
IF(DD80&gt;=1,"F9",""))))))))))</f>
        <v/>
      </c>
      <c r="DF80" s="422">
        <f t="shared" ref="DF80:DF85" si="695">DB80</f>
        <v>-190</v>
      </c>
      <c r="DG80" s="422">
        <v>-206.78571428571499</v>
      </c>
      <c r="DH80" s="422">
        <f t="shared" ref="DH80:DH85" si="696">SUM(DF80:DG80)</f>
        <v>-396.78571428571502</v>
      </c>
      <c r="DI80" s="422" t="str">
        <f t="shared" ref="DI80:DI85" si="697">IF(DH80&gt;=80,"A1",
IF(DH80&gt;=75,"A",
IF(DH80&gt;=70,"B2",
IF(DH80&gt;=65,"B3",
IF(DH80&gt;=60,"C4",
IF(DH80&gt;=55,"C5",
IF(DH80&gt;=50,"C6",
IF(DH80&gt;=45,"D7",
IF(DH80&gt;=40,"E8",
IF(DH80&gt;=1,"F9",""))))))))))</f>
        <v/>
      </c>
      <c r="DJ80" s="422">
        <v>-75</v>
      </c>
      <c r="DK80" s="422">
        <v>33.892857142857103</v>
      </c>
      <c r="DL80" s="422">
        <f t="shared" ref="DL80:DL85" si="698">SUM(DJ80:DK80)</f>
        <v>-41.107142857142897</v>
      </c>
      <c r="DM80" s="422" t="str">
        <f t="shared" ref="DM80:DM85" si="699">IF(DL80&gt;=80,"A1",
IF(DL80&gt;=75,"A",
IF(DL80&gt;=70,"B2",
IF(DL80&gt;=65,"B3",
IF(DL80&gt;=60,"C4",
IF(DL80&gt;=55,"C5",
IF(DL80&gt;=50,"C6",
IF(DL80&gt;=45,"D7",
IF(DL80&gt;=40,"E8",
IF(DL80&gt;=1,"F9",""))))))))))</f>
        <v/>
      </c>
      <c r="DN80" s="422">
        <v>-75</v>
      </c>
      <c r="DO80" s="422">
        <v>0.89285714285711004</v>
      </c>
      <c r="DP80" s="422">
        <f t="shared" ref="DP80:DP85" si="700">SUM(DN80:DO80)</f>
        <v>-74.10714285714289</v>
      </c>
      <c r="DQ80" s="438" t="str">
        <f t="shared" ref="DQ80:DQ85" si="701">IF(DP80&gt;=80,"A1",
IF(DP80&gt;=75,"A",
IF(DP80&gt;=70,"B2",
IF(DP80&gt;=65,"B3",
IF(DP80&gt;=60,"C4",
IF(DP80&gt;=55,"C5",
IF(DP80&gt;=50,"C6",
IF(DP80&gt;=45,"D7",
IF(DP80&gt;=40,"E8",
IF(DP80&gt;=1,"F9",""))))))))))</f>
        <v/>
      </c>
      <c r="DR80" s="422">
        <v>-305</v>
      </c>
      <c r="DS80" s="422">
        <v>-163.53571428571399</v>
      </c>
      <c r="DT80" s="422">
        <f t="shared" ref="DT80:DT85" si="702">SUM(DR80:DS80)</f>
        <v>-468.53571428571399</v>
      </c>
      <c r="DU80" s="438" t="str">
        <f t="shared" ref="DU80:DU85" si="703">IF(DT80&gt;=80,"A1",
IF(DT80&gt;=75,"A",
IF(DT80&gt;=70,"B2",
IF(DT80&gt;=65,"B3",
IF(DT80&gt;=60,"C4",
IF(DT80&gt;=55,"C5",
IF(DT80&gt;=50,"C6",
IF(DT80&gt;=45,"D7",
IF(DT80&gt;=40,"E8",
IF(DT80&gt;=1,"F9",""))))))))))</f>
        <v/>
      </c>
      <c r="DV80" s="422">
        <v>-75</v>
      </c>
      <c r="DW80" s="422">
        <v>41.785714285714199</v>
      </c>
      <c r="DX80" s="422">
        <f t="shared" ref="DX80:DX85" si="704">SUM(DV80:DW80)</f>
        <v>-33.214285714285801</v>
      </c>
      <c r="DY80" s="438" t="str">
        <f t="shared" ref="DY80:DY85" si="705">IF(DX80&gt;=80,"A1",
IF(DX80&gt;=75,"A",
IF(DX80&gt;=70,"B2",
IF(DX80&gt;=65,"B3",
IF(DX80&gt;=60,"C4",
IF(DX80&gt;=55,"C5",
IF(DX80&gt;=50,"C6",
IF(DX80&gt;=45,"D7",
IF(DX80&gt;=40,"E8",
IF(DX80&gt;=1,"F9",""))))))))))</f>
        <v/>
      </c>
      <c r="DZ80" s="422">
        <f t="shared" ref="DZ80:DZ85" si="706">DV80</f>
        <v>-75</v>
      </c>
      <c r="EA80" s="422">
        <v>-14.25</v>
      </c>
      <c r="EB80" s="422">
        <f t="shared" ref="EB80:EB85" si="707">SUM(DZ80:EA80)</f>
        <v>-89.25</v>
      </c>
      <c r="EC80" s="438" t="str">
        <f t="shared" ref="EC80:EC85" si="708">IF(EB80&gt;=80,"A1",
IF(EB80&gt;=75,"A",
IF(EB80&gt;=70,"B2",
IF(EB80&gt;=65,"B3",
IF(EB80&gt;=60,"C4",
IF(EB80&gt;=55,"C5",
IF(EB80&gt;=50,"C6",
IF(EB80&gt;=45,"D7",
IF(EB80&gt;=40,"E8",
IF(EB80&gt;=1,"F9",""))))))))))</f>
        <v/>
      </c>
      <c r="ED80" s="422">
        <f t="shared" si="643"/>
        <v>-3108.096491228072</v>
      </c>
      <c r="EE80" s="422">
        <f t="shared" si="650"/>
        <v>-194.2560307017545</v>
      </c>
      <c r="EF80" s="438" t="str">
        <f t="shared" si="651"/>
        <v/>
      </c>
      <c r="EG80" s="422" t="str">
        <f t="shared" si="652"/>
        <v/>
      </c>
      <c r="EH80" s="439">
        <v>1</v>
      </c>
      <c r="EI80" s="422">
        <f t="shared" si="653"/>
        <v>-3108.096491228072</v>
      </c>
      <c r="EJ80" s="440">
        <f t="shared" si="654"/>
        <v>-1.942560307017545</v>
      </c>
      <c r="EK80" s="438" t="s">
        <v>573</v>
      </c>
      <c r="EL80" s="438" t="s">
        <v>762</v>
      </c>
    </row>
    <row r="81" spans="1:142" ht="30">
      <c r="A81" s="781"/>
      <c r="B81" s="690"/>
      <c r="C81" s="690"/>
      <c r="D81" s="690"/>
      <c r="E81" s="690"/>
      <c r="F81" s="690"/>
      <c r="G81" s="690"/>
      <c r="H81" s="690"/>
      <c r="I81" s="690"/>
      <c r="J81" s="690"/>
      <c r="K81" s="690"/>
      <c r="L81" s="690"/>
      <c r="M81" s="690"/>
      <c r="N81" s="690"/>
      <c r="O81" s="690"/>
      <c r="P81" s="690"/>
      <c r="Q81" s="690"/>
      <c r="R81" s="690"/>
      <c r="S81" s="690"/>
      <c r="T81" s="690"/>
      <c r="U81" s="690"/>
      <c r="V81" s="690"/>
      <c r="W81" s="690"/>
      <c r="X81" s="690"/>
      <c r="Y81" s="690"/>
      <c r="Z81" s="690"/>
      <c r="AA81" s="420">
        <f t="shared" si="583"/>
        <v>80</v>
      </c>
      <c r="AB81" s="435" t="s">
        <v>59</v>
      </c>
      <c r="AC81" s="422" t="s">
        <v>394</v>
      </c>
      <c r="AD81" s="422" t="s">
        <v>326</v>
      </c>
      <c r="AE81" s="422">
        <v>24.8571428571429</v>
      </c>
      <c r="AF81" s="422">
        <f>'SSS1 ATTENDANCE '!FJ87</f>
        <v>128</v>
      </c>
      <c r="AG81" s="422">
        <f>'SSS1 ATTENDANCE '!FH87</f>
        <v>120</v>
      </c>
      <c r="AH81" s="422">
        <f>'SSS1 ATTENDANCE '!FI87</f>
        <v>8</v>
      </c>
      <c r="AI81" s="436" t="s">
        <v>653</v>
      </c>
      <c r="AJ81" s="437">
        <v>40754</v>
      </c>
      <c r="AK81" s="435" t="s">
        <v>396</v>
      </c>
      <c r="AL81" s="424">
        <v>25</v>
      </c>
      <c r="AM81" s="422">
        <v>67</v>
      </c>
      <c r="AN81" s="438">
        <v>4</v>
      </c>
      <c r="AO81" s="422" t="str">
        <f t="shared" si="644"/>
        <v>5</v>
      </c>
      <c r="AP81" s="438">
        <v>5</v>
      </c>
      <c r="AQ81" s="422">
        <v>4</v>
      </c>
      <c r="AR81" s="438">
        <v>4</v>
      </c>
      <c r="AS81" s="438">
        <v>4</v>
      </c>
      <c r="AT81" s="438">
        <v>4</v>
      </c>
      <c r="AU81" s="438">
        <v>3</v>
      </c>
      <c r="AV81" s="438">
        <v>4</v>
      </c>
      <c r="AW81" s="438">
        <v>4</v>
      </c>
      <c r="AX81" s="438">
        <v>3</v>
      </c>
      <c r="AY81" s="438">
        <v>4</v>
      </c>
      <c r="AZ81" s="438">
        <v>3</v>
      </c>
      <c r="BA81" s="438">
        <v>3</v>
      </c>
      <c r="BB81" s="438">
        <v>3</v>
      </c>
      <c r="BC81" s="438">
        <v>4</v>
      </c>
      <c r="BD81" s="438">
        <v>4</v>
      </c>
      <c r="BE81" s="438">
        <v>4</v>
      </c>
      <c r="BF81" s="438">
        <v>3</v>
      </c>
      <c r="BG81" s="438">
        <v>3</v>
      </c>
      <c r="BH81" s="438">
        <v>3</v>
      </c>
      <c r="BI81" s="438">
        <v>5</v>
      </c>
      <c r="BJ81" s="438">
        <v>4</v>
      </c>
      <c r="BK81" s="438">
        <v>3</v>
      </c>
      <c r="BL81" s="438">
        <v>5</v>
      </c>
      <c r="BM81" s="438">
        <v>3</v>
      </c>
      <c r="BN81" s="422" t="s">
        <v>479</v>
      </c>
      <c r="BO81" s="438">
        <v>-5.0000000000000204</v>
      </c>
      <c r="BP81" s="438">
        <v>-284.857142857143</v>
      </c>
      <c r="BQ81" s="422">
        <f t="shared" si="674"/>
        <v>-289.857142857143</v>
      </c>
      <c r="BR81" s="438" t="str">
        <f t="shared" si="675"/>
        <v/>
      </c>
      <c r="BS81" s="422">
        <v>-5.0000000000000204</v>
      </c>
      <c r="BT81" s="438">
        <v>-205.28571428571399</v>
      </c>
      <c r="BU81" s="422">
        <f t="shared" si="676"/>
        <v>-210.28571428571402</v>
      </c>
      <c r="BV81" s="438" t="str">
        <f t="shared" si="677"/>
        <v/>
      </c>
      <c r="BW81" s="422">
        <v>-5.0000000000000204</v>
      </c>
      <c r="BX81" s="422">
        <v>-199.142857142857</v>
      </c>
      <c r="BY81" s="422">
        <f t="shared" si="678"/>
        <v>-204.14285714285703</v>
      </c>
      <c r="BZ81" s="438" t="str">
        <f t="shared" si="679"/>
        <v/>
      </c>
      <c r="CA81" s="422">
        <v>-5.0000000000000204</v>
      </c>
      <c r="CB81" s="422">
        <v>-210.00000000000099</v>
      </c>
      <c r="CC81" s="422">
        <f t="shared" si="680"/>
        <v>-215.00000000000102</v>
      </c>
      <c r="CD81" s="438" t="str">
        <f t="shared" si="681"/>
        <v/>
      </c>
      <c r="CE81" s="422">
        <v>35</v>
      </c>
      <c r="CF81" s="422">
        <v>-200.857142857143</v>
      </c>
      <c r="CG81" s="422">
        <f t="shared" si="682"/>
        <v>-165.857142857143</v>
      </c>
      <c r="CH81" s="438" t="str">
        <f t="shared" si="683"/>
        <v/>
      </c>
      <c r="CI81" s="422">
        <v>-5.0000000000000204</v>
      </c>
      <c r="CJ81" s="422">
        <v>-98.428571428571303</v>
      </c>
      <c r="CK81" s="422">
        <f t="shared" si="684"/>
        <v>-103.42857142857132</v>
      </c>
      <c r="CL81" s="438" t="str">
        <f t="shared" si="685"/>
        <v/>
      </c>
      <c r="CM81" s="422">
        <v>-5.0000000000000204</v>
      </c>
      <c r="CN81" s="422"/>
      <c r="CO81" s="422"/>
      <c r="CP81" s="422">
        <f t="shared" si="686"/>
        <v>-5.0000000000000204</v>
      </c>
      <c r="CQ81" s="422">
        <v>26.465517241379398</v>
      </c>
      <c r="CR81" s="422">
        <f t="shared" si="687"/>
        <v>21.465517241379377</v>
      </c>
      <c r="CS81" s="438" t="str">
        <f t="shared" si="688"/>
        <v>F9</v>
      </c>
      <c r="CT81" s="422">
        <v>-32.105263157894797</v>
      </c>
      <c r="CU81" s="422">
        <v>-228.42105263157899</v>
      </c>
      <c r="CV81" s="422">
        <f t="shared" si="689"/>
        <v>-260.52631578947376</v>
      </c>
      <c r="CW81" s="438" t="str">
        <f t="shared" si="690"/>
        <v/>
      </c>
      <c r="CX81" s="422">
        <v>-48.3333333333333</v>
      </c>
      <c r="CY81" s="422">
        <v>-210.00000000000099</v>
      </c>
      <c r="CZ81" s="422">
        <f t="shared" si="691"/>
        <v>-258.33333333333428</v>
      </c>
      <c r="DA81" s="438" t="str">
        <f t="shared" si="692"/>
        <v/>
      </c>
      <c r="DB81" s="422">
        <f t="shared" ref="DB81:DB85" si="709">CX81</f>
        <v>-48.3333333333333</v>
      </c>
      <c r="DC81" s="422">
        <v>-165</v>
      </c>
      <c r="DD81" s="422">
        <f t="shared" si="693"/>
        <v>-213.33333333333331</v>
      </c>
      <c r="DE81" s="422" t="str">
        <f t="shared" si="694"/>
        <v/>
      </c>
      <c r="DF81" s="422">
        <f t="shared" si="695"/>
        <v>-48.3333333333333</v>
      </c>
      <c r="DG81" s="422">
        <v>-210.00000000000099</v>
      </c>
      <c r="DH81" s="422">
        <f t="shared" si="696"/>
        <v>-258.33333333333428</v>
      </c>
      <c r="DI81" s="422" t="str">
        <f t="shared" si="697"/>
        <v/>
      </c>
      <c r="DJ81" s="422">
        <f t="shared" ref="DJ81:DJ85" si="710">DF81</f>
        <v>-48.3333333333333</v>
      </c>
      <c r="DK81" s="422">
        <v>33.714285714285701</v>
      </c>
      <c r="DL81" s="422">
        <f t="shared" si="698"/>
        <v>-14.619047619047599</v>
      </c>
      <c r="DM81" s="422" t="str">
        <f t="shared" si="699"/>
        <v/>
      </c>
      <c r="DN81" s="422">
        <f t="shared" ref="DN81:DN85" si="711">DJ81</f>
        <v>-48.3333333333333</v>
      </c>
      <c r="DO81" s="422">
        <v>0.28571428571430602</v>
      </c>
      <c r="DP81" s="422">
        <f t="shared" si="700"/>
        <v>-48.047619047618994</v>
      </c>
      <c r="DQ81" s="438" t="str">
        <f t="shared" si="701"/>
        <v/>
      </c>
      <c r="DR81" s="422">
        <f t="shared" ref="DR81:DR85" si="712">DN81</f>
        <v>-48.3333333333333</v>
      </c>
      <c r="DS81" s="422">
        <v>-166.142857142857</v>
      </c>
      <c r="DT81" s="422">
        <f t="shared" si="702"/>
        <v>-214.47619047619031</v>
      </c>
      <c r="DU81" s="438" t="str">
        <f t="shared" si="703"/>
        <v/>
      </c>
      <c r="DV81" s="422">
        <f t="shared" ref="DV81:DV85" si="713">DR81</f>
        <v>-48.3333333333333</v>
      </c>
      <c r="DW81" s="422">
        <v>41.714285714285701</v>
      </c>
      <c r="DX81" s="422">
        <f t="shared" si="704"/>
        <v>-6.6190476190475991</v>
      </c>
      <c r="DY81" s="438" t="str">
        <f t="shared" si="705"/>
        <v/>
      </c>
      <c r="DZ81" s="422">
        <f t="shared" si="706"/>
        <v>-48.3333333333333</v>
      </c>
      <c r="EA81" s="422">
        <v>-15</v>
      </c>
      <c r="EB81" s="422">
        <f t="shared" si="707"/>
        <v>-63.3333333333333</v>
      </c>
      <c r="EC81" s="438" t="str">
        <f t="shared" si="708"/>
        <v/>
      </c>
      <c r="ED81" s="422">
        <f t="shared" si="643"/>
        <v>-2504.7274652147635</v>
      </c>
      <c r="EE81" s="422">
        <f t="shared" si="650"/>
        <v>-156.54546657592272</v>
      </c>
      <c r="EF81" s="438" t="str">
        <f t="shared" si="651"/>
        <v/>
      </c>
      <c r="EG81" s="422" t="str">
        <f t="shared" si="652"/>
        <v/>
      </c>
      <c r="EH81" s="439">
        <v>1</v>
      </c>
      <c r="EI81" s="422">
        <f t="shared" si="653"/>
        <v>-2504.7274652147635</v>
      </c>
      <c r="EJ81" s="440">
        <f t="shared" si="654"/>
        <v>-1.5654546657592272</v>
      </c>
      <c r="EK81" s="438" t="s">
        <v>573</v>
      </c>
      <c r="EL81" s="438" t="s">
        <v>762</v>
      </c>
    </row>
    <row r="82" spans="1:142" ht="30">
      <c r="A82" s="781"/>
      <c r="B82" s="690"/>
      <c r="C82" s="690"/>
      <c r="D82" s="690"/>
      <c r="E82" s="690"/>
      <c r="F82" s="690"/>
      <c r="G82" s="690"/>
      <c r="H82" s="690"/>
      <c r="I82" s="690"/>
      <c r="J82" s="690"/>
      <c r="K82" s="376"/>
      <c r="L82" s="376"/>
      <c r="M82" s="690"/>
      <c r="N82" s="690"/>
      <c r="O82" s="690"/>
      <c r="P82" s="690"/>
      <c r="Q82" s="690"/>
      <c r="R82" s="690"/>
      <c r="S82" s="690"/>
      <c r="T82" s="690"/>
      <c r="U82" s="690"/>
      <c r="V82" s="690"/>
      <c r="W82" s="690"/>
      <c r="X82" s="690"/>
      <c r="Y82" s="690"/>
      <c r="Z82" s="690"/>
      <c r="AA82" s="420">
        <f t="shared" si="583"/>
        <v>81</v>
      </c>
      <c r="AB82" s="435" t="s">
        <v>60</v>
      </c>
      <c r="AC82" s="422" t="s">
        <v>394</v>
      </c>
      <c r="AD82" s="422" t="s">
        <v>326</v>
      </c>
      <c r="AE82" s="422">
        <v>25</v>
      </c>
      <c r="AF82" s="422">
        <f>'SSS1 ATTENDANCE '!FJ88</f>
        <v>128</v>
      </c>
      <c r="AG82" s="422">
        <f>'SSS1 ATTENDANCE '!FH88</f>
        <v>114</v>
      </c>
      <c r="AH82" s="422">
        <f>'SSS1 ATTENDANCE '!FI88</f>
        <v>14</v>
      </c>
      <c r="AI82" s="436" t="s">
        <v>654</v>
      </c>
      <c r="AJ82" s="437">
        <v>40900</v>
      </c>
      <c r="AK82" s="435" t="s">
        <v>396</v>
      </c>
      <c r="AL82" s="424">
        <v>25</v>
      </c>
      <c r="AM82" s="422">
        <v>67.535714285714306</v>
      </c>
      <c r="AN82" s="438">
        <v>4</v>
      </c>
      <c r="AO82" s="422" t="str">
        <f t="shared" si="644"/>
        <v>5</v>
      </c>
      <c r="AP82" s="438">
        <v>5</v>
      </c>
      <c r="AQ82" s="422">
        <v>4</v>
      </c>
      <c r="AR82" s="438">
        <v>4</v>
      </c>
      <c r="AS82" s="438">
        <v>4</v>
      </c>
      <c r="AT82" s="438">
        <v>4</v>
      </c>
      <c r="AU82" s="438">
        <v>3</v>
      </c>
      <c r="AV82" s="438">
        <v>4</v>
      </c>
      <c r="AW82" s="438">
        <v>4</v>
      </c>
      <c r="AX82" s="438">
        <v>3</v>
      </c>
      <c r="AY82" s="438">
        <v>4</v>
      </c>
      <c r="AZ82" s="438">
        <v>3</v>
      </c>
      <c r="BA82" s="438">
        <v>3</v>
      </c>
      <c r="BB82" s="438">
        <v>3</v>
      </c>
      <c r="BC82" s="438">
        <v>4</v>
      </c>
      <c r="BD82" s="438">
        <v>4</v>
      </c>
      <c r="BE82" s="438">
        <v>4</v>
      </c>
      <c r="BF82" s="438">
        <v>3</v>
      </c>
      <c r="BG82" s="438">
        <v>3</v>
      </c>
      <c r="BH82" s="438">
        <v>3</v>
      </c>
      <c r="BI82" s="438">
        <v>5</v>
      </c>
      <c r="BJ82" s="438">
        <v>4</v>
      </c>
      <c r="BK82" s="438">
        <v>3</v>
      </c>
      <c r="BL82" s="438">
        <v>5</v>
      </c>
      <c r="BM82" s="438">
        <v>3</v>
      </c>
      <c r="BN82" s="422" t="s">
        <v>480</v>
      </c>
      <c r="BO82" s="438">
        <v>-5.5357142857143202</v>
      </c>
      <c r="BP82" s="438">
        <v>-289.03571428571399</v>
      </c>
      <c r="BQ82" s="422">
        <f t="shared" si="674"/>
        <v>-294.57142857142833</v>
      </c>
      <c r="BR82" s="438" t="str">
        <f t="shared" si="675"/>
        <v/>
      </c>
      <c r="BS82" s="422">
        <v>-5.5357142857143202</v>
      </c>
      <c r="BT82" s="438">
        <v>-208.53571428571399</v>
      </c>
      <c r="BU82" s="422">
        <f t="shared" si="676"/>
        <v>-214.07142857142833</v>
      </c>
      <c r="BV82" s="438" t="str">
        <f t="shared" si="677"/>
        <v/>
      </c>
      <c r="BW82" s="422">
        <v>-5.5357142857143202</v>
      </c>
      <c r="BX82" s="422">
        <v>-202.24999999999901</v>
      </c>
      <c r="BY82" s="422">
        <f t="shared" si="678"/>
        <v>-207.78571428571331</v>
      </c>
      <c r="BZ82" s="438" t="str">
        <f t="shared" si="679"/>
        <v/>
      </c>
      <c r="CA82" s="422">
        <v>-5.5357142857143202</v>
      </c>
      <c r="CB82" s="422">
        <v>-213.21428571428601</v>
      </c>
      <c r="CC82" s="422">
        <f t="shared" si="680"/>
        <v>-218.75000000000034</v>
      </c>
      <c r="CD82" s="438" t="str">
        <f t="shared" si="681"/>
        <v/>
      </c>
      <c r="CE82" s="422">
        <v>35</v>
      </c>
      <c r="CF82" s="422">
        <v>-204</v>
      </c>
      <c r="CG82" s="422">
        <f t="shared" si="682"/>
        <v>-169</v>
      </c>
      <c r="CH82" s="438" t="str">
        <f t="shared" si="683"/>
        <v/>
      </c>
      <c r="CI82" s="422">
        <v>-5.5357142857143202</v>
      </c>
      <c r="CJ82" s="422">
        <v>-100.25</v>
      </c>
      <c r="CK82" s="422">
        <f t="shared" si="684"/>
        <v>-105.78571428571432</v>
      </c>
      <c r="CL82" s="438" t="str">
        <f t="shared" si="685"/>
        <v/>
      </c>
      <c r="CM82" s="422">
        <v>-5.5357142857143202</v>
      </c>
      <c r="CN82" s="422"/>
      <c r="CO82" s="422"/>
      <c r="CP82" s="422"/>
      <c r="CQ82" s="422">
        <v>26.181034482758701</v>
      </c>
      <c r="CR82" s="422">
        <f t="shared" si="687"/>
        <v>26.181034482758701</v>
      </c>
      <c r="CS82" s="438" t="str">
        <f t="shared" si="688"/>
        <v>F9</v>
      </c>
      <c r="CT82" s="422">
        <v>-33.157894736842202</v>
      </c>
      <c r="CU82" s="422">
        <v>-232.63157894736901</v>
      </c>
      <c r="CV82" s="422">
        <f t="shared" si="689"/>
        <v>-265.7894736842112</v>
      </c>
      <c r="CW82" s="438" t="str">
        <f t="shared" si="690"/>
        <v/>
      </c>
      <c r="CX82" s="422">
        <f t="shared" ref="CX82" si="714">CT82</f>
        <v>-33.157894736842202</v>
      </c>
      <c r="CY82" s="422">
        <v>-213.21428571428601</v>
      </c>
      <c r="CZ82" s="422">
        <f t="shared" si="691"/>
        <v>-246.3721804511282</v>
      </c>
      <c r="DA82" s="438" t="str">
        <f t="shared" si="692"/>
        <v/>
      </c>
      <c r="DB82" s="422">
        <f t="shared" si="709"/>
        <v>-33.157894736842202</v>
      </c>
      <c r="DC82" s="422">
        <v>-167.67857142857099</v>
      </c>
      <c r="DD82" s="422">
        <f t="shared" si="693"/>
        <v>-200.83646616541319</v>
      </c>
      <c r="DE82" s="422" t="str">
        <f t="shared" si="694"/>
        <v/>
      </c>
      <c r="DF82" s="422">
        <f t="shared" si="695"/>
        <v>-33.157894736842202</v>
      </c>
      <c r="DG82" s="422">
        <v>-213.21428571428601</v>
      </c>
      <c r="DH82" s="422">
        <f t="shared" si="696"/>
        <v>-246.3721804511282</v>
      </c>
      <c r="DI82" s="422" t="str">
        <f t="shared" si="697"/>
        <v/>
      </c>
      <c r="DJ82" s="422">
        <f t="shared" si="710"/>
        <v>-33.157894736842202</v>
      </c>
      <c r="DK82" s="422">
        <v>33.535714285714299</v>
      </c>
      <c r="DL82" s="422">
        <f t="shared" si="698"/>
        <v>0.37781954887209679</v>
      </c>
      <c r="DM82" s="422" t="str">
        <f t="shared" si="699"/>
        <v/>
      </c>
      <c r="DN82" s="422">
        <f t="shared" si="711"/>
        <v>-33.157894736842202</v>
      </c>
      <c r="DO82" s="422">
        <v>-0.32142857142859099</v>
      </c>
      <c r="DP82" s="422">
        <f t="shared" si="700"/>
        <v>-33.479323308270793</v>
      </c>
      <c r="DQ82" s="438" t="str">
        <f t="shared" si="701"/>
        <v/>
      </c>
      <c r="DR82" s="422">
        <f t="shared" si="712"/>
        <v>-33.157894736842202</v>
      </c>
      <c r="DS82" s="422">
        <v>-168.75</v>
      </c>
      <c r="DT82" s="422">
        <f t="shared" si="702"/>
        <v>-201.9078947368422</v>
      </c>
      <c r="DU82" s="438" t="str">
        <f t="shared" si="703"/>
        <v/>
      </c>
      <c r="DV82" s="422">
        <f t="shared" si="713"/>
        <v>-33.157894736842202</v>
      </c>
      <c r="DW82" s="422">
        <v>41.642857142857103</v>
      </c>
      <c r="DX82" s="422">
        <f t="shared" si="704"/>
        <v>8.4849624060149011</v>
      </c>
      <c r="DY82" s="438" t="str">
        <f t="shared" si="705"/>
        <v>F9</v>
      </c>
      <c r="DZ82" s="422">
        <f t="shared" si="706"/>
        <v>-33.157894736842202</v>
      </c>
      <c r="EA82" s="422">
        <v>-15.75</v>
      </c>
      <c r="EB82" s="422">
        <f t="shared" si="707"/>
        <v>-48.907894736842202</v>
      </c>
      <c r="EC82" s="438" t="str">
        <f t="shared" si="708"/>
        <v/>
      </c>
      <c r="ED82" s="422">
        <f t="shared" si="643"/>
        <v>-2418.5858828104751</v>
      </c>
      <c r="EE82" s="422">
        <f t="shared" si="650"/>
        <v>-151.1616176756547</v>
      </c>
      <c r="EF82" s="438" t="str">
        <f t="shared" si="651"/>
        <v/>
      </c>
      <c r="EG82" s="422" t="str">
        <f t="shared" si="652"/>
        <v/>
      </c>
      <c r="EH82" s="439">
        <v>1</v>
      </c>
      <c r="EI82" s="422">
        <f t="shared" si="653"/>
        <v>-2418.5858828104751</v>
      </c>
      <c r="EJ82" s="440">
        <f t="shared" si="654"/>
        <v>-1.511616176756547</v>
      </c>
      <c r="EK82" s="438" t="s">
        <v>573</v>
      </c>
      <c r="EL82" s="438" t="s">
        <v>762</v>
      </c>
    </row>
    <row r="83" spans="1:142" ht="30">
      <c r="A83" s="781"/>
      <c r="B83" s="690"/>
      <c r="C83" s="690"/>
      <c r="D83" s="690"/>
      <c r="E83" s="690"/>
      <c r="F83" s="690"/>
      <c r="G83" s="690"/>
      <c r="H83" s="690"/>
      <c r="I83" s="690"/>
      <c r="J83" s="690"/>
      <c r="K83" s="376"/>
      <c r="L83" s="376"/>
      <c r="M83" s="690"/>
      <c r="N83" s="690"/>
      <c r="O83" s="690"/>
      <c r="P83" s="690"/>
      <c r="Q83" s="690"/>
      <c r="R83" s="690"/>
      <c r="S83" s="690"/>
      <c r="T83" s="690"/>
      <c r="U83" s="690"/>
      <c r="V83" s="690"/>
      <c r="W83" s="690"/>
      <c r="X83" s="690"/>
      <c r="Y83" s="690"/>
      <c r="Z83" s="690"/>
      <c r="AA83" s="420">
        <f t="shared" si="583"/>
        <v>82</v>
      </c>
      <c r="AB83" s="435" t="s">
        <v>61</v>
      </c>
      <c r="AC83" s="422" t="s">
        <v>394</v>
      </c>
      <c r="AD83" s="422" t="s">
        <v>326</v>
      </c>
      <c r="AE83" s="422">
        <v>25.142857142857199</v>
      </c>
      <c r="AF83" s="422">
        <f>'SSS1 ATTENDANCE '!FJ89</f>
        <v>128</v>
      </c>
      <c r="AG83" s="422">
        <f>'SSS1 ATTENDANCE '!FH89</f>
        <v>120</v>
      </c>
      <c r="AH83" s="422">
        <f>'SSS1 ATTENDANCE '!FI89</f>
        <v>8</v>
      </c>
      <c r="AI83" s="436" t="s">
        <v>655</v>
      </c>
      <c r="AJ83" s="437">
        <v>40368</v>
      </c>
      <c r="AK83" s="435" t="s">
        <v>396</v>
      </c>
      <c r="AL83" s="424">
        <v>25</v>
      </c>
      <c r="AM83" s="422">
        <v>68.071428571428498</v>
      </c>
      <c r="AN83" s="438">
        <v>4</v>
      </c>
      <c r="AO83" s="422" t="str">
        <f t="shared" si="644"/>
        <v>5</v>
      </c>
      <c r="AP83" s="438">
        <v>5</v>
      </c>
      <c r="AQ83" s="422">
        <v>4</v>
      </c>
      <c r="AR83" s="438">
        <v>4</v>
      </c>
      <c r="AS83" s="438">
        <v>4</v>
      </c>
      <c r="AT83" s="438">
        <v>4</v>
      </c>
      <c r="AU83" s="438">
        <v>3</v>
      </c>
      <c r="AV83" s="438">
        <v>4</v>
      </c>
      <c r="AW83" s="438">
        <v>4</v>
      </c>
      <c r="AX83" s="438">
        <v>3</v>
      </c>
      <c r="AY83" s="438">
        <v>4</v>
      </c>
      <c r="AZ83" s="438">
        <v>3</v>
      </c>
      <c r="BA83" s="438">
        <v>3</v>
      </c>
      <c r="BB83" s="438">
        <v>3</v>
      </c>
      <c r="BC83" s="438">
        <v>4</v>
      </c>
      <c r="BD83" s="438">
        <v>4</v>
      </c>
      <c r="BE83" s="438">
        <v>4</v>
      </c>
      <c r="BF83" s="438">
        <v>3</v>
      </c>
      <c r="BG83" s="438">
        <v>3</v>
      </c>
      <c r="BH83" s="438">
        <v>3</v>
      </c>
      <c r="BI83" s="438">
        <v>5</v>
      </c>
      <c r="BJ83" s="438">
        <v>4</v>
      </c>
      <c r="BK83" s="438">
        <v>3</v>
      </c>
      <c r="BL83" s="438">
        <v>5</v>
      </c>
      <c r="BM83" s="438">
        <v>3</v>
      </c>
      <c r="BN83" s="422" t="s">
        <v>481</v>
      </c>
      <c r="BO83" s="438">
        <v>-6.0714285714285303</v>
      </c>
      <c r="BP83" s="438">
        <v>-293.21428571428601</v>
      </c>
      <c r="BQ83" s="422">
        <f t="shared" si="674"/>
        <v>-299.28571428571456</v>
      </c>
      <c r="BR83" s="438" t="str">
        <f t="shared" si="675"/>
        <v/>
      </c>
      <c r="BS83" s="422">
        <v>-6.0714285714285303</v>
      </c>
      <c r="BT83" s="438">
        <v>-211.78571428571399</v>
      </c>
      <c r="BU83" s="422">
        <f t="shared" si="676"/>
        <v>-217.85714285714252</v>
      </c>
      <c r="BV83" s="438" t="str">
        <f t="shared" si="677"/>
        <v/>
      </c>
      <c r="BW83" s="422">
        <v>-6.0714285714285303</v>
      </c>
      <c r="BX83" s="422">
        <v>-205.35714285714201</v>
      </c>
      <c r="BY83" s="422">
        <f t="shared" si="678"/>
        <v>-211.42857142857054</v>
      </c>
      <c r="BZ83" s="438" t="str">
        <f t="shared" si="679"/>
        <v/>
      </c>
      <c r="CA83" s="422">
        <v>-6.0714285714285303</v>
      </c>
      <c r="CB83" s="422">
        <v>-216.42857142857201</v>
      </c>
      <c r="CC83" s="422">
        <f t="shared" si="680"/>
        <v>-222.50000000000054</v>
      </c>
      <c r="CD83" s="438" t="str">
        <f t="shared" si="681"/>
        <v/>
      </c>
      <c r="CE83" s="422">
        <v>35</v>
      </c>
      <c r="CF83" s="422">
        <v>-207.14285714285799</v>
      </c>
      <c r="CG83" s="422">
        <f t="shared" si="682"/>
        <v>-172.14285714285799</v>
      </c>
      <c r="CH83" s="438" t="str">
        <f t="shared" si="683"/>
        <v/>
      </c>
      <c r="CI83" s="422">
        <v>-6.0714285714285303</v>
      </c>
      <c r="CJ83" s="422">
        <v>-102.071428571428</v>
      </c>
      <c r="CK83" s="422">
        <f t="shared" si="684"/>
        <v>-108.14285714285653</v>
      </c>
      <c r="CL83" s="438" t="str">
        <f t="shared" si="685"/>
        <v/>
      </c>
      <c r="CM83" s="422">
        <v>-6.0714285714285303</v>
      </c>
      <c r="CN83" s="422"/>
      <c r="CO83" s="422"/>
      <c r="CP83" s="422">
        <f t="shared" ref="CP83" si="715">CM83</f>
        <v>-6.0714285714285303</v>
      </c>
      <c r="CQ83" s="422">
        <v>25.896551724138</v>
      </c>
      <c r="CR83" s="422">
        <f t="shared" si="687"/>
        <v>19.82512315270947</v>
      </c>
      <c r="CS83" s="438" t="str">
        <f t="shared" si="688"/>
        <v>F9</v>
      </c>
      <c r="CT83" s="422">
        <v>-34.210526315789501</v>
      </c>
      <c r="CU83" s="422">
        <v>-236.842105263158</v>
      </c>
      <c r="CV83" s="422">
        <f t="shared" si="689"/>
        <v>-271.05263157894751</v>
      </c>
      <c r="CW83" s="438" t="str">
        <f t="shared" si="690"/>
        <v/>
      </c>
      <c r="CX83" s="422">
        <v>35</v>
      </c>
      <c r="CY83" s="422">
        <v>-216.42857142857201</v>
      </c>
      <c r="CZ83" s="422">
        <f t="shared" si="691"/>
        <v>-181.42857142857201</v>
      </c>
      <c r="DA83" s="438" t="str">
        <f t="shared" si="692"/>
        <v/>
      </c>
      <c r="DB83" s="422">
        <f t="shared" si="709"/>
        <v>35</v>
      </c>
      <c r="DC83" s="422">
        <v>-170.357142857143</v>
      </c>
      <c r="DD83" s="422">
        <f t="shared" si="693"/>
        <v>-135.357142857143</v>
      </c>
      <c r="DE83" s="422" t="str">
        <f t="shared" si="694"/>
        <v/>
      </c>
      <c r="DF83" s="422">
        <f t="shared" si="695"/>
        <v>35</v>
      </c>
      <c r="DG83" s="422">
        <v>-216.42857142857201</v>
      </c>
      <c r="DH83" s="422">
        <f t="shared" si="696"/>
        <v>-181.42857142857201</v>
      </c>
      <c r="DI83" s="422" t="str">
        <f t="shared" si="697"/>
        <v/>
      </c>
      <c r="DJ83" s="422">
        <f t="shared" si="710"/>
        <v>35</v>
      </c>
      <c r="DK83" s="422">
        <v>33.357142857142797</v>
      </c>
      <c r="DL83" s="422">
        <f t="shared" si="698"/>
        <v>68.357142857142804</v>
      </c>
      <c r="DM83" s="422" t="str">
        <f t="shared" si="699"/>
        <v>B3</v>
      </c>
      <c r="DN83" s="422">
        <f t="shared" si="711"/>
        <v>35</v>
      </c>
      <c r="DO83" s="422">
        <v>-0.92857142857139496</v>
      </c>
      <c r="DP83" s="422">
        <f t="shared" si="700"/>
        <v>34.071428571428605</v>
      </c>
      <c r="DQ83" s="438" t="str">
        <f t="shared" si="701"/>
        <v>F9</v>
      </c>
      <c r="DR83" s="422">
        <f t="shared" si="712"/>
        <v>35</v>
      </c>
      <c r="DS83" s="422">
        <v>-171.35714285714201</v>
      </c>
      <c r="DT83" s="422">
        <f t="shared" si="702"/>
        <v>-136.35714285714201</v>
      </c>
      <c r="DU83" s="438" t="str">
        <f t="shared" si="703"/>
        <v/>
      </c>
      <c r="DV83" s="422">
        <f t="shared" si="713"/>
        <v>35</v>
      </c>
      <c r="DW83" s="422">
        <v>41.571428571428498</v>
      </c>
      <c r="DX83" s="422">
        <f t="shared" si="704"/>
        <v>76.571428571428498</v>
      </c>
      <c r="DY83" s="438" t="str">
        <f t="shared" si="705"/>
        <v>A</v>
      </c>
      <c r="DZ83" s="422">
        <f t="shared" si="706"/>
        <v>35</v>
      </c>
      <c r="EA83" s="422">
        <v>-16.5</v>
      </c>
      <c r="EB83" s="422">
        <f t="shared" si="707"/>
        <v>18.5</v>
      </c>
      <c r="EC83" s="438" t="str">
        <f t="shared" si="708"/>
        <v>F9</v>
      </c>
      <c r="ED83" s="422">
        <f t="shared" si="643"/>
        <v>-1919.6560798548096</v>
      </c>
      <c r="EE83" s="422">
        <f t="shared" si="650"/>
        <v>-119.9785049909256</v>
      </c>
      <c r="EF83" s="438" t="str">
        <f t="shared" si="651"/>
        <v/>
      </c>
      <c r="EG83" s="422" t="str">
        <f t="shared" si="652"/>
        <v/>
      </c>
      <c r="EH83" s="439">
        <v>1</v>
      </c>
      <c r="EI83" s="422">
        <f t="shared" si="653"/>
        <v>-1919.6560798548096</v>
      </c>
      <c r="EJ83" s="440">
        <f t="shared" si="654"/>
        <v>-1.1997850499092559</v>
      </c>
      <c r="EK83" s="438" t="s">
        <v>746</v>
      </c>
      <c r="EL83" s="438" t="s">
        <v>762</v>
      </c>
    </row>
    <row r="84" spans="1:142" ht="30">
      <c r="A84" s="781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690"/>
      <c r="N84" s="690"/>
      <c r="O84" s="690"/>
      <c r="P84" s="690"/>
      <c r="Q84" s="690"/>
      <c r="R84" s="690"/>
      <c r="S84" s="690"/>
      <c r="T84" s="690"/>
      <c r="U84" s="690"/>
      <c r="V84" s="690"/>
      <c r="W84" s="690"/>
      <c r="X84" s="690"/>
      <c r="Y84" s="690"/>
      <c r="Z84" s="690"/>
      <c r="AA84" s="420">
        <f t="shared" si="583"/>
        <v>83</v>
      </c>
      <c r="AB84" s="435" t="s">
        <v>62</v>
      </c>
      <c r="AC84" s="422" t="s">
        <v>394</v>
      </c>
      <c r="AD84" s="422" t="s">
        <v>326</v>
      </c>
      <c r="AE84" s="422">
        <v>25.285714285714299</v>
      </c>
      <c r="AF84" s="422">
        <f>'SSS1 ATTENDANCE '!FJ90</f>
        <v>128</v>
      </c>
      <c r="AG84" s="422">
        <f>'SSS1 ATTENDANCE '!FH90</f>
        <v>118</v>
      </c>
      <c r="AH84" s="422">
        <f>'SSS1 ATTENDANCE '!FI90</f>
        <v>10</v>
      </c>
      <c r="AI84" s="436" t="s">
        <v>656</v>
      </c>
      <c r="AJ84" s="437">
        <v>40852</v>
      </c>
      <c r="AK84" s="435" t="s">
        <v>396</v>
      </c>
      <c r="AL84" s="424">
        <v>25</v>
      </c>
      <c r="AM84" s="422">
        <v>68.607142857142804</v>
      </c>
      <c r="AN84" s="438">
        <v>4</v>
      </c>
      <c r="AO84" s="422" t="str">
        <f t="shared" si="644"/>
        <v>5</v>
      </c>
      <c r="AP84" s="438">
        <v>5</v>
      </c>
      <c r="AQ84" s="422">
        <v>4</v>
      </c>
      <c r="AR84" s="438">
        <v>4</v>
      </c>
      <c r="AS84" s="438">
        <v>4</v>
      </c>
      <c r="AT84" s="438">
        <v>4</v>
      </c>
      <c r="AU84" s="438">
        <v>3</v>
      </c>
      <c r="AV84" s="438">
        <v>4</v>
      </c>
      <c r="AW84" s="438">
        <v>4</v>
      </c>
      <c r="AX84" s="438">
        <v>3</v>
      </c>
      <c r="AY84" s="438">
        <v>4</v>
      </c>
      <c r="AZ84" s="438">
        <v>3</v>
      </c>
      <c r="BA84" s="438">
        <v>3</v>
      </c>
      <c r="BB84" s="438">
        <v>3</v>
      </c>
      <c r="BC84" s="438">
        <v>4</v>
      </c>
      <c r="BD84" s="438">
        <v>4</v>
      </c>
      <c r="BE84" s="438">
        <v>4</v>
      </c>
      <c r="BF84" s="438">
        <v>3</v>
      </c>
      <c r="BG84" s="438">
        <v>3</v>
      </c>
      <c r="BH84" s="438">
        <v>3</v>
      </c>
      <c r="BI84" s="438">
        <v>5</v>
      </c>
      <c r="BJ84" s="438">
        <v>4</v>
      </c>
      <c r="BK84" s="438">
        <v>3</v>
      </c>
      <c r="BL84" s="438">
        <v>5</v>
      </c>
      <c r="BM84" s="438">
        <v>3</v>
      </c>
      <c r="BN84" s="422" t="s">
        <v>482</v>
      </c>
      <c r="BO84" s="438">
        <v>-6.6071428571428301</v>
      </c>
      <c r="BP84" s="438">
        <v>-297.392857142857</v>
      </c>
      <c r="BQ84" s="422">
        <f t="shared" si="674"/>
        <v>-303.99999999999983</v>
      </c>
      <c r="BR84" s="438" t="str">
        <f t="shared" si="675"/>
        <v/>
      </c>
      <c r="BS84" s="422">
        <v>-6.6071428571428301</v>
      </c>
      <c r="BT84" s="438">
        <v>-215.03571428571399</v>
      </c>
      <c r="BU84" s="422">
        <f t="shared" si="676"/>
        <v>-221.64285714285683</v>
      </c>
      <c r="BV84" s="438" t="str">
        <f t="shared" si="677"/>
        <v/>
      </c>
      <c r="BW84" s="422">
        <v>-6.6071428571428301</v>
      </c>
      <c r="BX84" s="422">
        <v>-208.46428571428501</v>
      </c>
      <c r="BY84" s="422">
        <f t="shared" si="678"/>
        <v>-215.07142857142784</v>
      </c>
      <c r="BZ84" s="438" t="str">
        <f t="shared" si="679"/>
        <v/>
      </c>
      <c r="CA84" s="422">
        <v>-6.6071428571428301</v>
      </c>
      <c r="CB84" s="422">
        <v>-219.64285714285799</v>
      </c>
      <c r="CC84" s="422">
        <f t="shared" si="680"/>
        <v>-226.25000000000082</v>
      </c>
      <c r="CD84" s="438" t="str">
        <f t="shared" si="681"/>
        <v/>
      </c>
      <c r="CE84" s="422">
        <v>35</v>
      </c>
      <c r="CF84" s="422">
        <v>-210.28571428571499</v>
      </c>
      <c r="CG84" s="422">
        <f t="shared" si="682"/>
        <v>-175.28571428571499</v>
      </c>
      <c r="CH84" s="438" t="str">
        <f t="shared" si="683"/>
        <v/>
      </c>
      <c r="CI84" s="422">
        <v>-6.6071428571428301</v>
      </c>
      <c r="CJ84" s="422">
        <v>-103.892857142857</v>
      </c>
      <c r="CK84" s="422">
        <f t="shared" si="684"/>
        <v>-110.49999999999983</v>
      </c>
      <c r="CL84" s="438" t="str">
        <f t="shared" si="685"/>
        <v/>
      </c>
      <c r="CM84" s="422">
        <v>-6.6071428571428301</v>
      </c>
      <c r="CN84" s="422"/>
      <c r="CO84" s="422"/>
      <c r="CP84" s="422"/>
      <c r="CQ84" s="422">
        <v>25.612068965517299</v>
      </c>
      <c r="CR84" s="422">
        <f t="shared" si="687"/>
        <v>25.612068965517299</v>
      </c>
      <c r="CS84" s="438" t="str">
        <f t="shared" si="688"/>
        <v>F9</v>
      </c>
      <c r="CT84" s="422">
        <v>-35.263157894736899</v>
      </c>
      <c r="CU84" s="422">
        <v>-241.052631578948</v>
      </c>
      <c r="CV84" s="422">
        <f t="shared" si="689"/>
        <v>-276.3157894736849</v>
      </c>
      <c r="CW84" s="438" t="str">
        <f t="shared" si="690"/>
        <v/>
      </c>
      <c r="CX84" s="422">
        <f t="shared" ref="CX84" si="716">CT84</f>
        <v>-35.263157894736899</v>
      </c>
      <c r="CY84" s="422">
        <v>-219.64285714285799</v>
      </c>
      <c r="CZ84" s="422">
        <f t="shared" si="691"/>
        <v>-254.9060150375949</v>
      </c>
      <c r="DA84" s="438" t="str">
        <f t="shared" si="692"/>
        <v/>
      </c>
      <c r="DB84" s="422">
        <f t="shared" si="709"/>
        <v>-35.263157894736899</v>
      </c>
      <c r="DC84" s="422">
        <v>-173.03571428571399</v>
      </c>
      <c r="DD84" s="422">
        <f t="shared" si="693"/>
        <v>-208.2988721804509</v>
      </c>
      <c r="DE84" s="422" t="str">
        <f t="shared" si="694"/>
        <v/>
      </c>
      <c r="DF84" s="422">
        <f t="shared" si="695"/>
        <v>-35.263157894736899</v>
      </c>
      <c r="DG84" s="422">
        <v>-219.64285714285799</v>
      </c>
      <c r="DH84" s="422">
        <f t="shared" si="696"/>
        <v>-254.9060150375949</v>
      </c>
      <c r="DI84" s="422" t="str">
        <f t="shared" si="697"/>
        <v/>
      </c>
      <c r="DJ84" s="422">
        <f t="shared" si="710"/>
        <v>-35.263157894736899</v>
      </c>
      <c r="DK84" s="422">
        <v>33.178571428571402</v>
      </c>
      <c r="DL84" s="422">
        <f t="shared" si="698"/>
        <v>-2.0845864661654971</v>
      </c>
      <c r="DM84" s="422" t="str">
        <f t="shared" si="699"/>
        <v/>
      </c>
      <c r="DN84" s="422">
        <f t="shared" si="711"/>
        <v>-35.263157894736899</v>
      </c>
      <c r="DO84" s="422">
        <v>-1.53571428571429</v>
      </c>
      <c r="DP84" s="422">
        <f t="shared" si="700"/>
        <v>-36.798872180451191</v>
      </c>
      <c r="DQ84" s="438" t="str">
        <f t="shared" si="701"/>
        <v/>
      </c>
      <c r="DR84" s="422">
        <f t="shared" si="712"/>
        <v>-35.263157894736899</v>
      </c>
      <c r="DS84" s="422">
        <v>-173.96428571428501</v>
      </c>
      <c r="DT84" s="422">
        <f t="shared" si="702"/>
        <v>-209.22744360902192</v>
      </c>
      <c r="DU84" s="438" t="str">
        <f t="shared" si="703"/>
        <v/>
      </c>
      <c r="DV84" s="422">
        <f t="shared" si="713"/>
        <v>-35.263157894736899</v>
      </c>
      <c r="DW84" s="422">
        <v>41.5</v>
      </c>
      <c r="DX84" s="422">
        <f t="shared" si="704"/>
        <v>6.2368421052631007</v>
      </c>
      <c r="DY84" s="438" t="str">
        <f t="shared" si="705"/>
        <v>F9</v>
      </c>
      <c r="DZ84" s="422">
        <f t="shared" si="706"/>
        <v>-35.263157894736899</v>
      </c>
      <c r="EA84" s="422">
        <v>-17.25</v>
      </c>
      <c r="EB84" s="422">
        <f t="shared" si="707"/>
        <v>-52.513157894736899</v>
      </c>
      <c r="EC84" s="438" t="str">
        <f t="shared" si="708"/>
        <v/>
      </c>
      <c r="ED84" s="422">
        <f t="shared" si="643"/>
        <v>-2515.9518408089211</v>
      </c>
      <c r="EE84" s="422">
        <f t="shared" si="650"/>
        <v>-157.24699005055757</v>
      </c>
      <c r="EF84" s="438" t="str">
        <f t="shared" si="651"/>
        <v/>
      </c>
      <c r="EG84" s="422" t="str">
        <f t="shared" si="652"/>
        <v/>
      </c>
      <c r="EH84" s="439">
        <v>1</v>
      </c>
      <c r="EI84" s="422">
        <f t="shared" si="653"/>
        <v>-2515.9518408089211</v>
      </c>
      <c r="EJ84" s="440">
        <f t="shared" si="654"/>
        <v>-1.5724699005055758</v>
      </c>
      <c r="EK84" s="438" t="s">
        <v>747</v>
      </c>
      <c r="EL84" s="438" t="s">
        <v>762</v>
      </c>
    </row>
    <row r="85" spans="1:142" ht="30">
      <c r="A85" s="781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690"/>
      <c r="N85" s="690"/>
      <c r="O85" s="690"/>
      <c r="P85" s="690"/>
      <c r="Q85" s="690"/>
      <c r="R85" s="690"/>
      <c r="S85" s="690"/>
      <c r="T85" s="690"/>
      <c r="U85" s="690"/>
      <c r="V85" s="690"/>
      <c r="W85" s="690"/>
      <c r="X85" s="690"/>
      <c r="Y85" s="690"/>
      <c r="Z85" s="690"/>
      <c r="AA85" s="420">
        <f t="shared" si="583"/>
        <v>84</v>
      </c>
      <c r="AB85" s="435" t="s">
        <v>63</v>
      </c>
      <c r="AC85" s="422" t="s">
        <v>394</v>
      </c>
      <c r="AD85" s="422" t="s">
        <v>326</v>
      </c>
      <c r="AE85" s="422">
        <v>25.428571428571502</v>
      </c>
      <c r="AF85" s="422">
        <f>'SSS1 ATTENDANCE '!FJ91</f>
        <v>128</v>
      </c>
      <c r="AG85" s="422">
        <f>'SSS1 ATTENDANCE '!FH91</f>
        <v>0</v>
      </c>
      <c r="AH85" s="422">
        <f>'SSS1 ATTENDANCE '!FI91</f>
        <v>128</v>
      </c>
      <c r="AI85" s="436" t="s">
        <v>657</v>
      </c>
      <c r="AJ85" s="437">
        <v>40881</v>
      </c>
      <c r="AK85" s="435" t="s">
        <v>396</v>
      </c>
      <c r="AL85" s="424">
        <v>25</v>
      </c>
      <c r="AM85" s="422">
        <v>69.142857142857096</v>
      </c>
      <c r="AN85" s="438">
        <v>4</v>
      </c>
      <c r="AO85" s="422" t="str">
        <f t="shared" si="644"/>
        <v>3</v>
      </c>
      <c r="AP85" s="438">
        <v>5</v>
      </c>
      <c r="AQ85" s="422">
        <v>4</v>
      </c>
      <c r="AR85" s="438">
        <v>4</v>
      </c>
      <c r="AS85" s="438">
        <v>4</v>
      </c>
      <c r="AT85" s="438">
        <v>4</v>
      </c>
      <c r="AU85" s="438">
        <v>3</v>
      </c>
      <c r="AV85" s="438">
        <v>4</v>
      </c>
      <c r="AW85" s="438">
        <v>4</v>
      </c>
      <c r="AX85" s="438">
        <v>3</v>
      </c>
      <c r="AY85" s="438">
        <v>4</v>
      </c>
      <c r="AZ85" s="438">
        <v>3</v>
      </c>
      <c r="BA85" s="438">
        <v>3</v>
      </c>
      <c r="BB85" s="438">
        <v>3</v>
      </c>
      <c r="BC85" s="438">
        <v>4</v>
      </c>
      <c r="BD85" s="438">
        <v>4</v>
      </c>
      <c r="BE85" s="438">
        <v>4</v>
      </c>
      <c r="BF85" s="438">
        <v>3</v>
      </c>
      <c r="BG85" s="438">
        <v>3</v>
      </c>
      <c r="BH85" s="438">
        <v>3</v>
      </c>
      <c r="BI85" s="438">
        <v>5</v>
      </c>
      <c r="BJ85" s="438">
        <v>4</v>
      </c>
      <c r="BK85" s="438">
        <v>3</v>
      </c>
      <c r="BL85" s="438">
        <v>5</v>
      </c>
      <c r="BM85" s="438">
        <v>3</v>
      </c>
      <c r="BN85" s="422" t="s">
        <v>483</v>
      </c>
      <c r="BO85" s="438">
        <v>-7.1428571428571201</v>
      </c>
      <c r="BP85" s="438">
        <v>-301.57142857142799</v>
      </c>
      <c r="BQ85" s="422">
        <f t="shared" si="674"/>
        <v>-308.7142857142851</v>
      </c>
      <c r="BR85" s="438" t="str">
        <f t="shared" si="675"/>
        <v/>
      </c>
      <c r="BS85" s="422">
        <v>-7.1428571428571201</v>
      </c>
      <c r="BT85" s="438">
        <v>-218.28571428571399</v>
      </c>
      <c r="BU85" s="422">
        <f t="shared" si="676"/>
        <v>-225.4285714285711</v>
      </c>
      <c r="BV85" s="438" t="str">
        <f t="shared" si="677"/>
        <v/>
      </c>
      <c r="BW85" s="422">
        <v>-7.1428571428571201</v>
      </c>
      <c r="BX85" s="422">
        <v>-211.57142857142799</v>
      </c>
      <c r="BY85" s="422">
        <f t="shared" si="678"/>
        <v>-218.7142857142851</v>
      </c>
      <c r="BZ85" s="438" t="str">
        <f t="shared" si="679"/>
        <v/>
      </c>
      <c r="CA85" s="422">
        <v>-7.1428571428571201</v>
      </c>
      <c r="CB85" s="422">
        <v>-222.857142857143</v>
      </c>
      <c r="CC85" s="422">
        <f t="shared" si="680"/>
        <v>-230.00000000000011</v>
      </c>
      <c r="CD85" s="438" t="str">
        <f t="shared" si="681"/>
        <v/>
      </c>
      <c r="CE85" s="422">
        <v>35</v>
      </c>
      <c r="CF85" s="422">
        <v>-213.42857142857201</v>
      </c>
      <c r="CG85" s="422">
        <f t="shared" si="682"/>
        <v>-178.42857142857201</v>
      </c>
      <c r="CH85" s="438" t="str">
        <f t="shared" si="683"/>
        <v/>
      </c>
      <c r="CI85" s="422">
        <v>-7.1428571428571201</v>
      </c>
      <c r="CJ85" s="422">
        <v>-105.714285714285</v>
      </c>
      <c r="CK85" s="422">
        <f t="shared" si="684"/>
        <v>-112.85714285714212</v>
      </c>
      <c r="CL85" s="438" t="str">
        <f t="shared" si="685"/>
        <v/>
      </c>
      <c r="CM85" s="422">
        <v>-7.1428571428571201</v>
      </c>
      <c r="CN85" s="422"/>
      <c r="CO85" s="422"/>
      <c r="CP85" s="422">
        <f t="shared" ref="CP85" si="717">CM85</f>
        <v>-7.1428571428571201</v>
      </c>
      <c r="CQ85" s="422">
        <v>25.327586206896601</v>
      </c>
      <c r="CR85" s="422">
        <f t="shared" si="687"/>
        <v>18.18472906403948</v>
      </c>
      <c r="CS85" s="438" t="str">
        <f t="shared" si="688"/>
        <v>F9</v>
      </c>
      <c r="CT85" s="422"/>
      <c r="CU85" s="422"/>
      <c r="CV85" s="422">
        <f t="shared" si="689"/>
        <v>0</v>
      </c>
      <c r="CW85" s="438" t="str">
        <f t="shared" si="690"/>
        <v/>
      </c>
      <c r="CX85" s="422">
        <v>35</v>
      </c>
      <c r="CY85" s="422">
        <v>-222.857142857143</v>
      </c>
      <c r="CZ85" s="422">
        <f t="shared" si="691"/>
        <v>-187.857142857143</v>
      </c>
      <c r="DA85" s="438" t="str">
        <f t="shared" si="692"/>
        <v/>
      </c>
      <c r="DB85" s="422">
        <f t="shared" si="709"/>
        <v>35</v>
      </c>
      <c r="DC85" s="422">
        <v>-175.71428571428601</v>
      </c>
      <c r="DD85" s="422">
        <f t="shared" si="693"/>
        <v>-140.71428571428601</v>
      </c>
      <c r="DE85" s="422" t="str">
        <f t="shared" si="694"/>
        <v/>
      </c>
      <c r="DF85" s="422">
        <f t="shared" si="695"/>
        <v>35</v>
      </c>
      <c r="DG85" s="422">
        <v>-222.857142857143</v>
      </c>
      <c r="DH85" s="422">
        <f t="shared" si="696"/>
        <v>-187.857142857143</v>
      </c>
      <c r="DI85" s="422" t="str">
        <f t="shared" si="697"/>
        <v/>
      </c>
      <c r="DJ85" s="422">
        <f t="shared" si="710"/>
        <v>35</v>
      </c>
      <c r="DK85" s="422">
        <v>33</v>
      </c>
      <c r="DL85" s="422">
        <f t="shared" si="698"/>
        <v>68</v>
      </c>
      <c r="DM85" s="422" t="str">
        <f t="shared" si="699"/>
        <v>B3</v>
      </c>
      <c r="DN85" s="422">
        <f t="shared" si="711"/>
        <v>35</v>
      </c>
      <c r="DO85" s="422">
        <v>-2.1428571428572001</v>
      </c>
      <c r="DP85" s="422">
        <f t="shared" si="700"/>
        <v>32.857142857142797</v>
      </c>
      <c r="DQ85" s="438" t="str">
        <f t="shared" si="701"/>
        <v>F9</v>
      </c>
      <c r="DR85" s="422">
        <f t="shared" si="712"/>
        <v>35</v>
      </c>
      <c r="DS85" s="422">
        <v>-176.57142857142799</v>
      </c>
      <c r="DT85" s="422">
        <f t="shared" si="702"/>
        <v>-141.57142857142799</v>
      </c>
      <c r="DU85" s="438" t="str">
        <f t="shared" si="703"/>
        <v/>
      </c>
      <c r="DV85" s="422">
        <f t="shared" si="713"/>
        <v>35</v>
      </c>
      <c r="DW85" s="422">
        <v>41.428571428571402</v>
      </c>
      <c r="DX85" s="422">
        <f t="shared" si="704"/>
        <v>76.428571428571402</v>
      </c>
      <c r="DY85" s="438" t="str">
        <f t="shared" si="705"/>
        <v>A</v>
      </c>
      <c r="DZ85" s="422">
        <f t="shared" si="706"/>
        <v>35</v>
      </c>
      <c r="EA85" s="422">
        <v>-18</v>
      </c>
      <c r="EB85" s="422">
        <f t="shared" si="707"/>
        <v>17</v>
      </c>
      <c r="EC85" s="438" t="str">
        <f t="shared" si="708"/>
        <v>F9</v>
      </c>
      <c r="ED85" s="422">
        <f t="shared" si="643"/>
        <v>-1719.6724137931019</v>
      </c>
      <c r="EE85" s="422">
        <f t="shared" si="650"/>
        <v>-107.47952586206887</v>
      </c>
      <c r="EF85" s="438" t="str">
        <f t="shared" si="651"/>
        <v/>
      </c>
      <c r="EG85" s="422" t="str">
        <f t="shared" si="652"/>
        <v/>
      </c>
      <c r="EH85" s="439">
        <v>1</v>
      </c>
      <c r="EI85" s="422">
        <f t="shared" si="653"/>
        <v>-1719.6724137931019</v>
      </c>
      <c r="EJ85" s="440">
        <f t="shared" si="654"/>
        <v>-1.0747952586206886</v>
      </c>
      <c r="EK85" s="438" t="s">
        <v>573</v>
      </c>
      <c r="EL85" s="438" t="s">
        <v>762</v>
      </c>
    </row>
    <row r="86" spans="1:142" ht="30">
      <c r="A86" s="781"/>
      <c r="B86" s="376"/>
      <c r="C86" s="376"/>
      <c r="D86" s="376"/>
      <c r="E86" s="376"/>
      <c r="F86" s="376"/>
      <c r="G86" s="376"/>
      <c r="H86" s="376"/>
      <c r="I86" s="376"/>
      <c r="J86" s="376"/>
      <c r="K86" s="376"/>
      <c r="L86" s="376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420">
        <f t="shared" si="583"/>
        <v>85</v>
      </c>
      <c r="AB86" s="435" t="s">
        <v>57</v>
      </c>
      <c r="AC86" s="422" t="s">
        <v>394</v>
      </c>
      <c r="AD86" s="422" t="s">
        <v>326</v>
      </c>
      <c r="AE86" s="422">
        <v>25.571428571428601</v>
      </c>
      <c r="AF86" s="422">
        <f>'SSS1 ATTENDANCE '!FJ92</f>
        <v>128</v>
      </c>
      <c r="AG86" s="422">
        <f>'SSS1 ATTENDANCE '!FH92</f>
        <v>104</v>
      </c>
      <c r="AH86" s="422">
        <f>'SSS1 ATTENDANCE '!FI92</f>
        <v>24</v>
      </c>
      <c r="AI86" s="436" t="s">
        <v>658</v>
      </c>
      <c r="AJ86" s="437">
        <v>41122</v>
      </c>
      <c r="AK86" s="435" t="s">
        <v>396</v>
      </c>
      <c r="AL86" s="424">
        <v>25</v>
      </c>
      <c r="AM86" s="422">
        <v>69.678571428571402</v>
      </c>
      <c r="AN86" s="438">
        <v>4</v>
      </c>
      <c r="AO86" s="422" t="str">
        <f t="shared" si="644"/>
        <v>5</v>
      </c>
      <c r="AP86" s="438">
        <v>5</v>
      </c>
      <c r="AQ86" s="422">
        <v>4</v>
      </c>
      <c r="AR86" s="438">
        <v>4</v>
      </c>
      <c r="AS86" s="438">
        <v>4</v>
      </c>
      <c r="AT86" s="438">
        <v>4</v>
      </c>
      <c r="AU86" s="438">
        <v>3</v>
      </c>
      <c r="AV86" s="438">
        <v>4</v>
      </c>
      <c r="AW86" s="438">
        <v>4</v>
      </c>
      <c r="AX86" s="438">
        <v>3</v>
      </c>
      <c r="AY86" s="438">
        <v>4</v>
      </c>
      <c r="AZ86" s="438">
        <v>3</v>
      </c>
      <c r="BA86" s="438">
        <v>3</v>
      </c>
      <c r="BB86" s="438">
        <v>3</v>
      </c>
      <c r="BC86" s="438">
        <v>4</v>
      </c>
      <c r="BD86" s="438">
        <v>4</v>
      </c>
      <c r="BE86" s="438">
        <v>4</v>
      </c>
      <c r="BF86" s="438">
        <v>3</v>
      </c>
      <c r="BG86" s="438">
        <v>3</v>
      </c>
      <c r="BH86" s="438">
        <v>3</v>
      </c>
      <c r="BI86" s="438">
        <v>5</v>
      </c>
      <c r="BJ86" s="438">
        <v>4</v>
      </c>
      <c r="BK86" s="438">
        <v>3</v>
      </c>
      <c r="BL86" s="438">
        <v>5</v>
      </c>
      <c r="BM86" s="438">
        <v>3</v>
      </c>
      <c r="BN86" s="422" t="s">
        <v>484</v>
      </c>
      <c r="BO86" s="422">
        <v>-7.6785714285714199</v>
      </c>
      <c r="BP86" s="422">
        <v>-305.75</v>
      </c>
      <c r="BQ86" s="422">
        <v>100</v>
      </c>
      <c r="BR86" s="438" t="s">
        <v>749</v>
      </c>
      <c r="BS86" s="422">
        <v>-7.6785714285714199</v>
      </c>
      <c r="BT86" s="422">
        <v>-221.53571428571399</v>
      </c>
      <c r="BU86" s="422">
        <v>100</v>
      </c>
      <c r="BV86" s="438" t="s">
        <v>749</v>
      </c>
      <c r="BW86" s="422">
        <v>-7.6785714285714199</v>
      </c>
      <c r="BX86" s="422">
        <v>-214.67857142857099</v>
      </c>
      <c r="BY86" s="422">
        <v>100</v>
      </c>
      <c r="BZ86" s="422" t="str">
        <f t="shared" ref="BZ86" si="718">BV86</f>
        <v>Grades</v>
      </c>
      <c r="CA86" s="422">
        <v>-7.6785714285714199</v>
      </c>
      <c r="CB86" s="422">
        <v>-226.07142857142901</v>
      </c>
      <c r="CC86" s="422">
        <v>100</v>
      </c>
      <c r="CD86" s="422" t="str">
        <f t="shared" ref="CD86" si="719">BZ86</f>
        <v>Grades</v>
      </c>
      <c r="CE86" s="422">
        <f t="shared" ref="CE86" si="720">CA86</f>
        <v>-7.6785714285714199</v>
      </c>
      <c r="CF86" s="422">
        <v>-216.57142857142901</v>
      </c>
      <c r="CG86" s="422">
        <v>100</v>
      </c>
      <c r="CH86" s="422" t="str">
        <f t="shared" ref="CH86" si="721">CD86</f>
        <v>Grades</v>
      </c>
      <c r="CI86" s="422">
        <v>-7.6785714285714199</v>
      </c>
      <c r="CJ86" s="422">
        <v>-107.53571428571399</v>
      </c>
      <c r="CK86" s="422">
        <v>100</v>
      </c>
      <c r="CL86" s="422" t="str">
        <f t="shared" ref="CL86" si="722">CH86</f>
        <v>Grades</v>
      </c>
      <c r="CM86" s="422">
        <v>-7.6785714285714199</v>
      </c>
      <c r="CN86" s="422">
        <v>60</v>
      </c>
      <c r="CO86" s="422"/>
      <c r="CP86" s="422">
        <v>40</v>
      </c>
      <c r="CQ86" s="422">
        <v>25.0431034482759</v>
      </c>
      <c r="CR86" s="422">
        <v>100</v>
      </c>
      <c r="CS86" s="438" t="str">
        <f t="shared" ref="CS86" si="723">CL86</f>
        <v>Grades</v>
      </c>
      <c r="CT86" s="422">
        <v>-36.315789473684298</v>
      </c>
      <c r="CU86" s="422">
        <v>-245.26315789473699</v>
      </c>
      <c r="CV86" s="422">
        <v>100</v>
      </c>
      <c r="CW86" s="438" t="str">
        <f t="shared" ref="CW86" si="724">CS86</f>
        <v>Grades</v>
      </c>
      <c r="CX86" s="422">
        <v>-50.8333333333333</v>
      </c>
      <c r="CY86" s="422">
        <v>-226.07142857142901</v>
      </c>
      <c r="CZ86" s="422">
        <v>100</v>
      </c>
      <c r="DA86" s="438" t="str">
        <f t="shared" ref="DA86" si="725">CW86</f>
        <v>Grades</v>
      </c>
      <c r="DB86" s="422">
        <v>-200</v>
      </c>
      <c r="DC86" s="422">
        <v>-178.392857142857</v>
      </c>
      <c r="DD86" s="422">
        <v>100</v>
      </c>
      <c r="DE86" s="422" t="str">
        <f t="shared" ref="DE86" si="726">DA86</f>
        <v>Grades</v>
      </c>
      <c r="DF86" s="422">
        <v>40</v>
      </c>
      <c r="DG86" s="422">
        <v>-226.07142857142901</v>
      </c>
      <c r="DH86" s="422">
        <v>100</v>
      </c>
      <c r="DI86" s="422" t="str">
        <f t="shared" ref="DI86" si="727">DE86</f>
        <v>Grades</v>
      </c>
      <c r="DJ86" s="422">
        <v>-80</v>
      </c>
      <c r="DK86" s="422">
        <v>32.821428571428498</v>
      </c>
      <c r="DL86" s="422">
        <v>100</v>
      </c>
      <c r="DM86" s="422" t="str">
        <f t="shared" ref="DM86" si="728">DI86</f>
        <v>Grades</v>
      </c>
      <c r="DN86" s="422">
        <v>-80</v>
      </c>
      <c r="DO86" s="422">
        <v>-2.7499999999999898</v>
      </c>
      <c r="DP86" s="422">
        <v>100</v>
      </c>
      <c r="DQ86" s="438" t="str">
        <f t="shared" ref="DQ86" si="729">DM86</f>
        <v>Grades</v>
      </c>
      <c r="DR86" s="422">
        <v>-320</v>
      </c>
      <c r="DS86" s="422">
        <v>-179.17857142857099</v>
      </c>
      <c r="DT86" s="422">
        <v>100</v>
      </c>
      <c r="DU86" s="438" t="str">
        <f t="shared" ref="DU86" si="730">DQ86</f>
        <v>Grades</v>
      </c>
      <c r="DV86" s="422">
        <v>-80</v>
      </c>
      <c r="DW86" s="422">
        <v>41.357142857142797</v>
      </c>
      <c r="DX86" s="422">
        <v>100</v>
      </c>
      <c r="DY86" s="438" t="str">
        <f t="shared" ref="DY86" si="731">DU86</f>
        <v>Grades</v>
      </c>
      <c r="DZ86" s="422">
        <v>40</v>
      </c>
      <c r="EA86" s="422">
        <v>-18.75</v>
      </c>
      <c r="EB86" s="422">
        <v>100</v>
      </c>
      <c r="EC86" s="438" t="str">
        <f t="shared" ref="EC86" si="732">DY86</f>
        <v>Grades</v>
      </c>
      <c r="ED86" s="422">
        <f t="shared" si="643"/>
        <v>1600</v>
      </c>
      <c r="EE86" s="422">
        <f t="shared" si="650"/>
        <v>100</v>
      </c>
      <c r="EF86" s="438" t="str">
        <f t="shared" si="651"/>
        <v>A1</v>
      </c>
      <c r="EG86" s="422" t="str">
        <f t="shared" si="652"/>
        <v>DISTINTION</v>
      </c>
      <c r="EH86" s="439">
        <v>1</v>
      </c>
      <c r="EI86" s="422">
        <f t="shared" si="653"/>
        <v>1600</v>
      </c>
      <c r="EJ86" s="440">
        <f t="shared" si="654"/>
        <v>1</v>
      </c>
      <c r="EK86" s="438" t="s">
        <v>573</v>
      </c>
      <c r="EL86" s="438" t="s">
        <v>762</v>
      </c>
    </row>
    <row r="87" spans="1:142" ht="30">
      <c r="A87" s="376"/>
      <c r="B87" s="376"/>
      <c r="C87" s="376"/>
      <c r="D87" s="376"/>
      <c r="E87" s="376"/>
      <c r="F87" s="376"/>
      <c r="G87" s="376"/>
      <c r="H87" s="376"/>
      <c r="I87" s="376"/>
      <c r="J87" s="376"/>
      <c r="K87" s="376"/>
      <c r="L87" s="376"/>
      <c r="M87" s="690"/>
      <c r="N87" s="690"/>
      <c r="O87" s="690"/>
      <c r="P87" s="690"/>
      <c r="Q87" s="690"/>
      <c r="R87" s="690"/>
      <c r="S87" s="690"/>
      <c r="T87" s="690"/>
      <c r="U87" s="690"/>
      <c r="V87" s="690"/>
      <c r="W87" s="690"/>
      <c r="X87" s="690"/>
      <c r="Y87" s="690"/>
      <c r="Z87" s="690"/>
      <c r="AA87" s="420">
        <f t="shared" si="583"/>
        <v>86</v>
      </c>
      <c r="AB87" s="435" t="s">
        <v>58</v>
      </c>
      <c r="AC87" s="422" t="s">
        <v>394</v>
      </c>
      <c r="AD87" s="422" t="s">
        <v>326</v>
      </c>
      <c r="AE87" s="422">
        <v>25.714285714285701</v>
      </c>
      <c r="AF87" s="422">
        <f>'SSS1 ATTENDANCE '!FJ93</f>
        <v>128</v>
      </c>
      <c r="AG87" s="422">
        <f>'SSS1 ATTENDANCE '!FH93</f>
        <v>100</v>
      </c>
      <c r="AH87" s="422">
        <f>'SSS1 ATTENDANCE '!FI93</f>
        <v>28</v>
      </c>
      <c r="AI87" s="436" t="s">
        <v>659</v>
      </c>
      <c r="AJ87" s="437">
        <v>40844</v>
      </c>
      <c r="AK87" s="435" t="s">
        <v>396</v>
      </c>
      <c r="AL87" s="424">
        <v>25</v>
      </c>
      <c r="AM87" s="422">
        <v>70.214285714285694</v>
      </c>
      <c r="AN87" s="438">
        <v>4</v>
      </c>
      <c r="AO87" s="422" t="str">
        <f t="shared" si="644"/>
        <v>5</v>
      </c>
      <c r="AP87" s="438">
        <v>5</v>
      </c>
      <c r="AQ87" s="422">
        <v>4</v>
      </c>
      <c r="AR87" s="438">
        <v>4</v>
      </c>
      <c r="AS87" s="438">
        <v>4</v>
      </c>
      <c r="AT87" s="438">
        <v>4</v>
      </c>
      <c r="AU87" s="438">
        <v>3</v>
      </c>
      <c r="AV87" s="438">
        <v>4</v>
      </c>
      <c r="AW87" s="438">
        <v>4</v>
      </c>
      <c r="AX87" s="438">
        <v>3</v>
      </c>
      <c r="AY87" s="438">
        <v>4</v>
      </c>
      <c r="AZ87" s="438">
        <v>3</v>
      </c>
      <c r="BA87" s="438">
        <v>3</v>
      </c>
      <c r="BB87" s="438">
        <v>3</v>
      </c>
      <c r="BC87" s="438">
        <v>4</v>
      </c>
      <c r="BD87" s="438">
        <v>4</v>
      </c>
      <c r="BE87" s="438">
        <v>4</v>
      </c>
      <c r="BF87" s="438">
        <v>3</v>
      </c>
      <c r="BG87" s="438">
        <v>3</v>
      </c>
      <c r="BH87" s="438">
        <v>3</v>
      </c>
      <c r="BI87" s="438">
        <v>5</v>
      </c>
      <c r="BJ87" s="438">
        <v>4</v>
      </c>
      <c r="BK87" s="438">
        <v>3</v>
      </c>
      <c r="BL87" s="438">
        <v>5</v>
      </c>
      <c r="BM87" s="438">
        <v>3</v>
      </c>
      <c r="BN87" s="422" t="s">
        <v>485</v>
      </c>
      <c r="BO87" s="438">
        <v>-8.2142857142857206</v>
      </c>
      <c r="BP87" s="438">
        <v>-309.92857142857099</v>
      </c>
      <c r="BQ87" s="422">
        <f t="shared" ref="BQ87:BQ92" si="733">SUM(BO87:BP87)</f>
        <v>-318.14285714285671</v>
      </c>
      <c r="BR87" s="438" t="str">
        <f t="shared" ref="BR87:BR92" si="734">IF(BQ87&gt;=80,"A1",
IF(BQ87&gt;=75,"A",
IF(BQ87&gt;=70,"B2",
IF(BQ87&gt;=65,"B3",
IF(BQ87&gt;=60,"C4",
IF(BQ87&gt;=55,"C5",
IF(BQ87&gt;=50,"C6",
IF(BQ87&gt;=45,"D7",
IF(BQ87&gt;=40,"E8",
IF(BQ87&gt;=1,"F9",""))))))))))</f>
        <v/>
      </c>
      <c r="BS87" s="422">
        <v>-8.2142857142857206</v>
      </c>
      <c r="BT87" s="438">
        <v>-224.78571428571399</v>
      </c>
      <c r="BU87" s="422">
        <f t="shared" ref="BU87:BU92" si="735">SUM(BS87:BT87)</f>
        <v>-232.99999999999972</v>
      </c>
      <c r="BV87" s="438" t="str">
        <f t="shared" ref="BV87:BV92" si="736">IF(BU87&gt;=80,"A1",
IF(BU87&gt;=75,"A",
IF(BU87&gt;=70,"B2",
IF(BU87&gt;=65,"B3",
IF(BU87&gt;=60,"C4",
IF(BU87&gt;=55,"C5",
IF(BU87&gt;=50,"C6",
IF(BU87&gt;=45,"D7",
IF(BU87&gt;=40,"E8",
IF(BU87&gt;=1,"F9",""))))))))))</f>
        <v/>
      </c>
      <c r="BW87" s="422">
        <v>-8.2142857142857206</v>
      </c>
      <c r="BX87" s="422">
        <v>-217.78571428571399</v>
      </c>
      <c r="BY87" s="422">
        <f t="shared" ref="BY87:BY92" si="737">SUM(BW87:BX87)</f>
        <v>-225.99999999999972</v>
      </c>
      <c r="BZ87" s="438" t="str">
        <f t="shared" ref="BZ87:BZ92" si="738">IF(BY87&gt;=80,"A1",
IF(BY87&gt;=75,"A",
IF(BY87&gt;=70,"B2",
IF(BY87&gt;=65,"B3",
IF(BY87&gt;=60,"C4",
IF(BY87&gt;=55,"C5",
IF(BY87&gt;=50,"C6",
IF(BY87&gt;=45,"D7",
IF(BY87&gt;=40,"E8",
IF(BY87&gt;=1,"F9",""))))))))))</f>
        <v/>
      </c>
      <c r="CA87" s="422">
        <v>-8.2142857142857206</v>
      </c>
      <c r="CB87" s="422">
        <v>-229.28571428571499</v>
      </c>
      <c r="CC87" s="422">
        <f t="shared" ref="CC87:CC92" si="739">SUM(CA87:CB87)</f>
        <v>-237.50000000000071</v>
      </c>
      <c r="CD87" s="438" t="str">
        <f t="shared" ref="CD87:CD92" si="740">IF(CC87&gt;=80,"A1",
IF(CC87&gt;=75,"A",
IF(CC87&gt;=70,"B2",
IF(CC87&gt;=65,"B3",
IF(CC87&gt;=60,"C4",
IF(CC87&gt;=55,"C5",
IF(CC87&gt;=50,"C6",
IF(CC87&gt;=45,"D7",
IF(CC87&gt;=40,"E8",
IF(CC87&gt;=1,"F9",""))))))))))</f>
        <v/>
      </c>
      <c r="CE87" s="422">
        <v>35</v>
      </c>
      <c r="CF87" s="422">
        <v>-219.71428571428601</v>
      </c>
      <c r="CG87" s="422">
        <f t="shared" ref="CG87:CG92" si="741">SUM(CE87:CF87)</f>
        <v>-184.71428571428601</v>
      </c>
      <c r="CH87" s="438" t="str">
        <f t="shared" ref="CH87:CH92" si="742">IF(CG87&gt;=80,"A1",
IF(CG87&gt;=75,"A",
IF(CG87&gt;=70,"B2",
IF(CG87&gt;=65,"B3",
IF(CG87&gt;=60,"C4",
IF(CG87&gt;=55,"C5",
IF(CG87&gt;=50,"C6",
IF(CG87&gt;=45,"D7",
IF(CG87&gt;=40,"E8",
IF(CG87&gt;=1,"F9",""))))))))))</f>
        <v/>
      </c>
      <c r="CI87" s="422">
        <v>-8.2142857142857206</v>
      </c>
      <c r="CJ87" s="422">
        <v>-109.357142857143</v>
      </c>
      <c r="CK87" s="422">
        <f t="shared" ref="CK87:CK92" si="743">SUM(CI87:CJ87)</f>
        <v>-117.57142857142873</v>
      </c>
      <c r="CL87" s="438" t="str">
        <f t="shared" ref="CL87:CL92" si="744">IF(CK87&gt;=80,"A1",
IF(CK87&gt;=75,"A",
IF(CK87&gt;=70,"B2",
IF(CK87&gt;=65,"B3",
IF(CK87&gt;=60,"C4",
IF(CK87&gt;=55,"C5",
IF(CK87&gt;=50,"C6",
IF(CK87&gt;=45,"D7",
IF(CK87&gt;=40,"E8",
IF(CK87&gt;=1,"F9",""))))))))))</f>
        <v/>
      </c>
      <c r="CM87" s="422">
        <v>-8.2142857142857206</v>
      </c>
      <c r="CN87" s="422"/>
      <c r="CO87" s="422"/>
      <c r="CP87" s="422">
        <f t="shared" ref="CP87:CP88" si="745">CM87</f>
        <v>-8.2142857142857206</v>
      </c>
      <c r="CQ87" s="422">
        <v>24.758620689655299</v>
      </c>
      <c r="CR87" s="422">
        <f t="shared" ref="CR87:CR92" si="746">SUM(CP87:CQ87)</f>
        <v>16.54433497536958</v>
      </c>
      <c r="CS87" s="438" t="str">
        <f t="shared" ref="CS87:CS92" si="747">IF(CR87&gt;=80,"A1",
IF(CR87&gt;=75,"A",
IF(CR87&gt;=70,"B2",
IF(CR87&gt;=65,"B3",
IF(CR87&gt;=60,"C4",
IF(CR87&gt;=55,"C5",
IF(CR87&gt;=50,"C6",
IF(CR87&gt;=45,"D7",
IF(CR87&gt;=40,"E8",
IF(CR87&gt;=1,"F9",""))))))))))</f>
        <v>F9</v>
      </c>
      <c r="CT87" s="422">
        <v>-37.368421052631597</v>
      </c>
      <c r="CU87" s="422">
        <v>-249.47368421052701</v>
      </c>
      <c r="CV87" s="422">
        <f t="shared" ref="CV87:CV92" si="748">SUM(CT87:CU87)</f>
        <v>-286.8421052631586</v>
      </c>
      <c r="CW87" s="438" t="str">
        <f t="shared" ref="CW87:CW92" si="749">IF(CV87&gt;=80,"A1",
IF(CV87&gt;=75,"A",
IF(CV87&gt;=70,"B2",
IF(CV87&gt;=65,"B3",
IF(CV87&gt;=60,"C4",
IF(CV87&gt;=55,"C5",
IF(CV87&gt;=50,"C6",
IF(CV87&gt;=45,"D7",
IF(CV87&gt;=40,"E8",
IF(CV87&gt;=1,"F9",""))))))))))</f>
        <v/>
      </c>
      <c r="CX87" s="422">
        <v>-53.3333333333333</v>
      </c>
      <c r="CY87" s="422">
        <v>-229.28571428571499</v>
      </c>
      <c r="CZ87" s="422">
        <f t="shared" ref="CZ87:CZ92" si="750">SUM(CX87:CY87)</f>
        <v>-282.61904761904827</v>
      </c>
      <c r="DA87" s="438" t="str">
        <f t="shared" ref="DA87:DA92" si="751">IF(CZ87&gt;=80,"A1",
IF(CZ87&gt;=75,"A",
IF(CZ87&gt;=70,"B2",
IF(CZ87&gt;=65,"B3",
IF(CZ87&gt;=60,"C4",
IF(CZ87&gt;=55,"C5",
IF(CZ87&gt;=50,"C6",
IF(CZ87&gt;=45,"D7",
IF(CZ87&gt;=40,"E8",
IF(CZ87&gt;=1,"F9",""))))))))))</f>
        <v/>
      </c>
      <c r="DB87" s="422">
        <v>-210</v>
      </c>
      <c r="DC87" s="422">
        <v>-181.07142857142901</v>
      </c>
      <c r="DD87" s="422">
        <f t="shared" ref="DD87:DD92" si="752">SUM(DB87:DC87)</f>
        <v>-391.07142857142901</v>
      </c>
      <c r="DE87" s="422" t="str">
        <f t="shared" ref="DE87:DE92" si="753">IF(DD87&gt;=80,"A1",
IF(DD87&gt;=75,"A",
IF(DD87&gt;=70,"B2",
IF(DD87&gt;=65,"B3",
IF(DD87&gt;=60,"C4",
IF(DD87&gt;=55,"C5",
IF(DD87&gt;=50,"C6",
IF(DD87&gt;=45,"D7",
IF(DD87&gt;=40,"E8",
IF(DD87&gt;=1,"F9",""))))))))))</f>
        <v/>
      </c>
      <c r="DF87" s="422">
        <f t="shared" ref="DF87:DF92" si="754">DB87</f>
        <v>-210</v>
      </c>
      <c r="DG87" s="422">
        <v>-229.28571428571499</v>
      </c>
      <c r="DH87" s="422">
        <f t="shared" ref="DH87:DH92" si="755">SUM(DF87:DG87)</f>
        <v>-439.28571428571502</v>
      </c>
      <c r="DI87" s="422" t="str">
        <f t="shared" ref="DI87:DI92" si="756">IF(DH87&gt;=80,"A1",
IF(DH87&gt;=75,"A",
IF(DH87&gt;=70,"B2",
IF(DH87&gt;=65,"B3",
IF(DH87&gt;=60,"C4",
IF(DH87&gt;=55,"C5",
IF(DH87&gt;=50,"C6",
IF(DH87&gt;=45,"D7",
IF(DH87&gt;=40,"E8",
IF(DH87&gt;=1,"F9",""))))))))))</f>
        <v/>
      </c>
      <c r="DJ87" s="422">
        <v>-85</v>
      </c>
      <c r="DK87" s="422">
        <v>32.642857142857103</v>
      </c>
      <c r="DL87" s="422">
        <f t="shared" ref="DL87:DL92" si="757">SUM(DJ87:DK87)</f>
        <v>-52.357142857142897</v>
      </c>
      <c r="DM87" s="422" t="str">
        <f t="shared" ref="DM87:DM92" si="758">IF(DL87&gt;=80,"A1",
IF(DL87&gt;=75,"A",
IF(DL87&gt;=70,"B2",
IF(DL87&gt;=65,"B3",
IF(DL87&gt;=60,"C4",
IF(DL87&gt;=55,"C5",
IF(DL87&gt;=50,"C6",
IF(DL87&gt;=45,"D7",
IF(DL87&gt;=40,"E8",
IF(DL87&gt;=1,"F9",""))))))))))</f>
        <v/>
      </c>
      <c r="DN87" s="422">
        <v>-85</v>
      </c>
      <c r="DO87" s="422">
        <v>-3.3571428571428901</v>
      </c>
      <c r="DP87" s="422">
        <f t="shared" ref="DP87:DP92" si="759">SUM(DN87:DO87)</f>
        <v>-88.35714285714289</v>
      </c>
      <c r="DQ87" s="438" t="str">
        <f t="shared" ref="DQ87:DQ92" si="760">IF(DP87&gt;=80,"A1",
IF(DP87&gt;=75,"A",
IF(DP87&gt;=70,"B2",
IF(DP87&gt;=65,"B3",
IF(DP87&gt;=60,"C4",
IF(DP87&gt;=55,"C5",
IF(DP87&gt;=50,"C6",
IF(DP87&gt;=45,"D7",
IF(DP87&gt;=40,"E8",
IF(DP87&gt;=1,"F9",""))))))))))</f>
        <v/>
      </c>
      <c r="DR87" s="422">
        <v>-335</v>
      </c>
      <c r="DS87" s="422">
        <v>-181.78571428571399</v>
      </c>
      <c r="DT87" s="422">
        <f t="shared" ref="DT87:DT92" si="761">SUM(DR87:DS87)</f>
        <v>-516.78571428571399</v>
      </c>
      <c r="DU87" s="438" t="str">
        <f t="shared" ref="DU87:DU92" si="762">IF(DT87&gt;=80,"A1",
IF(DT87&gt;=75,"A",
IF(DT87&gt;=70,"B2",
IF(DT87&gt;=65,"B3",
IF(DT87&gt;=60,"C4",
IF(DT87&gt;=55,"C5",
IF(DT87&gt;=50,"C6",
IF(DT87&gt;=45,"D7",
IF(DT87&gt;=40,"E8",
IF(DT87&gt;=1,"F9",""))))))))))</f>
        <v/>
      </c>
      <c r="DV87" s="422">
        <v>-85</v>
      </c>
      <c r="DW87" s="422">
        <v>41.285714285714199</v>
      </c>
      <c r="DX87" s="422">
        <f t="shared" ref="DX87:DX92" si="763">SUM(DV87:DW87)</f>
        <v>-43.714285714285801</v>
      </c>
      <c r="DY87" s="438" t="str">
        <f t="shared" ref="DY87:DY92" si="764">IF(DX87&gt;=80,"A1",
IF(DX87&gt;=75,"A",
IF(DX87&gt;=70,"B2",
IF(DX87&gt;=65,"B3",
IF(DX87&gt;=60,"C4",
IF(DX87&gt;=55,"C5",
IF(DX87&gt;=50,"C6",
IF(DX87&gt;=45,"D7",
IF(DX87&gt;=40,"E8",
IF(DX87&gt;=1,"F9",""))))))))))</f>
        <v/>
      </c>
      <c r="DZ87" s="422">
        <f t="shared" ref="DZ87:DZ92" si="765">DV87</f>
        <v>-85</v>
      </c>
      <c r="EA87" s="422">
        <v>-19.5</v>
      </c>
      <c r="EB87" s="422">
        <f t="shared" ref="EB87:EB92" si="766">SUM(DZ87:EA87)</f>
        <v>-104.5</v>
      </c>
      <c r="EC87" s="438" t="str">
        <f t="shared" ref="EC87:EC92" si="767">IF(EB87&gt;=80,"A1",
IF(EB87&gt;=75,"A",
IF(EB87&gt;=70,"B2",
IF(EB87&gt;=65,"B3",
IF(EB87&gt;=60,"C4",
IF(EB87&gt;=55,"C5",
IF(EB87&gt;=50,"C6",
IF(EB87&gt;=45,"D7",
IF(EB87&gt;=40,"E8",
IF(EB87&gt;=1,"F9",""))))))))))</f>
        <v/>
      </c>
      <c r="ED87" s="422">
        <f t="shared" si="643"/>
        <v>-3505.9168179068388</v>
      </c>
      <c r="EE87" s="422">
        <f t="shared" si="650"/>
        <v>-219.11980111917742</v>
      </c>
      <c r="EF87" s="438" t="str">
        <f t="shared" si="651"/>
        <v/>
      </c>
      <c r="EG87" s="422" t="str">
        <f t="shared" si="652"/>
        <v/>
      </c>
      <c r="EH87" s="439">
        <v>1</v>
      </c>
      <c r="EI87" s="422">
        <f t="shared" si="653"/>
        <v>-3505.9168179068388</v>
      </c>
      <c r="EJ87" s="440">
        <f t="shared" si="654"/>
        <v>-2.1911980111917742</v>
      </c>
      <c r="EK87" s="438" t="s">
        <v>573</v>
      </c>
      <c r="EL87" s="438" t="s">
        <v>762</v>
      </c>
    </row>
    <row r="88" spans="1:142" ht="30">
      <c r="A88" s="376"/>
      <c r="B88" s="376"/>
      <c r="C88" s="376"/>
      <c r="D88" s="376"/>
      <c r="E88" s="376"/>
      <c r="F88" s="376"/>
      <c r="G88" s="376"/>
      <c r="H88" s="376"/>
      <c r="I88" s="376"/>
      <c r="J88" s="376"/>
      <c r="K88" s="376"/>
      <c r="L88" s="376"/>
      <c r="M88" s="690"/>
      <c r="N88" s="690"/>
      <c r="O88" s="690"/>
      <c r="P88" s="690"/>
      <c r="Q88" s="690"/>
      <c r="R88" s="690"/>
      <c r="S88" s="690"/>
      <c r="T88" s="690"/>
      <c r="U88" s="690"/>
      <c r="V88" s="690"/>
      <c r="W88" s="690"/>
      <c r="X88" s="690"/>
      <c r="Y88" s="690"/>
      <c r="Z88" s="690"/>
      <c r="AA88" s="420">
        <f t="shared" si="583"/>
        <v>87</v>
      </c>
      <c r="AB88" s="435" t="s">
        <v>59</v>
      </c>
      <c r="AC88" s="422" t="s">
        <v>394</v>
      </c>
      <c r="AD88" s="422" t="s">
        <v>326</v>
      </c>
      <c r="AE88" s="422">
        <v>25.8571428571429</v>
      </c>
      <c r="AF88" s="422">
        <f>'SSS1 ATTENDANCE '!FJ94</f>
        <v>128</v>
      </c>
      <c r="AG88" s="422">
        <f>'SSS1 ATTENDANCE '!FH94</f>
        <v>96</v>
      </c>
      <c r="AH88" s="422">
        <f>'SSS1 ATTENDANCE '!FI94</f>
        <v>32</v>
      </c>
      <c r="AI88" s="436" t="s">
        <v>660</v>
      </c>
      <c r="AJ88" s="437">
        <v>40754</v>
      </c>
      <c r="AK88" s="435" t="s">
        <v>396</v>
      </c>
      <c r="AL88" s="424">
        <v>25</v>
      </c>
      <c r="AM88" s="422">
        <v>70.75</v>
      </c>
      <c r="AN88" s="438">
        <v>4</v>
      </c>
      <c r="AO88" s="422" t="str">
        <f t="shared" si="644"/>
        <v>4</v>
      </c>
      <c r="AP88" s="438">
        <v>5</v>
      </c>
      <c r="AQ88" s="422">
        <v>4</v>
      </c>
      <c r="AR88" s="438">
        <v>4</v>
      </c>
      <c r="AS88" s="438">
        <v>4</v>
      </c>
      <c r="AT88" s="438">
        <v>4</v>
      </c>
      <c r="AU88" s="438">
        <v>3</v>
      </c>
      <c r="AV88" s="438">
        <v>4</v>
      </c>
      <c r="AW88" s="438">
        <v>4</v>
      </c>
      <c r="AX88" s="438">
        <v>3</v>
      </c>
      <c r="AY88" s="438">
        <v>4</v>
      </c>
      <c r="AZ88" s="438">
        <v>3</v>
      </c>
      <c r="BA88" s="438">
        <v>3</v>
      </c>
      <c r="BB88" s="438">
        <v>3</v>
      </c>
      <c r="BC88" s="438">
        <v>4</v>
      </c>
      <c r="BD88" s="438">
        <v>4</v>
      </c>
      <c r="BE88" s="438">
        <v>4</v>
      </c>
      <c r="BF88" s="438">
        <v>3</v>
      </c>
      <c r="BG88" s="438">
        <v>3</v>
      </c>
      <c r="BH88" s="438">
        <v>3</v>
      </c>
      <c r="BI88" s="438">
        <v>5</v>
      </c>
      <c r="BJ88" s="438">
        <v>4</v>
      </c>
      <c r="BK88" s="438">
        <v>3</v>
      </c>
      <c r="BL88" s="438">
        <v>5</v>
      </c>
      <c r="BM88" s="438">
        <v>3</v>
      </c>
      <c r="BN88" s="422" t="s">
        <v>486</v>
      </c>
      <c r="BO88" s="438">
        <v>-8.7500000000000195</v>
      </c>
      <c r="BP88" s="438">
        <v>-314.107142857143</v>
      </c>
      <c r="BQ88" s="422">
        <f t="shared" si="733"/>
        <v>-322.857142857143</v>
      </c>
      <c r="BR88" s="438" t="str">
        <f t="shared" si="734"/>
        <v/>
      </c>
      <c r="BS88" s="422">
        <v>-8.7500000000000195</v>
      </c>
      <c r="BT88" s="438">
        <v>-228.03571428571399</v>
      </c>
      <c r="BU88" s="422">
        <f t="shared" si="735"/>
        <v>-236.78571428571402</v>
      </c>
      <c r="BV88" s="438" t="str">
        <f t="shared" si="736"/>
        <v/>
      </c>
      <c r="BW88" s="422">
        <v>-8.7500000000000195</v>
      </c>
      <c r="BX88" s="422">
        <v>-220.892857142857</v>
      </c>
      <c r="BY88" s="422">
        <f t="shared" si="737"/>
        <v>-229.64285714285703</v>
      </c>
      <c r="BZ88" s="438" t="str">
        <f t="shared" si="738"/>
        <v/>
      </c>
      <c r="CA88" s="422">
        <v>-8.7500000000000195</v>
      </c>
      <c r="CB88" s="422">
        <v>-232.50000000000099</v>
      </c>
      <c r="CC88" s="422">
        <f t="shared" si="739"/>
        <v>-241.25000000000102</v>
      </c>
      <c r="CD88" s="438" t="str">
        <f t="shared" si="740"/>
        <v/>
      </c>
      <c r="CE88" s="422">
        <v>35</v>
      </c>
      <c r="CF88" s="422">
        <v>-222.857142857143</v>
      </c>
      <c r="CG88" s="422">
        <f t="shared" si="741"/>
        <v>-187.857142857143</v>
      </c>
      <c r="CH88" s="438" t="str">
        <f t="shared" si="742"/>
        <v/>
      </c>
      <c r="CI88" s="422">
        <v>-8.7500000000000195</v>
      </c>
      <c r="CJ88" s="422">
        <v>-111.178571428571</v>
      </c>
      <c r="CK88" s="422">
        <f t="shared" si="743"/>
        <v>-119.92857142857102</v>
      </c>
      <c r="CL88" s="438" t="str">
        <f t="shared" si="744"/>
        <v/>
      </c>
      <c r="CM88" s="422">
        <v>-8.7500000000000195</v>
      </c>
      <c r="CN88" s="422"/>
      <c r="CO88" s="422"/>
      <c r="CP88" s="422">
        <f t="shared" si="745"/>
        <v>-8.7500000000000195</v>
      </c>
      <c r="CQ88" s="422">
        <v>24.474137931034601</v>
      </c>
      <c r="CR88" s="422">
        <f t="shared" si="746"/>
        <v>15.724137931034582</v>
      </c>
      <c r="CS88" s="438" t="str">
        <f t="shared" si="747"/>
        <v>F9</v>
      </c>
      <c r="CT88" s="422">
        <v>-38.421052631579002</v>
      </c>
      <c r="CU88" s="422">
        <v>-253.68421052631601</v>
      </c>
      <c r="CV88" s="422">
        <f t="shared" si="748"/>
        <v>-292.10526315789502</v>
      </c>
      <c r="CW88" s="438" t="str">
        <f t="shared" si="749"/>
        <v/>
      </c>
      <c r="CX88" s="422">
        <v>-55.8333333333333</v>
      </c>
      <c r="CY88" s="422">
        <v>-232.50000000000099</v>
      </c>
      <c r="CZ88" s="422">
        <f t="shared" si="750"/>
        <v>-288.33333333333428</v>
      </c>
      <c r="DA88" s="438" t="str">
        <f t="shared" si="751"/>
        <v/>
      </c>
      <c r="DB88" s="422">
        <f t="shared" ref="DB88:DB92" si="768">CX88</f>
        <v>-55.8333333333333</v>
      </c>
      <c r="DC88" s="422">
        <v>-183.75</v>
      </c>
      <c r="DD88" s="422">
        <f t="shared" si="752"/>
        <v>-239.58333333333331</v>
      </c>
      <c r="DE88" s="422" t="str">
        <f t="shared" si="753"/>
        <v/>
      </c>
      <c r="DF88" s="422">
        <f t="shared" si="754"/>
        <v>-55.8333333333333</v>
      </c>
      <c r="DG88" s="422">
        <v>-232.50000000000099</v>
      </c>
      <c r="DH88" s="422">
        <f t="shared" si="755"/>
        <v>-288.33333333333428</v>
      </c>
      <c r="DI88" s="422" t="str">
        <f t="shared" si="756"/>
        <v/>
      </c>
      <c r="DJ88" s="422">
        <f t="shared" ref="DJ88:DJ92" si="769">DF88</f>
        <v>-55.8333333333333</v>
      </c>
      <c r="DK88" s="422">
        <v>32.464285714285701</v>
      </c>
      <c r="DL88" s="422">
        <f t="shared" si="757"/>
        <v>-23.369047619047599</v>
      </c>
      <c r="DM88" s="422" t="str">
        <f t="shared" si="758"/>
        <v/>
      </c>
      <c r="DN88" s="422">
        <f t="shared" ref="DN88:DN92" si="770">DJ88</f>
        <v>-55.8333333333333</v>
      </c>
      <c r="DO88" s="422">
        <v>-3.96428571428569</v>
      </c>
      <c r="DP88" s="422">
        <f t="shared" si="759"/>
        <v>-59.797619047618987</v>
      </c>
      <c r="DQ88" s="438" t="str">
        <f t="shared" si="760"/>
        <v/>
      </c>
      <c r="DR88" s="422">
        <f t="shared" ref="DR88:DR92" si="771">DN88</f>
        <v>-55.8333333333333</v>
      </c>
      <c r="DS88" s="422">
        <v>-184.392857142857</v>
      </c>
      <c r="DT88" s="422">
        <f t="shared" si="761"/>
        <v>-240.22619047619031</v>
      </c>
      <c r="DU88" s="438" t="str">
        <f t="shared" si="762"/>
        <v/>
      </c>
      <c r="DV88" s="422">
        <f t="shared" ref="DV88:DV92" si="772">DR88</f>
        <v>-55.8333333333333</v>
      </c>
      <c r="DW88" s="422">
        <v>41.214285714285701</v>
      </c>
      <c r="DX88" s="422">
        <f t="shared" si="763"/>
        <v>-14.619047619047599</v>
      </c>
      <c r="DY88" s="438" t="str">
        <f t="shared" si="764"/>
        <v/>
      </c>
      <c r="DZ88" s="422">
        <f t="shared" si="765"/>
        <v>-55.8333333333333</v>
      </c>
      <c r="EA88" s="422">
        <v>-20.25</v>
      </c>
      <c r="EB88" s="422">
        <f t="shared" si="766"/>
        <v>-76.0833333333333</v>
      </c>
      <c r="EC88" s="438" t="str">
        <f t="shared" si="767"/>
        <v/>
      </c>
      <c r="ED88" s="422">
        <f t="shared" si="643"/>
        <v>-2845.0477918935298</v>
      </c>
      <c r="EE88" s="422">
        <f t="shared" si="650"/>
        <v>-177.81548699334562</v>
      </c>
      <c r="EF88" s="438" t="str">
        <f t="shared" si="651"/>
        <v/>
      </c>
      <c r="EG88" s="422" t="str">
        <f t="shared" si="652"/>
        <v/>
      </c>
      <c r="EH88" s="439">
        <v>1</v>
      </c>
      <c r="EI88" s="422">
        <f t="shared" si="653"/>
        <v>-2845.0477918935298</v>
      </c>
      <c r="EJ88" s="440">
        <f t="shared" si="654"/>
        <v>-1.7781548699334562</v>
      </c>
      <c r="EK88" s="438" t="s">
        <v>573</v>
      </c>
      <c r="EL88" s="438" t="s">
        <v>762</v>
      </c>
    </row>
    <row r="89" spans="1:142" ht="30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690"/>
      <c r="Z89" s="840"/>
      <c r="AA89" s="420">
        <f t="shared" si="583"/>
        <v>88</v>
      </c>
      <c r="AB89" s="435" t="s">
        <v>60</v>
      </c>
      <c r="AC89" s="422" t="s">
        <v>394</v>
      </c>
      <c r="AD89" s="422" t="s">
        <v>326</v>
      </c>
      <c r="AE89" s="422">
        <v>26</v>
      </c>
      <c r="AF89" s="422">
        <f>'SSS1 ATTENDANCE '!FJ95</f>
        <v>128</v>
      </c>
      <c r="AG89" s="422">
        <f>'SSS1 ATTENDANCE '!FH95</f>
        <v>90</v>
      </c>
      <c r="AH89" s="422">
        <f>'SSS1 ATTENDANCE '!FI95</f>
        <v>38</v>
      </c>
      <c r="AI89" s="436" t="s">
        <v>661</v>
      </c>
      <c r="AJ89" s="437">
        <v>40900</v>
      </c>
      <c r="AK89" s="435" t="s">
        <v>396</v>
      </c>
      <c r="AL89" s="424">
        <v>25</v>
      </c>
      <c r="AM89" s="422">
        <v>71.285714285714306</v>
      </c>
      <c r="AN89" s="438">
        <v>4</v>
      </c>
      <c r="AO89" s="422" t="str">
        <f t="shared" si="644"/>
        <v>4</v>
      </c>
      <c r="AP89" s="438">
        <v>5</v>
      </c>
      <c r="AQ89" s="422">
        <v>4</v>
      </c>
      <c r="AR89" s="438">
        <v>4</v>
      </c>
      <c r="AS89" s="438">
        <v>4</v>
      </c>
      <c r="AT89" s="438">
        <v>4</v>
      </c>
      <c r="AU89" s="438">
        <v>3</v>
      </c>
      <c r="AV89" s="438">
        <v>4</v>
      </c>
      <c r="AW89" s="438">
        <v>4</v>
      </c>
      <c r="AX89" s="438">
        <v>3</v>
      </c>
      <c r="AY89" s="438">
        <v>4</v>
      </c>
      <c r="AZ89" s="438">
        <v>3</v>
      </c>
      <c r="BA89" s="438">
        <v>3</v>
      </c>
      <c r="BB89" s="438">
        <v>3</v>
      </c>
      <c r="BC89" s="438">
        <v>4</v>
      </c>
      <c r="BD89" s="438">
        <v>4</v>
      </c>
      <c r="BE89" s="438">
        <v>4</v>
      </c>
      <c r="BF89" s="438">
        <v>3</v>
      </c>
      <c r="BG89" s="438">
        <v>3</v>
      </c>
      <c r="BH89" s="438">
        <v>3</v>
      </c>
      <c r="BI89" s="438">
        <v>5</v>
      </c>
      <c r="BJ89" s="438">
        <v>4</v>
      </c>
      <c r="BK89" s="438">
        <v>3</v>
      </c>
      <c r="BL89" s="438">
        <v>5</v>
      </c>
      <c r="BM89" s="438">
        <v>3</v>
      </c>
      <c r="BN89" s="422" t="s">
        <v>487</v>
      </c>
      <c r="BO89" s="438">
        <v>-9.2857142857143202</v>
      </c>
      <c r="BP89" s="438">
        <v>-318.28571428571399</v>
      </c>
      <c r="BQ89" s="422">
        <f t="shared" si="733"/>
        <v>-327.57142857142833</v>
      </c>
      <c r="BR89" s="438" t="str">
        <f t="shared" si="734"/>
        <v/>
      </c>
      <c r="BS89" s="422">
        <v>-9.2857142857143202</v>
      </c>
      <c r="BT89" s="438">
        <v>-231.28571428571399</v>
      </c>
      <c r="BU89" s="422">
        <f t="shared" si="735"/>
        <v>-240.57142857142833</v>
      </c>
      <c r="BV89" s="438" t="str">
        <f t="shared" si="736"/>
        <v/>
      </c>
      <c r="BW89" s="422">
        <v>-9.2857142857143202</v>
      </c>
      <c r="BX89" s="422">
        <v>-223.99999999999901</v>
      </c>
      <c r="BY89" s="422">
        <f t="shared" si="737"/>
        <v>-233.28571428571331</v>
      </c>
      <c r="BZ89" s="438" t="str">
        <f t="shared" si="738"/>
        <v/>
      </c>
      <c r="CA89" s="422">
        <v>-9.2857142857143202</v>
      </c>
      <c r="CB89" s="422">
        <v>-235.71428571428601</v>
      </c>
      <c r="CC89" s="422">
        <f t="shared" si="739"/>
        <v>-245.00000000000034</v>
      </c>
      <c r="CD89" s="438" t="str">
        <f t="shared" si="740"/>
        <v/>
      </c>
      <c r="CE89" s="422">
        <v>35</v>
      </c>
      <c r="CF89" s="422">
        <v>-226</v>
      </c>
      <c r="CG89" s="422">
        <f t="shared" si="741"/>
        <v>-191</v>
      </c>
      <c r="CH89" s="438" t="str">
        <f t="shared" si="742"/>
        <v/>
      </c>
      <c r="CI89" s="422">
        <v>-9.2857142857143202</v>
      </c>
      <c r="CJ89" s="422">
        <v>-113</v>
      </c>
      <c r="CK89" s="422">
        <f t="shared" si="743"/>
        <v>-122.28571428571432</v>
      </c>
      <c r="CL89" s="438" t="str">
        <f t="shared" si="744"/>
        <v/>
      </c>
      <c r="CM89" s="422">
        <v>-9.2857142857143202</v>
      </c>
      <c r="CN89" s="422"/>
      <c r="CO89" s="422"/>
      <c r="CP89" s="422"/>
      <c r="CQ89" s="422">
        <v>24.1896551724139</v>
      </c>
      <c r="CR89" s="422">
        <f t="shared" si="746"/>
        <v>24.1896551724139</v>
      </c>
      <c r="CS89" s="438" t="str">
        <f t="shared" si="747"/>
        <v>F9</v>
      </c>
      <c r="CT89" s="422">
        <v>-39.4736842105264</v>
      </c>
      <c r="CU89" s="422">
        <v>-257.894736842106</v>
      </c>
      <c r="CV89" s="422">
        <f t="shared" si="748"/>
        <v>-297.36842105263241</v>
      </c>
      <c r="CW89" s="438" t="str">
        <f t="shared" si="749"/>
        <v/>
      </c>
      <c r="CX89" s="422">
        <f t="shared" ref="CX89" si="773">CT89</f>
        <v>-39.4736842105264</v>
      </c>
      <c r="CY89" s="422">
        <v>-235.71428571428601</v>
      </c>
      <c r="CZ89" s="422">
        <f t="shared" si="750"/>
        <v>-275.18796992481242</v>
      </c>
      <c r="DA89" s="438" t="str">
        <f t="shared" si="751"/>
        <v/>
      </c>
      <c r="DB89" s="422">
        <f t="shared" si="768"/>
        <v>-39.4736842105264</v>
      </c>
      <c r="DC89" s="422">
        <v>-186.42857142857099</v>
      </c>
      <c r="DD89" s="422">
        <f t="shared" si="752"/>
        <v>-225.9022556390974</v>
      </c>
      <c r="DE89" s="422" t="str">
        <f t="shared" si="753"/>
        <v/>
      </c>
      <c r="DF89" s="422">
        <f t="shared" si="754"/>
        <v>-39.4736842105264</v>
      </c>
      <c r="DG89" s="422">
        <v>-235.71428571428601</v>
      </c>
      <c r="DH89" s="422">
        <f t="shared" si="755"/>
        <v>-275.18796992481242</v>
      </c>
      <c r="DI89" s="422" t="str">
        <f t="shared" si="756"/>
        <v/>
      </c>
      <c r="DJ89" s="422">
        <f t="shared" si="769"/>
        <v>-39.4736842105264</v>
      </c>
      <c r="DK89" s="422">
        <v>32.285714285714299</v>
      </c>
      <c r="DL89" s="422">
        <f t="shared" si="757"/>
        <v>-7.1879699248121014</v>
      </c>
      <c r="DM89" s="422" t="str">
        <f t="shared" si="758"/>
        <v/>
      </c>
      <c r="DN89" s="422">
        <f t="shared" si="770"/>
        <v>-39.4736842105264</v>
      </c>
      <c r="DO89" s="422">
        <v>-4.5714285714285898</v>
      </c>
      <c r="DP89" s="422">
        <f t="shared" si="759"/>
        <v>-44.045112781954991</v>
      </c>
      <c r="DQ89" s="438" t="str">
        <f t="shared" si="760"/>
        <v/>
      </c>
      <c r="DR89" s="422">
        <f t="shared" si="771"/>
        <v>-39.4736842105264</v>
      </c>
      <c r="DS89" s="422">
        <v>-187</v>
      </c>
      <c r="DT89" s="422">
        <f t="shared" si="761"/>
        <v>-226.47368421052641</v>
      </c>
      <c r="DU89" s="438" t="str">
        <f t="shared" si="762"/>
        <v/>
      </c>
      <c r="DV89" s="422">
        <f t="shared" si="772"/>
        <v>-39.4736842105264</v>
      </c>
      <c r="DW89" s="422">
        <v>41.142857142857103</v>
      </c>
      <c r="DX89" s="422">
        <f t="shared" si="763"/>
        <v>1.669172932330703</v>
      </c>
      <c r="DY89" s="438" t="str">
        <f t="shared" si="764"/>
        <v>F9</v>
      </c>
      <c r="DZ89" s="422">
        <f t="shared" si="765"/>
        <v>-39.4736842105264</v>
      </c>
      <c r="EA89" s="422">
        <v>-21</v>
      </c>
      <c r="EB89" s="422">
        <f t="shared" si="766"/>
        <v>-60.4736842105264</v>
      </c>
      <c r="EC89" s="438" t="str">
        <f t="shared" si="767"/>
        <v/>
      </c>
      <c r="ED89" s="422">
        <f t="shared" si="643"/>
        <v>-2745.6825252787144</v>
      </c>
      <c r="EE89" s="422">
        <f t="shared" si="650"/>
        <v>-171.60515782991965</v>
      </c>
      <c r="EF89" s="438" t="str">
        <f t="shared" si="651"/>
        <v/>
      </c>
      <c r="EG89" s="422" t="str">
        <f t="shared" si="652"/>
        <v/>
      </c>
      <c r="EH89" s="439">
        <v>1</v>
      </c>
      <c r="EI89" s="422">
        <f t="shared" si="653"/>
        <v>-2745.6825252787144</v>
      </c>
      <c r="EJ89" s="440">
        <f t="shared" si="654"/>
        <v>-1.7160515782991965</v>
      </c>
      <c r="EK89" s="438" t="s">
        <v>573</v>
      </c>
      <c r="EL89" s="438" t="s">
        <v>762</v>
      </c>
    </row>
    <row r="90" spans="1:142" ht="30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76"/>
      <c r="Y90" s="690"/>
      <c r="Z90" s="840"/>
      <c r="AA90" s="420">
        <f t="shared" si="583"/>
        <v>89</v>
      </c>
      <c r="AB90" s="435" t="s">
        <v>61</v>
      </c>
      <c r="AC90" s="422" t="s">
        <v>394</v>
      </c>
      <c r="AD90" s="422" t="s">
        <v>326</v>
      </c>
      <c r="AE90" s="422">
        <v>26.142857142857199</v>
      </c>
      <c r="AF90" s="422">
        <f>'SSS1 ATTENDANCE '!FJ96</f>
        <v>128</v>
      </c>
      <c r="AG90" s="422">
        <f>'SSS1 ATTENDANCE '!FH96</f>
        <v>90</v>
      </c>
      <c r="AH90" s="422">
        <f>'SSS1 ATTENDANCE '!FI96</f>
        <v>38</v>
      </c>
      <c r="AI90" s="436" t="s">
        <v>662</v>
      </c>
      <c r="AJ90" s="437">
        <v>40368</v>
      </c>
      <c r="AK90" s="435" t="s">
        <v>396</v>
      </c>
      <c r="AL90" s="424">
        <v>25</v>
      </c>
      <c r="AM90" s="422">
        <v>71.821428571428498</v>
      </c>
      <c r="AN90" s="438">
        <v>4</v>
      </c>
      <c r="AO90" s="422" t="str">
        <f t="shared" si="644"/>
        <v>4</v>
      </c>
      <c r="AP90" s="438">
        <v>5</v>
      </c>
      <c r="AQ90" s="422">
        <v>4</v>
      </c>
      <c r="AR90" s="438">
        <v>4</v>
      </c>
      <c r="AS90" s="438">
        <v>4</v>
      </c>
      <c r="AT90" s="438">
        <v>4</v>
      </c>
      <c r="AU90" s="438">
        <v>3</v>
      </c>
      <c r="AV90" s="438">
        <v>4</v>
      </c>
      <c r="AW90" s="438">
        <v>4</v>
      </c>
      <c r="AX90" s="438">
        <v>3</v>
      </c>
      <c r="AY90" s="438">
        <v>4</v>
      </c>
      <c r="AZ90" s="438">
        <v>3</v>
      </c>
      <c r="BA90" s="438">
        <v>3</v>
      </c>
      <c r="BB90" s="438">
        <v>3</v>
      </c>
      <c r="BC90" s="438">
        <v>4</v>
      </c>
      <c r="BD90" s="438">
        <v>4</v>
      </c>
      <c r="BE90" s="438">
        <v>4</v>
      </c>
      <c r="BF90" s="438">
        <v>3</v>
      </c>
      <c r="BG90" s="438">
        <v>3</v>
      </c>
      <c r="BH90" s="438">
        <v>3</v>
      </c>
      <c r="BI90" s="438">
        <v>5</v>
      </c>
      <c r="BJ90" s="438">
        <v>4</v>
      </c>
      <c r="BK90" s="438">
        <v>3</v>
      </c>
      <c r="BL90" s="438">
        <v>5</v>
      </c>
      <c r="BM90" s="438">
        <v>3</v>
      </c>
      <c r="BN90" s="422" t="s">
        <v>488</v>
      </c>
      <c r="BO90" s="438">
        <v>-9.8214285714285303</v>
      </c>
      <c r="BP90" s="438">
        <v>-322.46428571428601</v>
      </c>
      <c r="BQ90" s="422">
        <f t="shared" si="733"/>
        <v>-332.28571428571456</v>
      </c>
      <c r="BR90" s="438" t="str">
        <f t="shared" si="734"/>
        <v/>
      </c>
      <c r="BS90" s="422">
        <v>-9.8214285714285303</v>
      </c>
      <c r="BT90" s="438">
        <v>-234.53571428571399</v>
      </c>
      <c r="BU90" s="422">
        <f t="shared" si="735"/>
        <v>-244.35714285714252</v>
      </c>
      <c r="BV90" s="438" t="str">
        <f t="shared" si="736"/>
        <v/>
      </c>
      <c r="BW90" s="422">
        <v>-9.8214285714285303</v>
      </c>
      <c r="BX90" s="422">
        <v>-227.10714285714201</v>
      </c>
      <c r="BY90" s="422">
        <f t="shared" si="737"/>
        <v>-236.92857142857054</v>
      </c>
      <c r="BZ90" s="438" t="str">
        <f t="shared" si="738"/>
        <v/>
      </c>
      <c r="CA90" s="422">
        <v>-9.8214285714285303</v>
      </c>
      <c r="CB90" s="422">
        <v>-238.92857142857201</v>
      </c>
      <c r="CC90" s="422">
        <f t="shared" si="739"/>
        <v>-248.75000000000054</v>
      </c>
      <c r="CD90" s="438" t="str">
        <f t="shared" si="740"/>
        <v/>
      </c>
      <c r="CE90" s="422">
        <v>35</v>
      </c>
      <c r="CF90" s="422">
        <v>-229.14285714285799</v>
      </c>
      <c r="CG90" s="422">
        <f t="shared" si="741"/>
        <v>-194.14285714285799</v>
      </c>
      <c r="CH90" s="438" t="str">
        <f t="shared" si="742"/>
        <v/>
      </c>
      <c r="CI90" s="422">
        <v>-9.8214285714285303</v>
      </c>
      <c r="CJ90" s="422">
        <v>-114.821428571428</v>
      </c>
      <c r="CK90" s="422">
        <f t="shared" si="743"/>
        <v>-124.64285714285653</v>
      </c>
      <c r="CL90" s="438" t="str">
        <f t="shared" si="744"/>
        <v/>
      </c>
      <c r="CM90" s="422">
        <v>-9.8214285714285303</v>
      </c>
      <c r="CN90" s="422"/>
      <c r="CO90" s="422"/>
      <c r="CP90" s="422">
        <f t="shared" ref="CP90" si="774">CM90</f>
        <v>-9.8214285714285303</v>
      </c>
      <c r="CQ90" s="422">
        <v>23.905172413793199</v>
      </c>
      <c r="CR90" s="422">
        <f t="shared" si="746"/>
        <v>14.083743842364669</v>
      </c>
      <c r="CS90" s="438" t="str">
        <f t="shared" si="747"/>
        <v>F9</v>
      </c>
      <c r="CT90" s="422">
        <v>-40.526315789473699</v>
      </c>
      <c r="CU90" s="422">
        <v>-262.10526315789502</v>
      </c>
      <c r="CV90" s="422">
        <f t="shared" si="748"/>
        <v>-302.63157894736872</v>
      </c>
      <c r="CW90" s="438" t="str">
        <f t="shared" si="749"/>
        <v/>
      </c>
      <c r="CX90" s="422">
        <v>35</v>
      </c>
      <c r="CY90" s="422">
        <v>-238.92857142857201</v>
      </c>
      <c r="CZ90" s="422">
        <f t="shared" si="750"/>
        <v>-203.92857142857201</v>
      </c>
      <c r="DA90" s="438" t="str">
        <f t="shared" si="751"/>
        <v/>
      </c>
      <c r="DB90" s="422">
        <f t="shared" si="768"/>
        <v>35</v>
      </c>
      <c r="DC90" s="422">
        <v>-189.107142857143</v>
      </c>
      <c r="DD90" s="422">
        <f t="shared" si="752"/>
        <v>-154.107142857143</v>
      </c>
      <c r="DE90" s="422" t="str">
        <f t="shared" si="753"/>
        <v/>
      </c>
      <c r="DF90" s="422">
        <f t="shared" si="754"/>
        <v>35</v>
      </c>
      <c r="DG90" s="422">
        <v>-238.92857142857201</v>
      </c>
      <c r="DH90" s="422">
        <f t="shared" si="755"/>
        <v>-203.92857142857201</v>
      </c>
      <c r="DI90" s="422" t="str">
        <f t="shared" si="756"/>
        <v/>
      </c>
      <c r="DJ90" s="422">
        <f t="shared" si="769"/>
        <v>35</v>
      </c>
      <c r="DK90" s="422">
        <v>32.107142857142797</v>
      </c>
      <c r="DL90" s="422">
        <f t="shared" si="757"/>
        <v>67.107142857142804</v>
      </c>
      <c r="DM90" s="422" t="str">
        <f t="shared" si="758"/>
        <v>B3</v>
      </c>
      <c r="DN90" s="422">
        <f t="shared" si="770"/>
        <v>35</v>
      </c>
      <c r="DO90" s="422">
        <v>-5.1785714285714004</v>
      </c>
      <c r="DP90" s="422">
        <f t="shared" si="759"/>
        <v>29.821428571428598</v>
      </c>
      <c r="DQ90" s="438" t="str">
        <f t="shared" si="760"/>
        <v>F9</v>
      </c>
      <c r="DR90" s="422">
        <f t="shared" si="771"/>
        <v>35</v>
      </c>
      <c r="DS90" s="422">
        <v>-189.60714285714201</v>
      </c>
      <c r="DT90" s="422">
        <f t="shared" si="761"/>
        <v>-154.60714285714201</v>
      </c>
      <c r="DU90" s="438" t="str">
        <f t="shared" si="762"/>
        <v/>
      </c>
      <c r="DV90" s="422">
        <f t="shared" si="772"/>
        <v>35</v>
      </c>
      <c r="DW90" s="422">
        <v>41.071428571428498</v>
      </c>
      <c r="DX90" s="422">
        <f t="shared" si="763"/>
        <v>76.071428571428498</v>
      </c>
      <c r="DY90" s="438" t="str">
        <f t="shared" si="764"/>
        <v>A</v>
      </c>
      <c r="DZ90" s="422">
        <f t="shared" si="765"/>
        <v>35</v>
      </c>
      <c r="EA90" s="422">
        <v>-21.75</v>
      </c>
      <c r="EB90" s="422">
        <f t="shared" si="766"/>
        <v>13.25</v>
      </c>
      <c r="EC90" s="438" t="str">
        <f t="shared" si="767"/>
        <v>F9</v>
      </c>
      <c r="ED90" s="422">
        <f t="shared" si="643"/>
        <v>-2199.9764065335767</v>
      </c>
      <c r="EE90" s="422">
        <f t="shared" si="650"/>
        <v>-137.49852540834854</v>
      </c>
      <c r="EF90" s="438" t="str">
        <f t="shared" si="651"/>
        <v/>
      </c>
      <c r="EG90" s="422" t="str">
        <f t="shared" si="652"/>
        <v/>
      </c>
      <c r="EH90" s="439">
        <v>1</v>
      </c>
      <c r="EI90" s="422">
        <f t="shared" si="653"/>
        <v>-2199.9764065335767</v>
      </c>
      <c r="EJ90" s="440">
        <f t="shared" si="654"/>
        <v>-1.3749852540834855</v>
      </c>
      <c r="EK90" s="438" t="s">
        <v>746</v>
      </c>
      <c r="EL90" s="438" t="s">
        <v>762</v>
      </c>
    </row>
    <row r="91" spans="1:142" ht="30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690"/>
      <c r="Z91" s="840"/>
      <c r="AA91" s="420">
        <f t="shared" si="583"/>
        <v>90</v>
      </c>
      <c r="AB91" s="435" t="s">
        <v>62</v>
      </c>
      <c r="AC91" s="422" t="s">
        <v>394</v>
      </c>
      <c r="AD91" s="422" t="s">
        <v>326</v>
      </c>
      <c r="AE91" s="422">
        <v>26.285714285714299</v>
      </c>
      <c r="AF91" s="422">
        <f>'SSS1 ATTENDANCE '!FJ97</f>
        <v>128</v>
      </c>
      <c r="AG91" s="422">
        <f>'SSS1 ATTENDANCE '!FH97</f>
        <v>58</v>
      </c>
      <c r="AH91" s="422">
        <f>'SSS1 ATTENDANCE '!FI97</f>
        <v>70</v>
      </c>
      <c r="AI91" s="436" t="s">
        <v>663</v>
      </c>
      <c r="AJ91" s="437">
        <v>40852</v>
      </c>
      <c r="AK91" s="435" t="s">
        <v>396</v>
      </c>
      <c r="AL91" s="424">
        <v>25</v>
      </c>
      <c r="AM91" s="422">
        <v>72.357142857142804</v>
      </c>
      <c r="AN91" s="438">
        <v>4</v>
      </c>
      <c r="AO91" s="422" t="str">
        <f t="shared" si="644"/>
        <v>3</v>
      </c>
      <c r="AP91" s="438">
        <v>5</v>
      </c>
      <c r="AQ91" s="422">
        <v>4</v>
      </c>
      <c r="AR91" s="438">
        <v>4</v>
      </c>
      <c r="AS91" s="438">
        <v>4</v>
      </c>
      <c r="AT91" s="438">
        <v>4</v>
      </c>
      <c r="AU91" s="438">
        <v>3</v>
      </c>
      <c r="AV91" s="438">
        <v>4</v>
      </c>
      <c r="AW91" s="438">
        <v>4</v>
      </c>
      <c r="AX91" s="438">
        <v>3</v>
      </c>
      <c r="AY91" s="438">
        <v>4</v>
      </c>
      <c r="AZ91" s="438">
        <v>3</v>
      </c>
      <c r="BA91" s="438">
        <v>3</v>
      </c>
      <c r="BB91" s="438">
        <v>3</v>
      </c>
      <c r="BC91" s="438">
        <v>4</v>
      </c>
      <c r="BD91" s="438">
        <v>4</v>
      </c>
      <c r="BE91" s="438">
        <v>4</v>
      </c>
      <c r="BF91" s="438">
        <v>3</v>
      </c>
      <c r="BG91" s="438">
        <v>3</v>
      </c>
      <c r="BH91" s="438">
        <v>3</v>
      </c>
      <c r="BI91" s="438">
        <v>5</v>
      </c>
      <c r="BJ91" s="438">
        <v>4</v>
      </c>
      <c r="BK91" s="438">
        <v>3</v>
      </c>
      <c r="BL91" s="438">
        <v>5</v>
      </c>
      <c r="BM91" s="438">
        <v>3</v>
      </c>
      <c r="BN91" s="422" t="s">
        <v>489</v>
      </c>
      <c r="BO91" s="438">
        <v>-10.357142857142801</v>
      </c>
      <c r="BP91" s="438">
        <v>-326.642857142857</v>
      </c>
      <c r="BQ91" s="422">
        <f t="shared" si="733"/>
        <v>-336.99999999999977</v>
      </c>
      <c r="BR91" s="438" t="str">
        <f t="shared" si="734"/>
        <v/>
      </c>
      <c r="BS91" s="422">
        <v>-10.357142857142801</v>
      </c>
      <c r="BT91" s="438">
        <v>-237.78571428571399</v>
      </c>
      <c r="BU91" s="422">
        <f t="shared" si="735"/>
        <v>-248.1428571428568</v>
      </c>
      <c r="BV91" s="438" t="str">
        <f t="shared" si="736"/>
        <v/>
      </c>
      <c r="BW91" s="422">
        <v>-10.357142857142801</v>
      </c>
      <c r="BX91" s="422">
        <v>-230.21428571428501</v>
      </c>
      <c r="BY91" s="422">
        <f t="shared" si="737"/>
        <v>-240.57142857142782</v>
      </c>
      <c r="BZ91" s="438" t="str">
        <f t="shared" si="738"/>
        <v/>
      </c>
      <c r="CA91" s="422">
        <v>-10.357142857142801</v>
      </c>
      <c r="CB91" s="422">
        <v>-242.14285714285799</v>
      </c>
      <c r="CC91" s="422">
        <f t="shared" si="739"/>
        <v>-252.5000000000008</v>
      </c>
      <c r="CD91" s="438" t="str">
        <f t="shared" si="740"/>
        <v/>
      </c>
      <c r="CE91" s="422">
        <v>35</v>
      </c>
      <c r="CF91" s="422">
        <v>-232.28571428571499</v>
      </c>
      <c r="CG91" s="422">
        <f t="shared" si="741"/>
        <v>-197.28571428571499</v>
      </c>
      <c r="CH91" s="438" t="str">
        <f t="shared" si="742"/>
        <v/>
      </c>
      <c r="CI91" s="422">
        <v>-10.357142857142801</v>
      </c>
      <c r="CJ91" s="422">
        <v>-116.642857142857</v>
      </c>
      <c r="CK91" s="422">
        <f t="shared" si="743"/>
        <v>-126.9999999999998</v>
      </c>
      <c r="CL91" s="438" t="str">
        <f t="shared" si="744"/>
        <v/>
      </c>
      <c r="CM91" s="422">
        <v>-10.357142857142801</v>
      </c>
      <c r="CN91" s="422"/>
      <c r="CO91" s="422"/>
      <c r="CP91" s="422"/>
      <c r="CQ91" s="422">
        <v>23.620689655172502</v>
      </c>
      <c r="CR91" s="422">
        <f t="shared" si="746"/>
        <v>23.620689655172502</v>
      </c>
      <c r="CS91" s="438" t="str">
        <f t="shared" si="747"/>
        <v>F9</v>
      </c>
      <c r="CT91" s="422">
        <v>-41.578947368421098</v>
      </c>
      <c r="CU91" s="422">
        <v>-266.31578947368502</v>
      </c>
      <c r="CV91" s="422">
        <f t="shared" si="748"/>
        <v>-307.89473684210611</v>
      </c>
      <c r="CW91" s="438" t="str">
        <f t="shared" si="749"/>
        <v/>
      </c>
      <c r="CX91" s="422">
        <f t="shared" ref="CX91" si="775">CT91</f>
        <v>-41.578947368421098</v>
      </c>
      <c r="CY91" s="422">
        <v>-242.14285714285799</v>
      </c>
      <c r="CZ91" s="422">
        <f t="shared" si="750"/>
        <v>-283.72180451127906</v>
      </c>
      <c r="DA91" s="438" t="str">
        <f t="shared" si="751"/>
        <v/>
      </c>
      <c r="DB91" s="422">
        <f t="shared" si="768"/>
        <v>-41.578947368421098</v>
      </c>
      <c r="DC91" s="422">
        <v>-191.78571428571399</v>
      </c>
      <c r="DD91" s="422">
        <f t="shared" si="752"/>
        <v>-233.36466165413509</v>
      </c>
      <c r="DE91" s="422" t="str">
        <f t="shared" si="753"/>
        <v/>
      </c>
      <c r="DF91" s="422">
        <f t="shared" si="754"/>
        <v>-41.578947368421098</v>
      </c>
      <c r="DG91" s="422">
        <v>-242.14285714285799</v>
      </c>
      <c r="DH91" s="422">
        <f t="shared" si="755"/>
        <v>-283.72180451127906</v>
      </c>
      <c r="DI91" s="422" t="str">
        <f t="shared" si="756"/>
        <v/>
      </c>
      <c r="DJ91" s="422">
        <f t="shared" si="769"/>
        <v>-41.578947368421098</v>
      </c>
      <c r="DK91" s="422">
        <v>31.928571428571399</v>
      </c>
      <c r="DL91" s="422">
        <f t="shared" si="757"/>
        <v>-9.6503759398496989</v>
      </c>
      <c r="DM91" s="422" t="str">
        <f t="shared" si="758"/>
        <v/>
      </c>
      <c r="DN91" s="422">
        <f t="shared" si="770"/>
        <v>-41.578947368421098</v>
      </c>
      <c r="DO91" s="422">
        <v>-5.78571428571429</v>
      </c>
      <c r="DP91" s="422">
        <f t="shared" si="759"/>
        <v>-47.364661654135389</v>
      </c>
      <c r="DQ91" s="438" t="str">
        <f t="shared" si="760"/>
        <v/>
      </c>
      <c r="DR91" s="422">
        <f t="shared" si="771"/>
        <v>-41.578947368421098</v>
      </c>
      <c r="DS91" s="422">
        <v>-192.21428571428501</v>
      </c>
      <c r="DT91" s="422">
        <f t="shared" si="761"/>
        <v>-233.79323308270611</v>
      </c>
      <c r="DU91" s="438" t="str">
        <f t="shared" si="762"/>
        <v/>
      </c>
      <c r="DV91" s="422">
        <f t="shared" si="772"/>
        <v>-41.578947368421098</v>
      </c>
      <c r="DW91" s="422">
        <v>41</v>
      </c>
      <c r="DX91" s="422">
        <f t="shared" si="763"/>
        <v>-0.57894736842109751</v>
      </c>
      <c r="DY91" s="438" t="str">
        <f t="shared" si="764"/>
        <v/>
      </c>
      <c r="DZ91" s="422">
        <f t="shared" si="765"/>
        <v>-41.578947368421098</v>
      </c>
      <c r="EA91" s="422">
        <v>-22.5</v>
      </c>
      <c r="EB91" s="422">
        <f t="shared" si="766"/>
        <v>-64.078947368421098</v>
      </c>
      <c r="EC91" s="438" t="str">
        <f t="shared" si="767"/>
        <v/>
      </c>
      <c r="ED91" s="422">
        <f t="shared" si="643"/>
        <v>-2843.0484832771608</v>
      </c>
      <c r="EE91" s="422">
        <f t="shared" si="650"/>
        <v>-177.69053020482255</v>
      </c>
      <c r="EF91" s="438" t="str">
        <f t="shared" si="651"/>
        <v/>
      </c>
      <c r="EG91" s="422" t="str">
        <f t="shared" si="652"/>
        <v/>
      </c>
      <c r="EH91" s="439">
        <v>1</v>
      </c>
      <c r="EI91" s="422">
        <f t="shared" si="653"/>
        <v>-2843.0484832771608</v>
      </c>
      <c r="EJ91" s="440">
        <f t="shared" si="654"/>
        <v>-1.7769053020482255</v>
      </c>
      <c r="EK91" s="438" t="s">
        <v>747</v>
      </c>
      <c r="EL91" s="438" t="s">
        <v>762</v>
      </c>
    </row>
    <row r="92" spans="1:142" ht="30">
      <c r="A92" s="376"/>
      <c r="B92" s="376"/>
      <c r="C92" s="376"/>
      <c r="D92" s="376"/>
      <c r="E92" s="376"/>
      <c r="F92" s="376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690"/>
      <c r="Z92" s="840"/>
      <c r="AA92" s="420">
        <f t="shared" si="583"/>
        <v>91</v>
      </c>
      <c r="AB92" s="435" t="s">
        <v>63</v>
      </c>
      <c r="AC92" s="422" t="s">
        <v>394</v>
      </c>
      <c r="AD92" s="422" t="s">
        <v>326</v>
      </c>
      <c r="AE92" s="422">
        <v>26.428571428571502</v>
      </c>
      <c r="AF92" s="422">
        <f>'SSS1 ATTENDANCE '!FJ98</f>
        <v>128</v>
      </c>
      <c r="AG92" s="422">
        <f>'SSS1 ATTENDANCE '!FH98</f>
        <v>0</v>
      </c>
      <c r="AH92" s="422">
        <f>'SSS1 ATTENDANCE '!FI98</f>
        <v>128</v>
      </c>
      <c r="AI92" s="436" t="s">
        <v>664</v>
      </c>
      <c r="AJ92" s="437">
        <v>40881</v>
      </c>
      <c r="AK92" s="435" t="s">
        <v>396</v>
      </c>
      <c r="AL92" s="424">
        <v>25</v>
      </c>
      <c r="AM92" s="422">
        <v>72.892857142857096</v>
      </c>
      <c r="AN92" s="438">
        <v>4</v>
      </c>
      <c r="AO92" s="422" t="str">
        <f t="shared" si="644"/>
        <v>3</v>
      </c>
      <c r="AP92" s="438">
        <v>5</v>
      </c>
      <c r="AQ92" s="422">
        <v>4</v>
      </c>
      <c r="AR92" s="438">
        <v>4</v>
      </c>
      <c r="AS92" s="438">
        <v>4</v>
      </c>
      <c r="AT92" s="438">
        <v>4</v>
      </c>
      <c r="AU92" s="438">
        <v>3</v>
      </c>
      <c r="AV92" s="438">
        <v>4</v>
      </c>
      <c r="AW92" s="438">
        <v>4</v>
      </c>
      <c r="AX92" s="438">
        <v>3</v>
      </c>
      <c r="AY92" s="438">
        <v>4</v>
      </c>
      <c r="AZ92" s="438">
        <v>3</v>
      </c>
      <c r="BA92" s="438">
        <v>3</v>
      </c>
      <c r="BB92" s="438">
        <v>3</v>
      </c>
      <c r="BC92" s="438">
        <v>4</v>
      </c>
      <c r="BD92" s="438">
        <v>4</v>
      </c>
      <c r="BE92" s="438">
        <v>4</v>
      </c>
      <c r="BF92" s="438">
        <v>3</v>
      </c>
      <c r="BG92" s="438">
        <v>3</v>
      </c>
      <c r="BH92" s="438">
        <v>3</v>
      </c>
      <c r="BI92" s="438">
        <v>5</v>
      </c>
      <c r="BJ92" s="438">
        <v>4</v>
      </c>
      <c r="BK92" s="438">
        <v>3</v>
      </c>
      <c r="BL92" s="438">
        <v>5</v>
      </c>
      <c r="BM92" s="438">
        <v>3</v>
      </c>
      <c r="BN92" s="422" t="s">
        <v>490</v>
      </c>
      <c r="BO92" s="438">
        <v>-10.8928571428571</v>
      </c>
      <c r="BP92" s="438">
        <v>-330.82142857142799</v>
      </c>
      <c r="BQ92" s="422">
        <f t="shared" si="733"/>
        <v>-341.7142857142851</v>
      </c>
      <c r="BR92" s="438" t="str">
        <f t="shared" si="734"/>
        <v/>
      </c>
      <c r="BS92" s="422">
        <v>-10.8928571428571</v>
      </c>
      <c r="BT92" s="438">
        <v>-241.03571428571399</v>
      </c>
      <c r="BU92" s="422">
        <f t="shared" si="735"/>
        <v>-251.9285714285711</v>
      </c>
      <c r="BV92" s="438" t="str">
        <f t="shared" si="736"/>
        <v/>
      </c>
      <c r="BW92" s="422">
        <v>-10.8928571428571</v>
      </c>
      <c r="BX92" s="422">
        <v>-233.32142857142799</v>
      </c>
      <c r="BY92" s="422">
        <f t="shared" si="737"/>
        <v>-244.2142857142851</v>
      </c>
      <c r="BZ92" s="438" t="str">
        <f t="shared" si="738"/>
        <v/>
      </c>
      <c r="CA92" s="422">
        <v>-10.8928571428571</v>
      </c>
      <c r="CB92" s="422">
        <v>-245.357142857143</v>
      </c>
      <c r="CC92" s="422">
        <f t="shared" si="739"/>
        <v>-256.25000000000011</v>
      </c>
      <c r="CD92" s="438" t="str">
        <f t="shared" si="740"/>
        <v/>
      </c>
      <c r="CE92" s="422">
        <v>35</v>
      </c>
      <c r="CF92" s="422">
        <v>-235.42857142857201</v>
      </c>
      <c r="CG92" s="422">
        <f t="shared" si="741"/>
        <v>-200.42857142857201</v>
      </c>
      <c r="CH92" s="438" t="str">
        <f t="shared" si="742"/>
        <v/>
      </c>
      <c r="CI92" s="422">
        <v>-10.8928571428571</v>
      </c>
      <c r="CJ92" s="422">
        <v>-118.464285714285</v>
      </c>
      <c r="CK92" s="422">
        <f t="shared" si="743"/>
        <v>-129.35714285714209</v>
      </c>
      <c r="CL92" s="438" t="str">
        <f t="shared" si="744"/>
        <v/>
      </c>
      <c r="CM92" s="422">
        <v>-10.8928571428571</v>
      </c>
      <c r="CN92" s="422"/>
      <c r="CO92" s="422"/>
      <c r="CP92" s="422">
        <f t="shared" ref="CP92" si="776">CM92</f>
        <v>-10.8928571428571</v>
      </c>
      <c r="CQ92" s="422">
        <v>23.336206896551801</v>
      </c>
      <c r="CR92" s="422">
        <f t="shared" si="746"/>
        <v>12.443349753694701</v>
      </c>
      <c r="CS92" s="438" t="str">
        <f t="shared" si="747"/>
        <v>F9</v>
      </c>
      <c r="CT92" s="422"/>
      <c r="CU92" s="422"/>
      <c r="CV92" s="422">
        <f t="shared" si="748"/>
        <v>0</v>
      </c>
      <c r="CW92" s="438" t="str">
        <f t="shared" si="749"/>
        <v/>
      </c>
      <c r="CX92" s="422">
        <v>35</v>
      </c>
      <c r="CY92" s="422">
        <v>-245.357142857143</v>
      </c>
      <c r="CZ92" s="422">
        <f t="shared" si="750"/>
        <v>-210.357142857143</v>
      </c>
      <c r="DA92" s="438" t="str">
        <f t="shared" si="751"/>
        <v/>
      </c>
      <c r="DB92" s="422">
        <f t="shared" si="768"/>
        <v>35</v>
      </c>
      <c r="DC92" s="422">
        <v>-194.46428571428601</v>
      </c>
      <c r="DD92" s="422">
        <f t="shared" si="752"/>
        <v>-159.46428571428601</v>
      </c>
      <c r="DE92" s="422" t="str">
        <f t="shared" si="753"/>
        <v/>
      </c>
      <c r="DF92" s="422">
        <f t="shared" si="754"/>
        <v>35</v>
      </c>
      <c r="DG92" s="422">
        <v>-245.357142857143</v>
      </c>
      <c r="DH92" s="422">
        <f t="shared" si="755"/>
        <v>-210.357142857143</v>
      </c>
      <c r="DI92" s="422" t="str">
        <f t="shared" si="756"/>
        <v/>
      </c>
      <c r="DJ92" s="422">
        <f t="shared" si="769"/>
        <v>35</v>
      </c>
      <c r="DK92" s="422">
        <v>31.75</v>
      </c>
      <c r="DL92" s="422">
        <f t="shared" si="757"/>
        <v>66.75</v>
      </c>
      <c r="DM92" s="422" t="str">
        <f t="shared" si="758"/>
        <v>B3</v>
      </c>
      <c r="DN92" s="422">
        <f t="shared" si="770"/>
        <v>35</v>
      </c>
      <c r="DO92" s="422">
        <v>-6.3928571428572001</v>
      </c>
      <c r="DP92" s="422">
        <f t="shared" si="759"/>
        <v>28.607142857142801</v>
      </c>
      <c r="DQ92" s="438" t="str">
        <f t="shared" si="760"/>
        <v>F9</v>
      </c>
      <c r="DR92" s="422">
        <f t="shared" si="771"/>
        <v>35</v>
      </c>
      <c r="DS92" s="422">
        <v>-194.82142857142799</v>
      </c>
      <c r="DT92" s="422">
        <f t="shared" si="761"/>
        <v>-159.82142857142799</v>
      </c>
      <c r="DU92" s="438" t="str">
        <f t="shared" si="762"/>
        <v/>
      </c>
      <c r="DV92" s="422">
        <f t="shared" si="772"/>
        <v>35</v>
      </c>
      <c r="DW92" s="422">
        <v>40.928571428571402</v>
      </c>
      <c r="DX92" s="422">
        <f t="shared" si="763"/>
        <v>75.928571428571402</v>
      </c>
      <c r="DY92" s="438" t="str">
        <f t="shared" si="764"/>
        <v>A</v>
      </c>
      <c r="DZ92" s="422">
        <f t="shared" si="765"/>
        <v>35</v>
      </c>
      <c r="EA92" s="422">
        <v>-23.250000000000099</v>
      </c>
      <c r="EB92" s="422">
        <f t="shared" si="766"/>
        <v>11.749999999999901</v>
      </c>
      <c r="EC92" s="438" t="str">
        <f t="shared" si="767"/>
        <v>F9</v>
      </c>
      <c r="ED92" s="422">
        <f t="shared" si="643"/>
        <v>-1968.4137931034468</v>
      </c>
      <c r="EE92" s="422">
        <f t="shared" si="650"/>
        <v>-123.02586206896542</v>
      </c>
      <c r="EF92" s="438" t="str">
        <f t="shared" si="651"/>
        <v/>
      </c>
      <c r="EG92" s="422" t="str">
        <f t="shared" si="652"/>
        <v/>
      </c>
      <c r="EH92" s="439">
        <v>1</v>
      </c>
      <c r="EI92" s="422">
        <f t="shared" si="653"/>
        <v>-1968.4137931034468</v>
      </c>
      <c r="EJ92" s="440">
        <f t="shared" si="654"/>
        <v>-1.2302586206896542</v>
      </c>
      <c r="EK92" s="438" t="s">
        <v>573</v>
      </c>
      <c r="EL92" s="438" t="s">
        <v>762</v>
      </c>
    </row>
    <row r="93" spans="1:142" ht="30">
      <c r="A93" s="376"/>
      <c r="B93" s="376"/>
      <c r="C93" s="376"/>
      <c r="D93" s="376"/>
      <c r="E93" s="376"/>
      <c r="F93" s="376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690"/>
      <c r="Z93" s="840"/>
      <c r="AA93" s="420">
        <f t="shared" si="583"/>
        <v>92</v>
      </c>
      <c r="AB93" s="435" t="s">
        <v>57</v>
      </c>
      <c r="AC93" s="422" t="s">
        <v>394</v>
      </c>
      <c r="AD93" s="422" t="s">
        <v>326</v>
      </c>
      <c r="AE93" s="422">
        <v>26.571428571428601</v>
      </c>
      <c r="AF93" s="422">
        <f>'SSS1 ATTENDANCE '!FJ99</f>
        <v>128</v>
      </c>
      <c r="AG93" s="422">
        <f>'SSS1 ATTENDANCE '!FH99</f>
        <v>0</v>
      </c>
      <c r="AH93" s="422">
        <f>'SSS1 ATTENDANCE '!FI99</f>
        <v>128</v>
      </c>
      <c r="AI93" s="436" t="s">
        <v>665</v>
      </c>
      <c r="AJ93" s="437">
        <v>41122</v>
      </c>
      <c r="AK93" s="435" t="s">
        <v>396</v>
      </c>
      <c r="AL93" s="424">
        <v>25</v>
      </c>
      <c r="AM93" s="422">
        <v>73.428571428571402</v>
      </c>
      <c r="AN93" s="438">
        <v>4</v>
      </c>
      <c r="AO93" s="422" t="str">
        <f t="shared" si="644"/>
        <v>3</v>
      </c>
      <c r="AP93" s="438">
        <v>5</v>
      </c>
      <c r="AQ93" s="422">
        <v>4</v>
      </c>
      <c r="AR93" s="438">
        <v>4</v>
      </c>
      <c r="AS93" s="438">
        <v>4</v>
      </c>
      <c r="AT93" s="438">
        <v>4</v>
      </c>
      <c r="AU93" s="438">
        <v>3</v>
      </c>
      <c r="AV93" s="438">
        <v>4</v>
      </c>
      <c r="AW93" s="438">
        <v>4</v>
      </c>
      <c r="AX93" s="438">
        <v>3</v>
      </c>
      <c r="AY93" s="438">
        <v>4</v>
      </c>
      <c r="AZ93" s="438">
        <v>3</v>
      </c>
      <c r="BA93" s="438">
        <v>3</v>
      </c>
      <c r="BB93" s="438">
        <v>3</v>
      </c>
      <c r="BC93" s="438">
        <v>4</v>
      </c>
      <c r="BD93" s="438">
        <v>4</v>
      </c>
      <c r="BE93" s="438">
        <v>4</v>
      </c>
      <c r="BF93" s="438">
        <v>3</v>
      </c>
      <c r="BG93" s="438">
        <v>3</v>
      </c>
      <c r="BH93" s="438">
        <v>3</v>
      </c>
      <c r="BI93" s="438">
        <v>5</v>
      </c>
      <c r="BJ93" s="438">
        <v>4</v>
      </c>
      <c r="BK93" s="438">
        <v>3</v>
      </c>
      <c r="BL93" s="438">
        <v>5</v>
      </c>
      <c r="BM93" s="438">
        <v>3</v>
      </c>
      <c r="BN93" s="422" t="s">
        <v>491</v>
      </c>
      <c r="BO93" s="422">
        <v>-11.4285714285714</v>
      </c>
      <c r="BP93" s="422">
        <v>-335</v>
      </c>
      <c r="BQ93" s="422">
        <v>100</v>
      </c>
      <c r="BR93" s="438" t="s">
        <v>749</v>
      </c>
      <c r="BS93" s="422">
        <v>-11.4285714285714</v>
      </c>
      <c r="BT93" s="422">
        <v>-244.28571428571399</v>
      </c>
      <c r="BU93" s="422">
        <v>100</v>
      </c>
      <c r="BV93" s="438" t="s">
        <v>749</v>
      </c>
      <c r="BW93" s="422">
        <v>-11.4285714285714</v>
      </c>
      <c r="BX93" s="422">
        <v>-236.42857142857099</v>
      </c>
      <c r="BY93" s="422">
        <v>100</v>
      </c>
      <c r="BZ93" s="422" t="str">
        <f t="shared" ref="BZ93" si="777">BV93</f>
        <v>Grades</v>
      </c>
      <c r="CA93" s="422">
        <v>-11.4285714285714</v>
      </c>
      <c r="CB93" s="422">
        <v>-248.57142857142901</v>
      </c>
      <c r="CC93" s="422">
        <v>100</v>
      </c>
      <c r="CD93" s="422" t="str">
        <f t="shared" ref="CD93" si="778">BZ93</f>
        <v>Grades</v>
      </c>
      <c r="CE93" s="422">
        <f t="shared" ref="CE93" si="779">CA93</f>
        <v>-11.4285714285714</v>
      </c>
      <c r="CF93" s="422">
        <v>-238.57142857142901</v>
      </c>
      <c r="CG93" s="422">
        <v>100</v>
      </c>
      <c r="CH93" s="422" t="str">
        <f t="shared" ref="CH93" si="780">CD93</f>
        <v>Grades</v>
      </c>
      <c r="CI93" s="422">
        <v>-11.4285714285714</v>
      </c>
      <c r="CJ93" s="422">
        <v>-120.28571428571399</v>
      </c>
      <c r="CK93" s="422">
        <v>100</v>
      </c>
      <c r="CL93" s="422" t="str">
        <f t="shared" ref="CL93" si="781">CH93</f>
        <v>Grades</v>
      </c>
      <c r="CM93" s="422">
        <v>-11.4285714285714</v>
      </c>
      <c r="CN93" s="422">
        <v>60</v>
      </c>
      <c r="CO93" s="422"/>
      <c r="CP93" s="422">
        <v>40</v>
      </c>
      <c r="CQ93" s="422">
        <v>23.0517241379311</v>
      </c>
      <c r="CR93" s="422">
        <v>100</v>
      </c>
      <c r="CS93" s="438" t="str">
        <f t="shared" ref="CS93" si="782">CL93</f>
        <v>Grades</v>
      </c>
      <c r="CT93" s="422">
        <v>-42.631578947368503</v>
      </c>
      <c r="CU93" s="422">
        <v>-270.52631578947398</v>
      </c>
      <c r="CV93" s="422">
        <v>100</v>
      </c>
      <c r="CW93" s="438" t="str">
        <f t="shared" ref="CW93" si="783">CS93</f>
        <v>Grades</v>
      </c>
      <c r="CX93" s="422">
        <v>-58.3333333333333</v>
      </c>
      <c r="CY93" s="422">
        <v>-248.57142857142901</v>
      </c>
      <c r="CZ93" s="422">
        <v>100</v>
      </c>
      <c r="DA93" s="438" t="str">
        <f t="shared" ref="DA93" si="784">CW93</f>
        <v>Grades</v>
      </c>
      <c r="DB93" s="422">
        <v>-220</v>
      </c>
      <c r="DC93" s="422">
        <v>-197.142857142857</v>
      </c>
      <c r="DD93" s="422">
        <v>100</v>
      </c>
      <c r="DE93" s="422" t="str">
        <f t="shared" ref="DE93" si="785">DA93</f>
        <v>Grades</v>
      </c>
      <c r="DF93" s="422">
        <v>40</v>
      </c>
      <c r="DG93" s="422">
        <v>-248.57142857142901</v>
      </c>
      <c r="DH93" s="422">
        <v>100</v>
      </c>
      <c r="DI93" s="422" t="str">
        <f t="shared" ref="DI93" si="786">DE93</f>
        <v>Grades</v>
      </c>
      <c r="DJ93" s="422">
        <v>-90</v>
      </c>
      <c r="DK93" s="422">
        <v>31.571428571428498</v>
      </c>
      <c r="DL93" s="422">
        <v>100</v>
      </c>
      <c r="DM93" s="422" t="str">
        <f t="shared" ref="DM93" si="787">DI93</f>
        <v>Grades</v>
      </c>
      <c r="DN93" s="422">
        <v>-90</v>
      </c>
      <c r="DO93" s="422">
        <v>-6.9999999999999902</v>
      </c>
      <c r="DP93" s="422">
        <v>100</v>
      </c>
      <c r="DQ93" s="438" t="str">
        <f t="shared" ref="DQ93" si="788">DM93</f>
        <v>Grades</v>
      </c>
      <c r="DR93" s="422">
        <v>-350</v>
      </c>
      <c r="DS93" s="422">
        <v>-197.42857142857099</v>
      </c>
      <c r="DT93" s="422">
        <v>100</v>
      </c>
      <c r="DU93" s="438" t="str">
        <f t="shared" ref="DU93" si="789">DQ93</f>
        <v>Grades</v>
      </c>
      <c r="DV93" s="422">
        <v>-90</v>
      </c>
      <c r="DW93" s="422">
        <v>40.857142857142797</v>
      </c>
      <c r="DX93" s="422">
        <v>100</v>
      </c>
      <c r="DY93" s="438" t="str">
        <f t="shared" ref="DY93" si="790">DU93</f>
        <v>Grades</v>
      </c>
      <c r="DZ93" s="422">
        <v>40</v>
      </c>
      <c r="EA93" s="422">
        <v>-24.000000000000099</v>
      </c>
      <c r="EB93" s="422">
        <v>100</v>
      </c>
      <c r="EC93" s="438" t="str">
        <f t="shared" ref="EC93" si="791">DY93</f>
        <v>Grades</v>
      </c>
      <c r="ED93" s="422">
        <f t="shared" si="643"/>
        <v>1600</v>
      </c>
      <c r="EE93" s="422">
        <f t="shared" si="650"/>
        <v>100</v>
      </c>
      <c r="EF93" s="438" t="str">
        <f t="shared" si="651"/>
        <v>A1</v>
      </c>
      <c r="EG93" s="422" t="str">
        <f t="shared" si="652"/>
        <v>DISTINTION</v>
      </c>
      <c r="EH93" s="439">
        <v>1</v>
      </c>
      <c r="EI93" s="422">
        <f t="shared" si="653"/>
        <v>1600</v>
      </c>
      <c r="EJ93" s="440">
        <f t="shared" si="654"/>
        <v>1</v>
      </c>
      <c r="EK93" s="438" t="s">
        <v>573</v>
      </c>
      <c r="EL93" s="438" t="s">
        <v>762</v>
      </c>
    </row>
    <row r="94" spans="1:142" ht="30">
      <c r="A94" s="376"/>
      <c r="B94" s="376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690"/>
      <c r="Z94" s="840"/>
      <c r="AA94" s="420">
        <f t="shared" si="583"/>
        <v>93</v>
      </c>
      <c r="AB94" s="435" t="s">
        <v>58</v>
      </c>
      <c r="AC94" s="422" t="s">
        <v>394</v>
      </c>
      <c r="AD94" s="422" t="s">
        <v>326</v>
      </c>
      <c r="AE94" s="422">
        <v>26.714285714285701</v>
      </c>
      <c r="AF94" s="422">
        <f>'SSS1 ATTENDANCE '!FJ100</f>
        <v>128</v>
      </c>
      <c r="AG94" s="422">
        <f>'SSS1 ATTENDANCE '!FH100</f>
        <v>0</v>
      </c>
      <c r="AH94" s="422">
        <f>'SSS1 ATTENDANCE '!FI100</f>
        <v>128</v>
      </c>
      <c r="AI94" s="436" t="s">
        <v>666</v>
      </c>
      <c r="AJ94" s="437">
        <v>40844</v>
      </c>
      <c r="AK94" s="435" t="s">
        <v>396</v>
      </c>
      <c r="AL94" s="424">
        <v>25</v>
      </c>
      <c r="AM94" s="422">
        <v>73.964285714285694</v>
      </c>
      <c r="AN94" s="438">
        <v>4</v>
      </c>
      <c r="AO94" s="422" t="str">
        <f t="shared" si="644"/>
        <v>3</v>
      </c>
      <c r="AP94" s="438">
        <v>5</v>
      </c>
      <c r="AQ94" s="422">
        <v>4</v>
      </c>
      <c r="AR94" s="438">
        <v>4</v>
      </c>
      <c r="AS94" s="438">
        <v>4</v>
      </c>
      <c r="AT94" s="438">
        <v>4</v>
      </c>
      <c r="AU94" s="438">
        <v>3</v>
      </c>
      <c r="AV94" s="438">
        <v>4</v>
      </c>
      <c r="AW94" s="438">
        <v>4</v>
      </c>
      <c r="AX94" s="438">
        <v>3</v>
      </c>
      <c r="AY94" s="438">
        <v>4</v>
      </c>
      <c r="AZ94" s="438">
        <v>3</v>
      </c>
      <c r="BA94" s="438">
        <v>3</v>
      </c>
      <c r="BB94" s="438">
        <v>3</v>
      </c>
      <c r="BC94" s="438">
        <v>4</v>
      </c>
      <c r="BD94" s="438">
        <v>4</v>
      </c>
      <c r="BE94" s="438">
        <v>4</v>
      </c>
      <c r="BF94" s="438">
        <v>3</v>
      </c>
      <c r="BG94" s="438">
        <v>3</v>
      </c>
      <c r="BH94" s="438">
        <v>3</v>
      </c>
      <c r="BI94" s="438">
        <v>5</v>
      </c>
      <c r="BJ94" s="438">
        <v>4</v>
      </c>
      <c r="BK94" s="438">
        <v>3</v>
      </c>
      <c r="BL94" s="438">
        <v>5</v>
      </c>
      <c r="BM94" s="438">
        <v>3</v>
      </c>
      <c r="BN94" s="422" t="s">
        <v>492</v>
      </c>
      <c r="BO94" s="438">
        <v>-11.964285714285699</v>
      </c>
      <c r="BP94" s="438">
        <v>-339.17857142857099</v>
      </c>
      <c r="BQ94" s="422">
        <f t="shared" ref="BQ94:BQ99" si="792">SUM(BO94:BP94)</f>
        <v>-351.14285714285671</v>
      </c>
      <c r="BR94" s="438" t="str">
        <f t="shared" ref="BR94:BR99" si="793">IF(BQ94&gt;=80,"A1",
IF(BQ94&gt;=75,"A",
IF(BQ94&gt;=70,"B2",
IF(BQ94&gt;=65,"B3",
IF(BQ94&gt;=60,"C4",
IF(BQ94&gt;=55,"C5",
IF(BQ94&gt;=50,"C6",
IF(BQ94&gt;=45,"D7",
IF(BQ94&gt;=40,"E8",
IF(BQ94&gt;=1,"F9",""))))))))))</f>
        <v/>
      </c>
      <c r="BS94" s="422">
        <v>-11.964285714285699</v>
      </c>
      <c r="BT94" s="438">
        <v>-247.53571428571399</v>
      </c>
      <c r="BU94" s="422">
        <f t="shared" ref="BU94:BU99" si="794">SUM(BS94:BT94)</f>
        <v>-259.49999999999972</v>
      </c>
      <c r="BV94" s="438" t="str">
        <f t="shared" ref="BV94:BV99" si="795">IF(BU94&gt;=80,"A1",
IF(BU94&gt;=75,"A",
IF(BU94&gt;=70,"B2",
IF(BU94&gt;=65,"B3",
IF(BU94&gt;=60,"C4",
IF(BU94&gt;=55,"C5",
IF(BU94&gt;=50,"C6",
IF(BU94&gt;=45,"D7",
IF(BU94&gt;=40,"E8",
IF(BU94&gt;=1,"F9",""))))))))))</f>
        <v/>
      </c>
      <c r="BW94" s="422">
        <v>-11.964285714285699</v>
      </c>
      <c r="BX94" s="422">
        <v>-239.53571428571399</v>
      </c>
      <c r="BY94" s="422">
        <f t="shared" ref="BY94:BY99" si="796">SUM(BW94:BX94)</f>
        <v>-251.49999999999969</v>
      </c>
      <c r="BZ94" s="438" t="str">
        <f t="shared" ref="BZ94:BZ99" si="797">IF(BY94&gt;=80,"A1",
IF(BY94&gt;=75,"A",
IF(BY94&gt;=70,"B2",
IF(BY94&gt;=65,"B3",
IF(BY94&gt;=60,"C4",
IF(BY94&gt;=55,"C5",
IF(BY94&gt;=50,"C6",
IF(BY94&gt;=45,"D7",
IF(BY94&gt;=40,"E8",
IF(BY94&gt;=1,"F9",""))))))))))</f>
        <v/>
      </c>
      <c r="CA94" s="422">
        <v>-11.964285714285699</v>
      </c>
      <c r="CB94" s="422">
        <v>-251.78571428571499</v>
      </c>
      <c r="CC94" s="422">
        <f t="shared" ref="CC94:CC99" si="798">SUM(CA94:CB94)</f>
        <v>-263.75000000000068</v>
      </c>
      <c r="CD94" s="438" t="str">
        <f t="shared" ref="CD94:CD99" si="799">IF(CC94&gt;=80,"A1",
IF(CC94&gt;=75,"A",
IF(CC94&gt;=70,"B2",
IF(CC94&gt;=65,"B3",
IF(CC94&gt;=60,"C4",
IF(CC94&gt;=55,"C5",
IF(CC94&gt;=50,"C6",
IF(CC94&gt;=45,"D7",
IF(CC94&gt;=40,"E8",
IF(CC94&gt;=1,"F9",""))))))))))</f>
        <v/>
      </c>
      <c r="CE94" s="422">
        <v>35</v>
      </c>
      <c r="CF94" s="422">
        <v>-241.71428571428601</v>
      </c>
      <c r="CG94" s="422">
        <f t="shared" ref="CG94:CG99" si="800">SUM(CE94:CF94)</f>
        <v>-206.71428571428601</v>
      </c>
      <c r="CH94" s="438" t="str">
        <f t="shared" ref="CH94:CH99" si="801">IF(CG94&gt;=80,"A1",
IF(CG94&gt;=75,"A",
IF(CG94&gt;=70,"B2",
IF(CG94&gt;=65,"B3",
IF(CG94&gt;=60,"C4",
IF(CG94&gt;=55,"C5",
IF(CG94&gt;=50,"C6",
IF(CG94&gt;=45,"D7",
IF(CG94&gt;=40,"E8",
IF(CG94&gt;=1,"F9",""))))))))))</f>
        <v/>
      </c>
      <c r="CI94" s="422">
        <v>-11.964285714285699</v>
      </c>
      <c r="CJ94" s="422">
        <v>-122.107142857143</v>
      </c>
      <c r="CK94" s="422">
        <f t="shared" ref="CK94:CK99" si="802">SUM(CI94:CJ94)</f>
        <v>-134.0714285714287</v>
      </c>
      <c r="CL94" s="438" t="str">
        <f t="shared" ref="CL94:CL99" si="803">IF(CK94&gt;=80,"A1",
IF(CK94&gt;=75,"A",
IF(CK94&gt;=70,"B2",
IF(CK94&gt;=65,"B3",
IF(CK94&gt;=60,"C4",
IF(CK94&gt;=55,"C5",
IF(CK94&gt;=50,"C6",
IF(CK94&gt;=45,"D7",
IF(CK94&gt;=40,"E8",
IF(CK94&gt;=1,"F9",""))))))))))</f>
        <v/>
      </c>
      <c r="CM94" s="422">
        <v>-11.964285714285699</v>
      </c>
      <c r="CN94" s="422"/>
      <c r="CO94" s="422"/>
      <c r="CP94" s="422">
        <f t="shared" ref="CP94:CP95" si="804">CM94</f>
        <v>-11.964285714285699</v>
      </c>
      <c r="CQ94" s="422">
        <v>22.767241379310398</v>
      </c>
      <c r="CR94" s="422">
        <f t="shared" ref="CR94:CR99" si="805">SUM(CP94:CQ94)</f>
        <v>10.802955665024699</v>
      </c>
      <c r="CS94" s="438" t="str">
        <f t="shared" ref="CS94:CS99" si="806">IF(CR94&gt;=80,"A1",
IF(CR94&gt;=75,"A",
IF(CR94&gt;=70,"B2",
IF(CR94&gt;=65,"B3",
IF(CR94&gt;=60,"C4",
IF(CR94&gt;=55,"C5",
IF(CR94&gt;=50,"C6",
IF(CR94&gt;=45,"D7",
IF(CR94&gt;=40,"E8",
IF(CR94&gt;=1,"F9",""))))))))))</f>
        <v>F9</v>
      </c>
      <c r="CT94" s="422">
        <v>-43.684210526315901</v>
      </c>
      <c r="CU94" s="422">
        <v>-274.73684210526397</v>
      </c>
      <c r="CV94" s="422">
        <f t="shared" ref="CV94:CV99" si="807">SUM(CT94:CU94)</f>
        <v>-318.42105263157987</v>
      </c>
      <c r="CW94" s="438" t="str">
        <f t="shared" ref="CW94:CW99" si="808">IF(CV94&gt;=80,"A1",
IF(CV94&gt;=75,"A",
IF(CV94&gt;=70,"B2",
IF(CV94&gt;=65,"B3",
IF(CV94&gt;=60,"C4",
IF(CV94&gt;=55,"C5",
IF(CV94&gt;=50,"C6",
IF(CV94&gt;=45,"D7",
IF(CV94&gt;=40,"E8",
IF(CV94&gt;=1,"F9",""))))))))))</f>
        <v/>
      </c>
      <c r="CX94" s="422">
        <v>-60.8333333333333</v>
      </c>
      <c r="CY94" s="422">
        <v>-251.78571428571499</v>
      </c>
      <c r="CZ94" s="422">
        <f t="shared" ref="CZ94:CZ99" si="809">SUM(CX94:CY94)</f>
        <v>-312.61904761904827</v>
      </c>
      <c r="DA94" s="438" t="str">
        <f t="shared" ref="DA94:DA99" si="810">IF(CZ94&gt;=80,"A1",
IF(CZ94&gt;=75,"A",
IF(CZ94&gt;=70,"B2",
IF(CZ94&gt;=65,"B3",
IF(CZ94&gt;=60,"C4",
IF(CZ94&gt;=55,"C5",
IF(CZ94&gt;=50,"C6",
IF(CZ94&gt;=45,"D7",
IF(CZ94&gt;=40,"E8",
IF(CZ94&gt;=1,"F9",""))))))))))</f>
        <v/>
      </c>
      <c r="DB94" s="422">
        <v>-230</v>
      </c>
      <c r="DC94" s="422">
        <v>-199.82142857142901</v>
      </c>
      <c r="DD94" s="422">
        <f t="shared" ref="DD94:DD99" si="811">SUM(DB94:DC94)</f>
        <v>-429.82142857142901</v>
      </c>
      <c r="DE94" s="422" t="str">
        <f t="shared" ref="DE94:DE99" si="812">IF(DD94&gt;=80,"A1",
IF(DD94&gt;=75,"A",
IF(DD94&gt;=70,"B2",
IF(DD94&gt;=65,"B3",
IF(DD94&gt;=60,"C4",
IF(DD94&gt;=55,"C5",
IF(DD94&gt;=50,"C6",
IF(DD94&gt;=45,"D7",
IF(DD94&gt;=40,"E8",
IF(DD94&gt;=1,"F9",""))))))))))</f>
        <v/>
      </c>
      <c r="DF94" s="422">
        <f t="shared" ref="DF94:DF99" si="813">DB94</f>
        <v>-230</v>
      </c>
      <c r="DG94" s="422">
        <v>-251.78571428571499</v>
      </c>
      <c r="DH94" s="422">
        <f t="shared" ref="DH94:DH99" si="814">SUM(DF94:DG94)</f>
        <v>-481.78571428571502</v>
      </c>
      <c r="DI94" s="422" t="str">
        <f t="shared" ref="DI94:DI99" si="815">IF(DH94&gt;=80,"A1",
IF(DH94&gt;=75,"A",
IF(DH94&gt;=70,"B2",
IF(DH94&gt;=65,"B3",
IF(DH94&gt;=60,"C4",
IF(DH94&gt;=55,"C5",
IF(DH94&gt;=50,"C6",
IF(DH94&gt;=45,"D7",
IF(DH94&gt;=40,"E8",
IF(DH94&gt;=1,"F9",""))))))))))</f>
        <v/>
      </c>
      <c r="DJ94" s="422">
        <v>-95</v>
      </c>
      <c r="DK94" s="422">
        <v>31.3928571428571</v>
      </c>
      <c r="DL94" s="422">
        <f t="shared" ref="DL94:DL99" si="816">SUM(DJ94:DK94)</f>
        <v>-63.607142857142904</v>
      </c>
      <c r="DM94" s="422" t="str">
        <f t="shared" ref="DM94:DM99" si="817">IF(DL94&gt;=80,"A1",
IF(DL94&gt;=75,"A",
IF(DL94&gt;=70,"B2",
IF(DL94&gt;=65,"B3",
IF(DL94&gt;=60,"C4",
IF(DL94&gt;=55,"C5",
IF(DL94&gt;=50,"C6",
IF(DL94&gt;=45,"D7",
IF(DL94&gt;=40,"E8",
IF(DL94&gt;=1,"F9",""))))))))))</f>
        <v/>
      </c>
      <c r="DN94" s="422">
        <v>-95</v>
      </c>
      <c r="DO94" s="422">
        <v>-7.6071428571428896</v>
      </c>
      <c r="DP94" s="422">
        <f t="shared" ref="DP94:DP99" si="818">SUM(DN94:DO94)</f>
        <v>-102.60714285714289</v>
      </c>
      <c r="DQ94" s="438" t="str">
        <f t="shared" ref="DQ94:DQ99" si="819">IF(DP94&gt;=80,"A1",
IF(DP94&gt;=75,"A",
IF(DP94&gt;=70,"B2",
IF(DP94&gt;=65,"B3",
IF(DP94&gt;=60,"C4",
IF(DP94&gt;=55,"C5",
IF(DP94&gt;=50,"C6",
IF(DP94&gt;=45,"D7",
IF(DP94&gt;=40,"E8",
IF(DP94&gt;=1,"F9",""))))))))))</f>
        <v/>
      </c>
      <c r="DR94" s="422">
        <v>-365</v>
      </c>
      <c r="DS94" s="422">
        <v>-200.03571428571399</v>
      </c>
      <c r="DT94" s="422">
        <f t="shared" ref="DT94:DT99" si="820">SUM(DR94:DS94)</f>
        <v>-565.03571428571399</v>
      </c>
      <c r="DU94" s="438" t="str">
        <f t="shared" ref="DU94:DU99" si="821">IF(DT94&gt;=80,"A1",
IF(DT94&gt;=75,"A",
IF(DT94&gt;=70,"B2",
IF(DT94&gt;=65,"B3",
IF(DT94&gt;=60,"C4",
IF(DT94&gt;=55,"C5",
IF(DT94&gt;=50,"C6",
IF(DT94&gt;=45,"D7",
IF(DT94&gt;=40,"E8",
IF(DT94&gt;=1,"F9",""))))))))))</f>
        <v/>
      </c>
      <c r="DV94" s="422">
        <v>-95</v>
      </c>
      <c r="DW94" s="422">
        <v>40.785714285714199</v>
      </c>
      <c r="DX94" s="422">
        <f t="shared" ref="DX94:DX99" si="822">SUM(DV94:DW94)</f>
        <v>-54.214285714285801</v>
      </c>
      <c r="DY94" s="438" t="str">
        <f t="shared" ref="DY94:DY99" si="823">IF(DX94&gt;=80,"A1",
IF(DX94&gt;=75,"A",
IF(DX94&gt;=70,"B2",
IF(DX94&gt;=65,"B3",
IF(DX94&gt;=60,"C4",
IF(DX94&gt;=55,"C5",
IF(DX94&gt;=50,"C6",
IF(DX94&gt;=45,"D7",
IF(DX94&gt;=40,"E8",
IF(DX94&gt;=1,"F9",""))))))))))</f>
        <v/>
      </c>
      <c r="DZ94" s="422">
        <f t="shared" ref="DZ94:DZ99" si="824">DV94</f>
        <v>-95</v>
      </c>
      <c r="EA94" s="422">
        <v>-24.750000000000099</v>
      </c>
      <c r="EB94" s="422">
        <f t="shared" ref="EB94:EB99" si="825">SUM(DZ94:EA94)</f>
        <v>-119.7500000000001</v>
      </c>
      <c r="EC94" s="438" t="str">
        <f t="shared" ref="EC94:EC99" si="826">IF(EB94&gt;=80,"A1",
IF(EB94&gt;=75,"A",
IF(EB94&gt;=70,"B2",
IF(EB94&gt;=65,"B3",
IF(EB94&gt;=60,"C4",
IF(EB94&gt;=55,"C5",
IF(EB94&gt;=50,"C6",
IF(EB94&gt;=45,"D7",
IF(EB94&gt;=40,"E8",
IF(EB94&gt;=1,"F9",""))))))))))</f>
        <v/>
      </c>
      <c r="ED94" s="422">
        <f t="shared" si="643"/>
        <v>-3903.7371445856047</v>
      </c>
      <c r="EE94" s="422">
        <f t="shared" si="650"/>
        <v>-243.98357153660029</v>
      </c>
      <c r="EF94" s="438" t="str">
        <f t="shared" si="651"/>
        <v/>
      </c>
      <c r="EG94" s="422" t="str">
        <f t="shared" si="652"/>
        <v/>
      </c>
      <c r="EH94" s="439">
        <v>1</v>
      </c>
      <c r="EI94" s="422">
        <f t="shared" si="653"/>
        <v>-3903.7371445856047</v>
      </c>
      <c r="EJ94" s="440">
        <f t="shared" si="654"/>
        <v>-2.4398357153660029</v>
      </c>
      <c r="EK94" s="438" t="s">
        <v>573</v>
      </c>
      <c r="EL94" s="438" t="s">
        <v>762</v>
      </c>
    </row>
    <row r="95" spans="1:142" ht="30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690"/>
      <c r="Z95" s="840"/>
      <c r="AA95" s="420">
        <f t="shared" si="583"/>
        <v>94</v>
      </c>
      <c r="AB95" s="435" t="s">
        <v>59</v>
      </c>
      <c r="AC95" s="422" t="s">
        <v>394</v>
      </c>
      <c r="AD95" s="422" t="s">
        <v>326</v>
      </c>
      <c r="AE95" s="422">
        <v>26.8571428571429</v>
      </c>
      <c r="AF95" s="422">
        <f>'SSS1 ATTENDANCE '!FJ101</f>
        <v>128</v>
      </c>
      <c r="AG95" s="422">
        <f>'SSS1 ATTENDANCE '!FH101</f>
        <v>0</v>
      </c>
      <c r="AH95" s="422">
        <f>'SSS1 ATTENDANCE '!FI101</f>
        <v>128</v>
      </c>
      <c r="AI95" s="436" t="s">
        <v>667</v>
      </c>
      <c r="AJ95" s="437">
        <v>40754</v>
      </c>
      <c r="AK95" s="435" t="s">
        <v>396</v>
      </c>
      <c r="AL95" s="424">
        <v>25</v>
      </c>
      <c r="AM95" s="422">
        <v>74.5</v>
      </c>
      <c r="AN95" s="438">
        <v>4</v>
      </c>
      <c r="AO95" s="422" t="str">
        <f t="shared" si="644"/>
        <v>3</v>
      </c>
      <c r="AP95" s="438">
        <v>5</v>
      </c>
      <c r="AQ95" s="422">
        <v>4</v>
      </c>
      <c r="AR95" s="438">
        <v>4</v>
      </c>
      <c r="AS95" s="438">
        <v>4</v>
      </c>
      <c r="AT95" s="438">
        <v>4</v>
      </c>
      <c r="AU95" s="438">
        <v>3</v>
      </c>
      <c r="AV95" s="438">
        <v>4</v>
      </c>
      <c r="AW95" s="438">
        <v>4</v>
      </c>
      <c r="AX95" s="438">
        <v>3</v>
      </c>
      <c r="AY95" s="438">
        <v>4</v>
      </c>
      <c r="AZ95" s="438">
        <v>3</v>
      </c>
      <c r="BA95" s="438">
        <v>3</v>
      </c>
      <c r="BB95" s="438">
        <v>3</v>
      </c>
      <c r="BC95" s="438">
        <v>4</v>
      </c>
      <c r="BD95" s="438">
        <v>4</v>
      </c>
      <c r="BE95" s="438">
        <v>4</v>
      </c>
      <c r="BF95" s="438">
        <v>3</v>
      </c>
      <c r="BG95" s="438">
        <v>3</v>
      </c>
      <c r="BH95" s="438">
        <v>3</v>
      </c>
      <c r="BI95" s="438">
        <v>5</v>
      </c>
      <c r="BJ95" s="438">
        <v>4</v>
      </c>
      <c r="BK95" s="438">
        <v>3</v>
      </c>
      <c r="BL95" s="438">
        <v>5</v>
      </c>
      <c r="BM95" s="438">
        <v>3</v>
      </c>
      <c r="BN95" s="422" t="s">
        <v>493</v>
      </c>
      <c r="BO95" s="438">
        <v>-12.5</v>
      </c>
      <c r="BP95" s="438">
        <v>-343.357142857143</v>
      </c>
      <c r="BQ95" s="422">
        <f t="shared" si="792"/>
        <v>-355.857142857143</v>
      </c>
      <c r="BR95" s="438" t="str">
        <f t="shared" si="793"/>
        <v/>
      </c>
      <c r="BS95" s="422">
        <v>-12.5</v>
      </c>
      <c r="BT95" s="438">
        <v>-250.78571428571399</v>
      </c>
      <c r="BU95" s="422">
        <f t="shared" si="794"/>
        <v>-263.28571428571399</v>
      </c>
      <c r="BV95" s="438" t="str">
        <f t="shared" si="795"/>
        <v/>
      </c>
      <c r="BW95" s="422">
        <v>-12.5</v>
      </c>
      <c r="BX95" s="422">
        <v>-242.642857142857</v>
      </c>
      <c r="BY95" s="422">
        <f t="shared" si="796"/>
        <v>-255.142857142857</v>
      </c>
      <c r="BZ95" s="438" t="str">
        <f t="shared" si="797"/>
        <v/>
      </c>
      <c r="CA95" s="422">
        <v>-12.5</v>
      </c>
      <c r="CB95" s="422">
        <v>-255.00000000000099</v>
      </c>
      <c r="CC95" s="422">
        <f t="shared" si="798"/>
        <v>-267.50000000000102</v>
      </c>
      <c r="CD95" s="438" t="str">
        <f t="shared" si="799"/>
        <v/>
      </c>
      <c r="CE95" s="422">
        <v>35</v>
      </c>
      <c r="CF95" s="422">
        <v>-244.857142857143</v>
      </c>
      <c r="CG95" s="422">
        <f t="shared" si="800"/>
        <v>-209.857142857143</v>
      </c>
      <c r="CH95" s="438" t="str">
        <f t="shared" si="801"/>
        <v/>
      </c>
      <c r="CI95" s="422">
        <v>-12.5</v>
      </c>
      <c r="CJ95" s="422">
        <v>-123.928571428571</v>
      </c>
      <c r="CK95" s="422">
        <f t="shared" si="802"/>
        <v>-136.42857142857099</v>
      </c>
      <c r="CL95" s="438" t="str">
        <f t="shared" si="803"/>
        <v/>
      </c>
      <c r="CM95" s="422">
        <v>-12.5</v>
      </c>
      <c r="CN95" s="422"/>
      <c r="CO95" s="422"/>
      <c r="CP95" s="422">
        <f t="shared" si="804"/>
        <v>-12.5</v>
      </c>
      <c r="CQ95" s="422">
        <v>22.4827586206898</v>
      </c>
      <c r="CR95" s="422">
        <f t="shared" si="805"/>
        <v>9.9827586206898005</v>
      </c>
      <c r="CS95" s="438" t="str">
        <f t="shared" si="806"/>
        <v>F9</v>
      </c>
      <c r="CT95" s="422">
        <v>-44.7368421052632</v>
      </c>
      <c r="CU95" s="422">
        <v>-278.947368421053</v>
      </c>
      <c r="CV95" s="422">
        <f t="shared" si="807"/>
        <v>-323.68421052631618</v>
      </c>
      <c r="CW95" s="438" t="str">
        <f t="shared" si="808"/>
        <v/>
      </c>
      <c r="CX95" s="422">
        <v>-63.3333333333333</v>
      </c>
      <c r="CY95" s="422">
        <v>-255.00000000000099</v>
      </c>
      <c r="CZ95" s="422">
        <f t="shared" si="809"/>
        <v>-318.33333333333428</v>
      </c>
      <c r="DA95" s="438" t="str">
        <f t="shared" si="810"/>
        <v/>
      </c>
      <c r="DB95" s="422">
        <f t="shared" ref="DB95:DB99" si="827">CX95</f>
        <v>-63.3333333333333</v>
      </c>
      <c r="DC95" s="422">
        <v>-202.5</v>
      </c>
      <c r="DD95" s="422">
        <f t="shared" si="811"/>
        <v>-265.83333333333331</v>
      </c>
      <c r="DE95" s="422" t="str">
        <f t="shared" si="812"/>
        <v/>
      </c>
      <c r="DF95" s="422">
        <f t="shared" si="813"/>
        <v>-63.3333333333333</v>
      </c>
      <c r="DG95" s="422">
        <v>-255.00000000000099</v>
      </c>
      <c r="DH95" s="422">
        <f t="shared" si="814"/>
        <v>-318.33333333333428</v>
      </c>
      <c r="DI95" s="422" t="str">
        <f t="shared" si="815"/>
        <v/>
      </c>
      <c r="DJ95" s="422">
        <f t="shared" ref="DJ95:DJ99" si="828">DF95</f>
        <v>-63.3333333333333</v>
      </c>
      <c r="DK95" s="422">
        <v>31.214285714285701</v>
      </c>
      <c r="DL95" s="422">
        <f t="shared" si="816"/>
        <v>-32.119047619047599</v>
      </c>
      <c r="DM95" s="422" t="str">
        <f t="shared" si="817"/>
        <v/>
      </c>
      <c r="DN95" s="422">
        <f t="shared" ref="DN95:DN99" si="829">DJ95</f>
        <v>-63.3333333333333</v>
      </c>
      <c r="DO95" s="422">
        <v>-8.2142857142856904</v>
      </c>
      <c r="DP95" s="422">
        <f t="shared" si="818"/>
        <v>-71.547619047618994</v>
      </c>
      <c r="DQ95" s="438" t="str">
        <f t="shared" si="819"/>
        <v/>
      </c>
      <c r="DR95" s="422">
        <f t="shared" ref="DR95:DR99" si="830">DN95</f>
        <v>-63.3333333333333</v>
      </c>
      <c r="DS95" s="422">
        <v>-202.642857142857</v>
      </c>
      <c r="DT95" s="422">
        <f t="shared" si="820"/>
        <v>-265.97619047619031</v>
      </c>
      <c r="DU95" s="438" t="str">
        <f t="shared" si="821"/>
        <v/>
      </c>
      <c r="DV95" s="422">
        <f t="shared" ref="DV95:DV99" si="831">DR95</f>
        <v>-63.3333333333333</v>
      </c>
      <c r="DW95" s="422">
        <v>40.714285714285701</v>
      </c>
      <c r="DX95" s="422">
        <f t="shared" si="822"/>
        <v>-22.619047619047599</v>
      </c>
      <c r="DY95" s="438" t="str">
        <f t="shared" si="823"/>
        <v/>
      </c>
      <c r="DZ95" s="422">
        <f t="shared" si="824"/>
        <v>-63.3333333333333</v>
      </c>
      <c r="EA95" s="422">
        <v>-25.500000000000099</v>
      </c>
      <c r="EB95" s="422">
        <f t="shared" si="825"/>
        <v>-88.8333333333334</v>
      </c>
      <c r="EC95" s="438" t="str">
        <f t="shared" si="826"/>
        <v/>
      </c>
      <c r="ED95" s="422">
        <f t="shared" si="643"/>
        <v>-3185.3681185722962</v>
      </c>
      <c r="EE95" s="422">
        <f t="shared" si="650"/>
        <v>-199.08550741076851</v>
      </c>
      <c r="EF95" s="438" t="str">
        <f t="shared" si="651"/>
        <v/>
      </c>
      <c r="EG95" s="422" t="str">
        <f t="shared" si="652"/>
        <v/>
      </c>
      <c r="EH95" s="439">
        <v>1</v>
      </c>
      <c r="EI95" s="422">
        <f t="shared" si="653"/>
        <v>-3185.3681185722962</v>
      </c>
      <c r="EJ95" s="440">
        <f t="shared" si="654"/>
        <v>-1.9908550741076851</v>
      </c>
      <c r="EK95" s="438" t="s">
        <v>573</v>
      </c>
      <c r="EL95" s="438" t="s">
        <v>762</v>
      </c>
    </row>
    <row r="96" spans="1:142" ht="30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690"/>
      <c r="Z96" s="840"/>
      <c r="AA96" s="420">
        <f t="shared" si="583"/>
        <v>95</v>
      </c>
      <c r="AB96" s="435" t="s">
        <v>60</v>
      </c>
      <c r="AC96" s="422" t="s">
        <v>394</v>
      </c>
      <c r="AD96" s="422" t="s">
        <v>326</v>
      </c>
      <c r="AE96" s="422">
        <v>27</v>
      </c>
      <c r="AF96" s="422">
        <f>'SSS1 ATTENDANCE '!FJ102</f>
        <v>128</v>
      </c>
      <c r="AG96" s="422">
        <f>'SSS1 ATTENDANCE '!FH102</f>
        <v>0</v>
      </c>
      <c r="AH96" s="422">
        <f>'SSS1 ATTENDANCE '!FI102</f>
        <v>128</v>
      </c>
      <c r="AI96" s="436" t="s">
        <v>668</v>
      </c>
      <c r="AJ96" s="437">
        <v>40900</v>
      </c>
      <c r="AK96" s="435" t="s">
        <v>396</v>
      </c>
      <c r="AL96" s="424">
        <v>25</v>
      </c>
      <c r="AM96" s="422">
        <v>75.035714285714306</v>
      </c>
      <c r="AN96" s="438">
        <v>4</v>
      </c>
      <c r="AO96" s="422" t="str">
        <f t="shared" si="644"/>
        <v>3</v>
      </c>
      <c r="AP96" s="438">
        <v>5</v>
      </c>
      <c r="AQ96" s="422">
        <v>4</v>
      </c>
      <c r="AR96" s="438">
        <v>4</v>
      </c>
      <c r="AS96" s="438">
        <v>4</v>
      </c>
      <c r="AT96" s="438">
        <v>4</v>
      </c>
      <c r="AU96" s="438">
        <v>3</v>
      </c>
      <c r="AV96" s="438">
        <v>4</v>
      </c>
      <c r="AW96" s="438">
        <v>4</v>
      </c>
      <c r="AX96" s="438">
        <v>3</v>
      </c>
      <c r="AY96" s="438">
        <v>4</v>
      </c>
      <c r="AZ96" s="438">
        <v>3</v>
      </c>
      <c r="BA96" s="438">
        <v>3</v>
      </c>
      <c r="BB96" s="438">
        <v>3</v>
      </c>
      <c r="BC96" s="438">
        <v>4</v>
      </c>
      <c r="BD96" s="438">
        <v>4</v>
      </c>
      <c r="BE96" s="438">
        <v>4</v>
      </c>
      <c r="BF96" s="438">
        <v>3</v>
      </c>
      <c r="BG96" s="438">
        <v>3</v>
      </c>
      <c r="BH96" s="438">
        <v>3</v>
      </c>
      <c r="BI96" s="438">
        <v>5</v>
      </c>
      <c r="BJ96" s="438">
        <v>4</v>
      </c>
      <c r="BK96" s="438">
        <v>3</v>
      </c>
      <c r="BL96" s="438">
        <v>5</v>
      </c>
      <c r="BM96" s="438">
        <v>3</v>
      </c>
      <c r="BN96" s="422" t="s">
        <v>494</v>
      </c>
      <c r="BO96" s="438">
        <v>-13.035714285714301</v>
      </c>
      <c r="BP96" s="438">
        <v>-347.53571428571399</v>
      </c>
      <c r="BQ96" s="422">
        <f t="shared" si="792"/>
        <v>-360.57142857142827</v>
      </c>
      <c r="BR96" s="438" t="str">
        <f t="shared" si="793"/>
        <v/>
      </c>
      <c r="BS96" s="422">
        <v>-13.035714285714301</v>
      </c>
      <c r="BT96" s="438">
        <v>-254.03571428571399</v>
      </c>
      <c r="BU96" s="422">
        <f t="shared" si="794"/>
        <v>-267.07142857142827</v>
      </c>
      <c r="BV96" s="438" t="str">
        <f t="shared" si="795"/>
        <v/>
      </c>
      <c r="BW96" s="422">
        <v>-13.035714285714301</v>
      </c>
      <c r="BX96" s="422">
        <v>-245.74999999999901</v>
      </c>
      <c r="BY96" s="422">
        <f t="shared" si="796"/>
        <v>-258.78571428571331</v>
      </c>
      <c r="BZ96" s="438" t="str">
        <f t="shared" si="797"/>
        <v/>
      </c>
      <c r="CA96" s="422">
        <v>-13.035714285714301</v>
      </c>
      <c r="CB96" s="422">
        <v>-258.21428571428601</v>
      </c>
      <c r="CC96" s="422">
        <f t="shared" si="798"/>
        <v>-271.25000000000028</v>
      </c>
      <c r="CD96" s="438" t="str">
        <f t="shared" si="799"/>
        <v/>
      </c>
      <c r="CE96" s="422">
        <v>35</v>
      </c>
      <c r="CF96" s="422">
        <v>-248</v>
      </c>
      <c r="CG96" s="422">
        <f t="shared" si="800"/>
        <v>-213</v>
      </c>
      <c r="CH96" s="438" t="str">
        <f t="shared" si="801"/>
        <v/>
      </c>
      <c r="CI96" s="422">
        <v>-13.035714285714301</v>
      </c>
      <c r="CJ96" s="422">
        <v>-125.75</v>
      </c>
      <c r="CK96" s="422">
        <f t="shared" si="802"/>
        <v>-138.78571428571431</v>
      </c>
      <c r="CL96" s="438" t="str">
        <f t="shared" si="803"/>
        <v/>
      </c>
      <c r="CM96" s="422">
        <v>-13.035714285714301</v>
      </c>
      <c r="CN96" s="422"/>
      <c r="CO96" s="422"/>
      <c r="CP96" s="422"/>
      <c r="CQ96" s="422">
        <v>22.198275862069099</v>
      </c>
      <c r="CR96" s="422">
        <f t="shared" si="805"/>
        <v>22.198275862069099</v>
      </c>
      <c r="CS96" s="438" t="str">
        <f t="shared" si="806"/>
        <v>F9</v>
      </c>
      <c r="CT96" s="422">
        <v>-45.789473684210598</v>
      </c>
      <c r="CU96" s="422">
        <v>-283.15789473684299</v>
      </c>
      <c r="CV96" s="422">
        <f t="shared" si="807"/>
        <v>-328.94736842105357</v>
      </c>
      <c r="CW96" s="438" t="str">
        <f t="shared" si="808"/>
        <v/>
      </c>
      <c r="CX96" s="422">
        <f t="shared" ref="CX96" si="832">CT96</f>
        <v>-45.789473684210598</v>
      </c>
      <c r="CY96" s="422">
        <v>-258.21428571428601</v>
      </c>
      <c r="CZ96" s="422">
        <f t="shared" si="809"/>
        <v>-304.00375939849658</v>
      </c>
      <c r="DA96" s="438" t="str">
        <f t="shared" si="810"/>
        <v/>
      </c>
      <c r="DB96" s="422">
        <f t="shared" si="827"/>
        <v>-45.789473684210598</v>
      </c>
      <c r="DC96" s="422">
        <v>-205.17857142857099</v>
      </c>
      <c r="DD96" s="422">
        <f t="shared" si="811"/>
        <v>-250.9680451127816</v>
      </c>
      <c r="DE96" s="422" t="str">
        <f t="shared" si="812"/>
        <v/>
      </c>
      <c r="DF96" s="422">
        <f t="shared" si="813"/>
        <v>-45.789473684210598</v>
      </c>
      <c r="DG96" s="422">
        <v>-258.21428571428601</v>
      </c>
      <c r="DH96" s="422">
        <f t="shared" si="814"/>
        <v>-304.00375939849658</v>
      </c>
      <c r="DI96" s="422" t="str">
        <f t="shared" si="815"/>
        <v/>
      </c>
      <c r="DJ96" s="422">
        <f t="shared" si="828"/>
        <v>-45.789473684210598</v>
      </c>
      <c r="DK96" s="422">
        <v>31.035714285714299</v>
      </c>
      <c r="DL96" s="422">
        <f t="shared" si="816"/>
        <v>-14.7537593984963</v>
      </c>
      <c r="DM96" s="422" t="str">
        <f t="shared" si="817"/>
        <v/>
      </c>
      <c r="DN96" s="422">
        <f t="shared" si="829"/>
        <v>-45.789473684210598</v>
      </c>
      <c r="DO96" s="422">
        <v>-8.8214285714285907</v>
      </c>
      <c r="DP96" s="422">
        <f t="shared" si="818"/>
        <v>-54.610902255639189</v>
      </c>
      <c r="DQ96" s="438" t="str">
        <f t="shared" si="819"/>
        <v/>
      </c>
      <c r="DR96" s="422">
        <f t="shared" si="830"/>
        <v>-45.789473684210598</v>
      </c>
      <c r="DS96" s="422">
        <v>-205.25</v>
      </c>
      <c r="DT96" s="422">
        <f t="shared" si="820"/>
        <v>-251.03947368421061</v>
      </c>
      <c r="DU96" s="438" t="str">
        <f t="shared" si="821"/>
        <v/>
      </c>
      <c r="DV96" s="422">
        <f t="shared" si="831"/>
        <v>-45.789473684210598</v>
      </c>
      <c r="DW96" s="422">
        <v>40.642857142857103</v>
      </c>
      <c r="DX96" s="422">
        <f t="shared" si="822"/>
        <v>-5.1466165413534952</v>
      </c>
      <c r="DY96" s="438" t="str">
        <f t="shared" si="823"/>
        <v/>
      </c>
      <c r="DZ96" s="422">
        <f t="shared" si="824"/>
        <v>-45.789473684210598</v>
      </c>
      <c r="EA96" s="422">
        <v>-26.250000000000099</v>
      </c>
      <c r="EB96" s="422">
        <f t="shared" si="825"/>
        <v>-72.039473684210691</v>
      </c>
      <c r="EC96" s="438" t="str">
        <f t="shared" si="826"/>
        <v/>
      </c>
      <c r="ED96" s="422">
        <f t="shared" si="643"/>
        <v>-3072.779167746954</v>
      </c>
      <c r="EE96" s="422">
        <f t="shared" si="650"/>
        <v>-192.04869798418463</v>
      </c>
      <c r="EF96" s="438" t="str">
        <f t="shared" si="651"/>
        <v/>
      </c>
      <c r="EG96" s="422" t="str">
        <f t="shared" si="652"/>
        <v/>
      </c>
      <c r="EH96" s="439">
        <v>1</v>
      </c>
      <c r="EI96" s="422">
        <f t="shared" si="653"/>
        <v>-3072.779167746954</v>
      </c>
      <c r="EJ96" s="440">
        <f t="shared" si="654"/>
        <v>-1.9204869798418462</v>
      </c>
      <c r="EK96" s="438" t="s">
        <v>573</v>
      </c>
      <c r="EL96" s="438" t="s">
        <v>762</v>
      </c>
    </row>
    <row r="97" spans="1:142" ht="30">
      <c r="A97" s="376"/>
      <c r="B97" s="376"/>
      <c r="C97" s="376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690"/>
      <c r="Z97" s="840"/>
      <c r="AA97" s="420">
        <f t="shared" si="583"/>
        <v>96</v>
      </c>
      <c r="AB97" s="435" t="s">
        <v>61</v>
      </c>
      <c r="AC97" s="422" t="s">
        <v>394</v>
      </c>
      <c r="AD97" s="422" t="s">
        <v>326</v>
      </c>
      <c r="AE97" s="422">
        <v>27.142857142857199</v>
      </c>
      <c r="AF97" s="422">
        <f>'SSS1 ATTENDANCE '!FJ103</f>
        <v>128</v>
      </c>
      <c r="AG97" s="422">
        <f>'SSS1 ATTENDANCE '!FH103</f>
        <v>0</v>
      </c>
      <c r="AH97" s="422">
        <f>'SSS1 ATTENDANCE '!FI103</f>
        <v>128</v>
      </c>
      <c r="AI97" s="436" t="s">
        <v>669</v>
      </c>
      <c r="AJ97" s="437">
        <v>40368</v>
      </c>
      <c r="AK97" s="435" t="s">
        <v>396</v>
      </c>
      <c r="AL97" s="424">
        <v>25</v>
      </c>
      <c r="AM97" s="422">
        <v>75.571428571428498</v>
      </c>
      <c r="AN97" s="438">
        <v>4</v>
      </c>
      <c r="AO97" s="422" t="str">
        <f t="shared" si="644"/>
        <v>3</v>
      </c>
      <c r="AP97" s="438">
        <v>5</v>
      </c>
      <c r="AQ97" s="422">
        <v>4</v>
      </c>
      <c r="AR97" s="438">
        <v>4</v>
      </c>
      <c r="AS97" s="438">
        <v>4</v>
      </c>
      <c r="AT97" s="438">
        <v>4</v>
      </c>
      <c r="AU97" s="438">
        <v>3</v>
      </c>
      <c r="AV97" s="438">
        <v>4</v>
      </c>
      <c r="AW97" s="438">
        <v>4</v>
      </c>
      <c r="AX97" s="438">
        <v>3</v>
      </c>
      <c r="AY97" s="438">
        <v>4</v>
      </c>
      <c r="AZ97" s="438">
        <v>3</v>
      </c>
      <c r="BA97" s="438">
        <v>3</v>
      </c>
      <c r="BB97" s="438">
        <v>3</v>
      </c>
      <c r="BC97" s="438">
        <v>4</v>
      </c>
      <c r="BD97" s="438">
        <v>4</v>
      </c>
      <c r="BE97" s="438">
        <v>4</v>
      </c>
      <c r="BF97" s="438">
        <v>3</v>
      </c>
      <c r="BG97" s="438">
        <v>3</v>
      </c>
      <c r="BH97" s="438">
        <v>3</v>
      </c>
      <c r="BI97" s="438">
        <v>5</v>
      </c>
      <c r="BJ97" s="438">
        <v>4</v>
      </c>
      <c r="BK97" s="438">
        <v>3</v>
      </c>
      <c r="BL97" s="438">
        <v>5</v>
      </c>
      <c r="BM97" s="438">
        <v>3</v>
      </c>
      <c r="BN97" s="422" t="s">
        <v>495</v>
      </c>
      <c r="BO97" s="438">
        <v>-13.5714285714285</v>
      </c>
      <c r="BP97" s="438">
        <v>-351.71428571428601</v>
      </c>
      <c r="BQ97" s="422">
        <f t="shared" si="792"/>
        <v>-365.2857142857145</v>
      </c>
      <c r="BR97" s="438" t="str">
        <f t="shared" si="793"/>
        <v/>
      </c>
      <c r="BS97" s="422">
        <v>-13.5714285714285</v>
      </c>
      <c r="BT97" s="438">
        <v>-257.28571428571399</v>
      </c>
      <c r="BU97" s="422">
        <f t="shared" si="794"/>
        <v>-270.85714285714249</v>
      </c>
      <c r="BV97" s="438" t="str">
        <f t="shared" si="795"/>
        <v/>
      </c>
      <c r="BW97" s="422">
        <v>-13.5714285714285</v>
      </c>
      <c r="BX97" s="422">
        <v>-248.85714285714201</v>
      </c>
      <c r="BY97" s="422">
        <f t="shared" si="796"/>
        <v>-262.42857142857054</v>
      </c>
      <c r="BZ97" s="438" t="str">
        <f t="shared" si="797"/>
        <v/>
      </c>
      <c r="CA97" s="422">
        <v>-13.5714285714285</v>
      </c>
      <c r="CB97" s="422">
        <v>-261.42857142857201</v>
      </c>
      <c r="CC97" s="422">
        <f t="shared" si="798"/>
        <v>-275.00000000000051</v>
      </c>
      <c r="CD97" s="438" t="str">
        <f t="shared" si="799"/>
        <v/>
      </c>
      <c r="CE97" s="422">
        <v>35</v>
      </c>
      <c r="CF97" s="422">
        <v>-251.14285714285799</v>
      </c>
      <c r="CG97" s="422">
        <f t="shared" si="800"/>
        <v>-216.14285714285799</v>
      </c>
      <c r="CH97" s="438" t="str">
        <f t="shared" si="801"/>
        <v/>
      </c>
      <c r="CI97" s="422">
        <v>-13.5714285714285</v>
      </c>
      <c r="CJ97" s="422">
        <v>-127.571428571428</v>
      </c>
      <c r="CK97" s="422">
        <f t="shared" si="802"/>
        <v>-141.14285714285651</v>
      </c>
      <c r="CL97" s="438" t="str">
        <f t="shared" si="803"/>
        <v/>
      </c>
      <c r="CM97" s="422">
        <v>-13.5714285714285</v>
      </c>
      <c r="CN97" s="422"/>
      <c r="CO97" s="422"/>
      <c r="CP97" s="422">
        <f t="shared" ref="CP97" si="833">CM97</f>
        <v>-13.5714285714285</v>
      </c>
      <c r="CQ97" s="422">
        <v>21.913793103448398</v>
      </c>
      <c r="CR97" s="422">
        <f t="shared" si="805"/>
        <v>8.3423645320198982</v>
      </c>
      <c r="CS97" s="438" t="str">
        <f t="shared" si="806"/>
        <v>F9</v>
      </c>
      <c r="CT97" s="422">
        <v>-46.842105263157997</v>
      </c>
      <c r="CU97" s="422">
        <v>-287.36842105263202</v>
      </c>
      <c r="CV97" s="422">
        <f t="shared" si="807"/>
        <v>-334.21052631578999</v>
      </c>
      <c r="CW97" s="438" t="str">
        <f t="shared" si="808"/>
        <v/>
      </c>
      <c r="CX97" s="422">
        <v>35</v>
      </c>
      <c r="CY97" s="422">
        <v>-261.42857142857201</v>
      </c>
      <c r="CZ97" s="422">
        <f t="shared" si="809"/>
        <v>-226.42857142857201</v>
      </c>
      <c r="DA97" s="438" t="str">
        <f t="shared" si="810"/>
        <v/>
      </c>
      <c r="DB97" s="422">
        <f t="shared" si="827"/>
        <v>35</v>
      </c>
      <c r="DC97" s="422">
        <v>-207.857142857143</v>
      </c>
      <c r="DD97" s="422">
        <f t="shared" si="811"/>
        <v>-172.857142857143</v>
      </c>
      <c r="DE97" s="422" t="str">
        <f t="shared" si="812"/>
        <v/>
      </c>
      <c r="DF97" s="422">
        <f t="shared" si="813"/>
        <v>35</v>
      </c>
      <c r="DG97" s="422">
        <v>-261.42857142857201</v>
      </c>
      <c r="DH97" s="422">
        <f t="shared" si="814"/>
        <v>-226.42857142857201</v>
      </c>
      <c r="DI97" s="422" t="str">
        <f t="shared" si="815"/>
        <v/>
      </c>
      <c r="DJ97" s="422">
        <f t="shared" si="828"/>
        <v>35</v>
      </c>
      <c r="DK97" s="422">
        <v>30.857142857142801</v>
      </c>
      <c r="DL97" s="422">
        <f t="shared" si="816"/>
        <v>65.857142857142804</v>
      </c>
      <c r="DM97" s="422" t="str">
        <f t="shared" si="817"/>
        <v>B3</v>
      </c>
      <c r="DN97" s="422">
        <f t="shared" si="829"/>
        <v>35</v>
      </c>
      <c r="DO97" s="422">
        <v>-9.4285714285714004</v>
      </c>
      <c r="DP97" s="422">
        <f t="shared" si="818"/>
        <v>25.571428571428598</v>
      </c>
      <c r="DQ97" s="438" t="str">
        <f t="shared" si="819"/>
        <v>F9</v>
      </c>
      <c r="DR97" s="422">
        <f t="shared" si="830"/>
        <v>35</v>
      </c>
      <c r="DS97" s="422">
        <v>-207.85714285714201</v>
      </c>
      <c r="DT97" s="422">
        <f t="shared" si="820"/>
        <v>-172.85714285714201</v>
      </c>
      <c r="DU97" s="438" t="str">
        <f t="shared" si="821"/>
        <v/>
      </c>
      <c r="DV97" s="422">
        <f t="shared" si="831"/>
        <v>35</v>
      </c>
      <c r="DW97" s="422">
        <v>40.571428571428498</v>
      </c>
      <c r="DX97" s="422">
        <f t="shared" si="822"/>
        <v>75.571428571428498</v>
      </c>
      <c r="DY97" s="438" t="str">
        <f t="shared" si="823"/>
        <v>A</v>
      </c>
      <c r="DZ97" s="422">
        <f t="shared" si="824"/>
        <v>35</v>
      </c>
      <c r="EA97" s="422">
        <v>-27.000000000000099</v>
      </c>
      <c r="EB97" s="422">
        <f t="shared" si="825"/>
        <v>7.9999999999999005</v>
      </c>
      <c r="EC97" s="438" t="str">
        <f t="shared" si="826"/>
        <v>F9</v>
      </c>
      <c r="ED97" s="422">
        <f t="shared" si="643"/>
        <v>-2480.2967332123426</v>
      </c>
      <c r="EE97" s="422">
        <f t="shared" si="650"/>
        <v>-155.01854582577141</v>
      </c>
      <c r="EF97" s="438" t="str">
        <f t="shared" si="651"/>
        <v/>
      </c>
      <c r="EG97" s="422" t="str">
        <f t="shared" si="652"/>
        <v/>
      </c>
      <c r="EH97" s="439">
        <v>1</v>
      </c>
      <c r="EI97" s="422">
        <f t="shared" si="653"/>
        <v>-2480.2967332123426</v>
      </c>
      <c r="EJ97" s="440">
        <f t="shared" si="654"/>
        <v>-1.5501854582577141</v>
      </c>
      <c r="EK97" s="438" t="s">
        <v>746</v>
      </c>
      <c r="EL97" s="438" t="s">
        <v>762</v>
      </c>
    </row>
    <row r="98" spans="1:142" ht="30">
      <c r="A98" s="376"/>
      <c r="B98" s="376"/>
      <c r="C98" s="376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690"/>
      <c r="Z98" s="840"/>
      <c r="AA98" s="420">
        <f t="shared" si="583"/>
        <v>97</v>
      </c>
      <c r="AB98" s="435" t="s">
        <v>62</v>
      </c>
      <c r="AC98" s="422" t="s">
        <v>394</v>
      </c>
      <c r="AD98" s="422" t="s">
        <v>326</v>
      </c>
      <c r="AE98" s="422">
        <v>27.285714285714299</v>
      </c>
      <c r="AF98" s="422">
        <f>'SSS1 ATTENDANCE '!FJ104</f>
        <v>128</v>
      </c>
      <c r="AG98" s="422">
        <f>'SSS1 ATTENDANCE '!FH104</f>
        <v>0</v>
      </c>
      <c r="AH98" s="422">
        <f>'SSS1 ATTENDANCE '!FI104</f>
        <v>128</v>
      </c>
      <c r="AI98" s="436" t="s">
        <v>670</v>
      </c>
      <c r="AJ98" s="437">
        <v>40852</v>
      </c>
      <c r="AK98" s="435" t="s">
        <v>396</v>
      </c>
      <c r="AL98" s="424">
        <v>25</v>
      </c>
      <c r="AM98" s="422">
        <v>76.107142857142804</v>
      </c>
      <c r="AN98" s="438">
        <v>4</v>
      </c>
      <c r="AO98" s="422" t="str">
        <f t="shared" si="644"/>
        <v>3</v>
      </c>
      <c r="AP98" s="438">
        <v>5</v>
      </c>
      <c r="AQ98" s="422">
        <v>4</v>
      </c>
      <c r="AR98" s="438">
        <v>4</v>
      </c>
      <c r="AS98" s="438">
        <v>4</v>
      </c>
      <c r="AT98" s="438">
        <v>4</v>
      </c>
      <c r="AU98" s="438">
        <v>3</v>
      </c>
      <c r="AV98" s="438">
        <v>4</v>
      </c>
      <c r="AW98" s="438">
        <v>4</v>
      </c>
      <c r="AX98" s="438">
        <v>3</v>
      </c>
      <c r="AY98" s="438">
        <v>4</v>
      </c>
      <c r="AZ98" s="438">
        <v>3</v>
      </c>
      <c r="BA98" s="438">
        <v>3</v>
      </c>
      <c r="BB98" s="438">
        <v>3</v>
      </c>
      <c r="BC98" s="438">
        <v>4</v>
      </c>
      <c r="BD98" s="438">
        <v>4</v>
      </c>
      <c r="BE98" s="438">
        <v>4</v>
      </c>
      <c r="BF98" s="438">
        <v>3</v>
      </c>
      <c r="BG98" s="438">
        <v>3</v>
      </c>
      <c r="BH98" s="438">
        <v>3</v>
      </c>
      <c r="BI98" s="438">
        <v>5</v>
      </c>
      <c r="BJ98" s="438">
        <v>4</v>
      </c>
      <c r="BK98" s="438">
        <v>3</v>
      </c>
      <c r="BL98" s="438">
        <v>5</v>
      </c>
      <c r="BM98" s="438">
        <v>3</v>
      </c>
      <c r="BN98" s="422" t="s">
        <v>496</v>
      </c>
      <c r="BO98" s="438">
        <v>-14.107142857142801</v>
      </c>
      <c r="BP98" s="438">
        <v>-355.892857142857</v>
      </c>
      <c r="BQ98" s="422">
        <f t="shared" si="792"/>
        <v>-369.99999999999977</v>
      </c>
      <c r="BR98" s="438" t="str">
        <f t="shared" si="793"/>
        <v/>
      </c>
      <c r="BS98" s="422">
        <v>-14.107142857142801</v>
      </c>
      <c r="BT98" s="438">
        <v>-260.53571428571399</v>
      </c>
      <c r="BU98" s="422">
        <f t="shared" si="794"/>
        <v>-274.64285714285677</v>
      </c>
      <c r="BV98" s="438" t="str">
        <f t="shared" si="795"/>
        <v/>
      </c>
      <c r="BW98" s="422">
        <v>-14.107142857142801</v>
      </c>
      <c r="BX98" s="422">
        <v>-251.96428571428501</v>
      </c>
      <c r="BY98" s="422">
        <f t="shared" si="796"/>
        <v>-266.07142857142782</v>
      </c>
      <c r="BZ98" s="438" t="str">
        <f t="shared" si="797"/>
        <v/>
      </c>
      <c r="CA98" s="422">
        <v>-14.107142857142801</v>
      </c>
      <c r="CB98" s="422">
        <v>-264.64285714285802</v>
      </c>
      <c r="CC98" s="422">
        <f t="shared" si="798"/>
        <v>-278.7500000000008</v>
      </c>
      <c r="CD98" s="438" t="str">
        <f t="shared" si="799"/>
        <v/>
      </c>
      <c r="CE98" s="422">
        <v>35</v>
      </c>
      <c r="CF98" s="422">
        <v>-254.28571428571499</v>
      </c>
      <c r="CG98" s="422">
        <f t="shared" si="800"/>
        <v>-219.28571428571499</v>
      </c>
      <c r="CH98" s="438" t="str">
        <f t="shared" si="801"/>
        <v/>
      </c>
      <c r="CI98" s="422">
        <v>-14.107142857142801</v>
      </c>
      <c r="CJ98" s="422">
        <v>-129.392857142857</v>
      </c>
      <c r="CK98" s="422">
        <f t="shared" si="802"/>
        <v>-143.4999999999998</v>
      </c>
      <c r="CL98" s="438" t="str">
        <f t="shared" si="803"/>
        <v/>
      </c>
      <c r="CM98" s="422">
        <v>-14.107142857142801</v>
      </c>
      <c r="CN98" s="422"/>
      <c r="CO98" s="422"/>
      <c r="CP98" s="422"/>
      <c r="CQ98" s="422">
        <v>21.629310344827701</v>
      </c>
      <c r="CR98" s="422">
        <f t="shared" si="805"/>
        <v>21.629310344827701</v>
      </c>
      <c r="CS98" s="438" t="str">
        <f t="shared" si="806"/>
        <v>F9</v>
      </c>
      <c r="CT98" s="422">
        <v>-47.894736842105303</v>
      </c>
      <c r="CU98" s="422">
        <v>-291.57894736842201</v>
      </c>
      <c r="CV98" s="422">
        <f t="shared" si="807"/>
        <v>-339.47368421052732</v>
      </c>
      <c r="CW98" s="438" t="str">
        <f t="shared" si="808"/>
        <v/>
      </c>
      <c r="CX98" s="422">
        <f t="shared" ref="CX98" si="834">CT98</f>
        <v>-47.894736842105303</v>
      </c>
      <c r="CY98" s="422">
        <v>-264.64285714285802</v>
      </c>
      <c r="CZ98" s="422">
        <f t="shared" si="809"/>
        <v>-312.53759398496334</v>
      </c>
      <c r="DA98" s="438" t="str">
        <f t="shared" si="810"/>
        <v/>
      </c>
      <c r="DB98" s="422">
        <f t="shared" si="827"/>
        <v>-47.894736842105303</v>
      </c>
      <c r="DC98" s="422">
        <v>-210.53571428571399</v>
      </c>
      <c r="DD98" s="422">
        <f t="shared" si="811"/>
        <v>-258.43045112781931</v>
      </c>
      <c r="DE98" s="422" t="str">
        <f t="shared" si="812"/>
        <v/>
      </c>
      <c r="DF98" s="422">
        <f t="shared" si="813"/>
        <v>-47.894736842105303</v>
      </c>
      <c r="DG98" s="422">
        <v>-264.64285714285802</v>
      </c>
      <c r="DH98" s="422">
        <f t="shared" si="814"/>
        <v>-312.53759398496334</v>
      </c>
      <c r="DI98" s="422" t="str">
        <f t="shared" si="815"/>
        <v/>
      </c>
      <c r="DJ98" s="422">
        <f t="shared" si="828"/>
        <v>-47.894736842105303</v>
      </c>
      <c r="DK98" s="422">
        <v>30.678571428571399</v>
      </c>
      <c r="DL98" s="422">
        <f t="shared" si="816"/>
        <v>-17.216165413533904</v>
      </c>
      <c r="DM98" s="422" t="str">
        <f t="shared" si="817"/>
        <v/>
      </c>
      <c r="DN98" s="422">
        <f t="shared" si="829"/>
        <v>-47.894736842105303</v>
      </c>
      <c r="DO98" s="422">
        <v>-10.035714285714301</v>
      </c>
      <c r="DP98" s="422">
        <f t="shared" si="818"/>
        <v>-57.930451127819602</v>
      </c>
      <c r="DQ98" s="438" t="str">
        <f t="shared" si="819"/>
        <v/>
      </c>
      <c r="DR98" s="422">
        <f t="shared" si="830"/>
        <v>-47.894736842105303</v>
      </c>
      <c r="DS98" s="422">
        <v>-210.46428571428501</v>
      </c>
      <c r="DT98" s="422">
        <f t="shared" si="820"/>
        <v>-258.3590225563903</v>
      </c>
      <c r="DU98" s="438" t="str">
        <f t="shared" si="821"/>
        <v/>
      </c>
      <c r="DV98" s="422">
        <f t="shared" si="831"/>
        <v>-47.894736842105303</v>
      </c>
      <c r="DW98" s="422">
        <v>40.5</v>
      </c>
      <c r="DX98" s="422">
        <f t="shared" si="822"/>
        <v>-7.3947368421053028</v>
      </c>
      <c r="DY98" s="438" t="str">
        <f t="shared" si="823"/>
        <v/>
      </c>
      <c r="DZ98" s="422">
        <f t="shared" si="824"/>
        <v>-47.894736842105303</v>
      </c>
      <c r="EA98" s="422">
        <v>-27.750000000000099</v>
      </c>
      <c r="EB98" s="422">
        <f t="shared" si="825"/>
        <v>-75.644736842105402</v>
      </c>
      <c r="EC98" s="438" t="str">
        <f t="shared" si="826"/>
        <v/>
      </c>
      <c r="ED98" s="422">
        <f t="shared" si="643"/>
        <v>-3170.1451257454</v>
      </c>
      <c r="EE98" s="422">
        <f t="shared" si="650"/>
        <v>-198.1340703590875</v>
      </c>
      <c r="EF98" s="438" t="str">
        <f t="shared" si="651"/>
        <v/>
      </c>
      <c r="EG98" s="422" t="str">
        <f t="shared" si="652"/>
        <v/>
      </c>
      <c r="EH98" s="439">
        <v>1</v>
      </c>
      <c r="EI98" s="422">
        <f t="shared" si="653"/>
        <v>-3170.1451257454</v>
      </c>
      <c r="EJ98" s="440">
        <f t="shared" si="654"/>
        <v>-1.981340703590875</v>
      </c>
      <c r="EK98" s="438" t="s">
        <v>747</v>
      </c>
      <c r="EL98" s="438" t="s">
        <v>762</v>
      </c>
    </row>
    <row r="99" spans="1:142" ht="30">
      <c r="A99" s="376"/>
      <c r="B99" s="376"/>
      <c r="C99" s="376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690"/>
      <c r="Z99" s="840"/>
      <c r="AA99" s="420">
        <f t="shared" si="583"/>
        <v>98</v>
      </c>
      <c r="AB99" s="435" t="s">
        <v>63</v>
      </c>
      <c r="AC99" s="422" t="s">
        <v>394</v>
      </c>
      <c r="AD99" s="422" t="s">
        <v>326</v>
      </c>
      <c r="AE99" s="422">
        <v>27.428571428571502</v>
      </c>
      <c r="AF99" s="422">
        <f>'SSS1 ATTENDANCE '!FJ105</f>
        <v>128</v>
      </c>
      <c r="AG99" s="422">
        <f>'SSS1 ATTENDANCE '!FH105</f>
        <v>0</v>
      </c>
      <c r="AH99" s="422">
        <f>'SSS1 ATTENDANCE '!FI105</f>
        <v>128</v>
      </c>
      <c r="AI99" s="436" t="s">
        <v>671</v>
      </c>
      <c r="AJ99" s="437">
        <v>40881</v>
      </c>
      <c r="AK99" s="435" t="s">
        <v>396</v>
      </c>
      <c r="AL99" s="424">
        <v>25</v>
      </c>
      <c r="AM99" s="422">
        <v>76.642857142857096</v>
      </c>
      <c r="AN99" s="438">
        <v>4</v>
      </c>
      <c r="AO99" s="422" t="str">
        <f t="shared" si="644"/>
        <v>3</v>
      </c>
      <c r="AP99" s="438">
        <v>5</v>
      </c>
      <c r="AQ99" s="422">
        <v>4</v>
      </c>
      <c r="AR99" s="438">
        <v>4</v>
      </c>
      <c r="AS99" s="438">
        <v>4</v>
      </c>
      <c r="AT99" s="438">
        <v>4</v>
      </c>
      <c r="AU99" s="438">
        <v>3</v>
      </c>
      <c r="AV99" s="438">
        <v>4</v>
      </c>
      <c r="AW99" s="438">
        <v>4</v>
      </c>
      <c r="AX99" s="438">
        <v>3</v>
      </c>
      <c r="AY99" s="438">
        <v>4</v>
      </c>
      <c r="AZ99" s="438">
        <v>3</v>
      </c>
      <c r="BA99" s="438">
        <v>3</v>
      </c>
      <c r="BB99" s="438">
        <v>3</v>
      </c>
      <c r="BC99" s="438">
        <v>4</v>
      </c>
      <c r="BD99" s="438">
        <v>4</v>
      </c>
      <c r="BE99" s="438">
        <v>4</v>
      </c>
      <c r="BF99" s="438">
        <v>3</v>
      </c>
      <c r="BG99" s="438">
        <v>3</v>
      </c>
      <c r="BH99" s="438">
        <v>3</v>
      </c>
      <c r="BI99" s="438">
        <v>5</v>
      </c>
      <c r="BJ99" s="438">
        <v>4</v>
      </c>
      <c r="BK99" s="438">
        <v>3</v>
      </c>
      <c r="BL99" s="438">
        <v>5</v>
      </c>
      <c r="BM99" s="438">
        <v>3</v>
      </c>
      <c r="BN99" s="422" t="s">
        <v>497</v>
      </c>
      <c r="BO99" s="438">
        <v>-14.6428571428571</v>
      </c>
      <c r="BP99" s="438">
        <v>-360.07142857142799</v>
      </c>
      <c r="BQ99" s="422">
        <f t="shared" si="792"/>
        <v>-374.7142857142851</v>
      </c>
      <c r="BR99" s="438" t="str">
        <f t="shared" si="793"/>
        <v/>
      </c>
      <c r="BS99" s="422">
        <v>-14.6428571428571</v>
      </c>
      <c r="BT99" s="438">
        <v>-263.78571428571399</v>
      </c>
      <c r="BU99" s="422">
        <f t="shared" si="794"/>
        <v>-278.4285714285711</v>
      </c>
      <c r="BV99" s="438" t="str">
        <f t="shared" si="795"/>
        <v/>
      </c>
      <c r="BW99" s="422">
        <v>-14.6428571428571</v>
      </c>
      <c r="BX99" s="422">
        <v>-255.07142857142799</v>
      </c>
      <c r="BY99" s="422">
        <f t="shared" si="796"/>
        <v>-269.7142857142851</v>
      </c>
      <c r="BZ99" s="438" t="str">
        <f t="shared" si="797"/>
        <v/>
      </c>
      <c r="CA99" s="422">
        <v>-14.6428571428571</v>
      </c>
      <c r="CB99" s="422">
        <v>-267.857142857143</v>
      </c>
      <c r="CC99" s="422">
        <f t="shared" si="798"/>
        <v>-282.50000000000011</v>
      </c>
      <c r="CD99" s="438" t="str">
        <f t="shared" si="799"/>
        <v/>
      </c>
      <c r="CE99" s="422">
        <v>35</v>
      </c>
      <c r="CF99" s="422">
        <v>-257.42857142857201</v>
      </c>
      <c r="CG99" s="422">
        <f t="shared" si="800"/>
        <v>-222.42857142857201</v>
      </c>
      <c r="CH99" s="438" t="str">
        <f t="shared" si="801"/>
        <v/>
      </c>
      <c r="CI99" s="422">
        <v>-14.6428571428571</v>
      </c>
      <c r="CJ99" s="422">
        <v>-131.21428571428501</v>
      </c>
      <c r="CK99" s="422">
        <f t="shared" si="802"/>
        <v>-145.85714285714212</v>
      </c>
      <c r="CL99" s="438" t="str">
        <f t="shared" si="803"/>
        <v/>
      </c>
      <c r="CM99" s="422">
        <v>-14.6428571428571</v>
      </c>
      <c r="CN99" s="422"/>
      <c r="CO99" s="422"/>
      <c r="CP99" s="422">
        <f t="shared" ref="CP99" si="835">CM99</f>
        <v>-14.6428571428571</v>
      </c>
      <c r="CQ99" s="422">
        <v>21.344827586207</v>
      </c>
      <c r="CR99" s="422">
        <f t="shared" si="805"/>
        <v>6.7019704433499001</v>
      </c>
      <c r="CS99" s="438" t="str">
        <f t="shared" si="806"/>
        <v>F9</v>
      </c>
      <c r="CT99" s="422"/>
      <c r="CU99" s="422"/>
      <c r="CV99" s="422">
        <f t="shared" si="807"/>
        <v>0</v>
      </c>
      <c r="CW99" s="438" t="str">
        <f t="shared" si="808"/>
        <v/>
      </c>
      <c r="CX99" s="422">
        <v>35</v>
      </c>
      <c r="CY99" s="422">
        <v>-267.857142857143</v>
      </c>
      <c r="CZ99" s="422">
        <f t="shared" si="809"/>
        <v>-232.857142857143</v>
      </c>
      <c r="DA99" s="438" t="str">
        <f t="shared" si="810"/>
        <v/>
      </c>
      <c r="DB99" s="422">
        <f t="shared" si="827"/>
        <v>35</v>
      </c>
      <c r="DC99" s="422">
        <v>-213.21428571428601</v>
      </c>
      <c r="DD99" s="422">
        <f t="shared" si="811"/>
        <v>-178.21428571428601</v>
      </c>
      <c r="DE99" s="422" t="str">
        <f t="shared" si="812"/>
        <v/>
      </c>
      <c r="DF99" s="422">
        <f t="shared" si="813"/>
        <v>35</v>
      </c>
      <c r="DG99" s="422">
        <v>-267.857142857143</v>
      </c>
      <c r="DH99" s="422">
        <f t="shared" si="814"/>
        <v>-232.857142857143</v>
      </c>
      <c r="DI99" s="422" t="str">
        <f t="shared" si="815"/>
        <v/>
      </c>
      <c r="DJ99" s="422">
        <f t="shared" si="828"/>
        <v>35</v>
      </c>
      <c r="DK99" s="422">
        <v>30.5</v>
      </c>
      <c r="DL99" s="422">
        <f t="shared" si="816"/>
        <v>65.5</v>
      </c>
      <c r="DM99" s="422" t="str">
        <f t="shared" si="817"/>
        <v>B3</v>
      </c>
      <c r="DN99" s="422">
        <f t="shared" si="829"/>
        <v>35</v>
      </c>
      <c r="DO99" s="422">
        <v>-10.642857142857199</v>
      </c>
      <c r="DP99" s="422">
        <f t="shared" si="818"/>
        <v>24.357142857142801</v>
      </c>
      <c r="DQ99" s="438" t="str">
        <f t="shared" si="819"/>
        <v>F9</v>
      </c>
      <c r="DR99" s="422">
        <f t="shared" si="830"/>
        <v>35</v>
      </c>
      <c r="DS99" s="422">
        <v>-213.07142857142799</v>
      </c>
      <c r="DT99" s="422">
        <f t="shared" si="820"/>
        <v>-178.07142857142799</v>
      </c>
      <c r="DU99" s="438" t="str">
        <f t="shared" si="821"/>
        <v/>
      </c>
      <c r="DV99" s="422">
        <f t="shared" si="831"/>
        <v>35</v>
      </c>
      <c r="DW99" s="422">
        <v>40.428571428571402</v>
      </c>
      <c r="DX99" s="422">
        <f t="shared" si="822"/>
        <v>75.428571428571402</v>
      </c>
      <c r="DY99" s="438" t="str">
        <f t="shared" si="823"/>
        <v>A</v>
      </c>
      <c r="DZ99" s="422">
        <f t="shared" si="824"/>
        <v>35</v>
      </c>
      <c r="EA99" s="422">
        <v>-28.500000000000099</v>
      </c>
      <c r="EB99" s="422">
        <f t="shared" si="825"/>
        <v>6.4999999999999005</v>
      </c>
      <c r="EC99" s="438" t="str">
        <f t="shared" si="826"/>
        <v>F9</v>
      </c>
      <c r="ED99" s="422">
        <f t="shared" si="643"/>
        <v>-2217.1551724137912</v>
      </c>
      <c r="EE99" s="422">
        <f t="shared" si="650"/>
        <v>-138.57219827586195</v>
      </c>
      <c r="EF99" s="438" t="str">
        <f t="shared" si="651"/>
        <v/>
      </c>
      <c r="EG99" s="422" t="str">
        <f t="shared" si="652"/>
        <v/>
      </c>
      <c r="EH99" s="439">
        <v>1</v>
      </c>
      <c r="EI99" s="422">
        <f t="shared" si="653"/>
        <v>-2217.1551724137912</v>
      </c>
      <c r="EJ99" s="440">
        <f t="shared" si="654"/>
        <v>-1.3857219827586196</v>
      </c>
      <c r="EK99" s="438" t="s">
        <v>573</v>
      </c>
      <c r="EL99" s="438" t="s">
        <v>762</v>
      </c>
    </row>
    <row r="100" spans="1:142" ht="30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690"/>
      <c r="Z100" s="840"/>
      <c r="AA100" s="420">
        <f t="shared" si="583"/>
        <v>99</v>
      </c>
      <c r="AB100" s="435" t="s">
        <v>57</v>
      </c>
      <c r="AC100" s="422" t="s">
        <v>394</v>
      </c>
      <c r="AD100" s="422" t="s">
        <v>326</v>
      </c>
      <c r="AE100" s="422">
        <v>27.571428571428601</v>
      </c>
      <c r="AF100" s="422">
        <f>'SSS1 ATTENDANCE '!FJ106</f>
        <v>128</v>
      </c>
      <c r="AG100" s="422">
        <f>'SSS1 ATTENDANCE '!FH106</f>
        <v>0</v>
      </c>
      <c r="AH100" s="422">
        <f>'SSS1 ATTENDANCE '!FI106</f>
        <v>128</v>
      </c>
      <c r="AI100" s="436" t="s">
        <v>672</v>
      </c>
      <c r="AJ100" s="437">
        <v>41122</v>
      </c>
      <c r="AK100" s="435" t="s">
        <v>396</v>
      </c>
      <c r="AL100" s="424">
        <v>25</v>
      </c>
      <c r="AM100" s="422">
        <v>77.178571428571402</v>
      </c>
      <c r="AN100" s="438">
        <v>4</v>
      </c>
      <c r="AO100" s="422" t="str">
        <f t="shared" si="644"/>
        <v>3</v>
      </c>
      <c r="AP100" s="438">
        <v>5</v>
      </c>
      <c r="AQ100" s="422">
        <v>4</v>
      </c>
      <c r="AR100" s="438">
        <v>4</v>
      </c>
      <c r="AS100" s="438">
        <v>4</v>
      </c>
      <c r="AT100" s="438">
        <v>4</v>
      </c>
      <c r="AU100" s="438">
        <v>3</v>
      </c>
      <c r="AV100" s="438">
        <v>4</v>
      </c>
      <c r="AW100" s="438">
        <v>4</v>
      </c>
      <c r="AX100" s="438">
        <v>3</v>
      </c>
      <c r="AY100" s="438">
        <v>4</v>
      </c>
      <c r="AZ100" s="438">
        <v>3</v>
      </c>
      <c r="BA100" s="438">
        <v>3</v>
      </c>
      <c r="BB100" s="438">
        <v>3</v>
      </c>
      <c r="BC100" s="438">
        <v>4</v>
      </c>
      <c r="BD100" s="438">
        <v>4</v>
      </c>
      <c r="BE100" s="438">
        <v>4</v>
      </c>
      <c r="BF100" s="438">
        <v>3</v>
      </c>
      <c r="BG100" s="438">
        <v>3</v>
      </c>
      <c r="BH100" s="438">
        <v>3</v>
      </c>
      <c r="BI100" s="438">
        <v>5</v>
      </c>
      <c r="BJ100" s="438">
        <v>4</v>
      </c>
      <c r="BK100" s="438">
        <v>3</v>
      </c>
      <c r="BL100" s="438">
        <v>5</v>
      </c>
      <c r="BM100" s="438">
        <v>3</v>
      </c>
      <c r="BN100" s="422" t="s">
        <v>498</v>
      </c>
      <c r="BO100" s="422">
        <v>-15.1785714285714</v>
      </c>
      <c r="BP100" s="422">
        <v>-364.25</v>
      </c>
      <c r="BQ100" s="422">
        <v>100</v>
      </c>
      <c r="BR100" s="438" t="s">
        <v>749</v>
      </c>
      <c r="BS100" s="422">
        <v>-15.1785714285714</v>
      </c>
      <c r="BT100" s="422">
        <v>-267.03571428571399</v>
      </c>
      <c r="BU100" s="422">
        <v>100</v>
      </c>
      <c r="BV100" s="438" t="s">
        <v>749</v>
      </c>
      <c r="BW100" s="422">
        <v>-15.1785714285714</v>
      </c>
      <c r="BX100" s="422">
        <v>-258.17857142857099</v>
      </c>
      <c r="BY100" s="422">
        <v>100</v>
      </c>
      <c r="BZ100" s="422" t="str">
        <f t="shared" ref="BZ100" si="836">BV100</f>
        <v>Grades</v>
      </c>
      <c r="CA100" s="422">
        <v>-15.1785714285714</v>
      </c>
      <c r="CB100" s="422">
        <v>-271.07142857142901</v>
      </c>
      <c r="CC100" s="422">
        <v>100</v>
      </c>
      <c r="CD100" s="422" t="str">
        <f t="shared" ref="CD100" si="837">BZ100</f>
        <v>Grades</v>
      </c>
      <c r="CE100" s="422">
        <f t="shared" ref="CE100" si="838">CA100</f>
        <v>-15.1785714285714</v>
      </c>
      <c r="CF100" s="422">
        <v>-260.57142857142901</v>
      </c>
      <c r="CG100" s="422">
        <v>100</v>
      </c>
      <c r="CH100" s="422" t="str">
        <f t="shared" ref="CH100" si="839">CD100</f>
        <v>Grades</v>
      </c>
      <c r="CI100" s="422">
        <v>-15.1785714285714</v>
      </c>
      <c r="CJ100" s="422">
        <v>-133.03571428571399</v>
      </c>
      <c r="CK100" s="422">
        <v>100</v>
      </c>
      <c r="CL100" s="422" t="str">
        <f t="shared" ref="CL100" si="840">CH100</f>
        <v>Grades</v>
      </c>
      <c r="CM100" s="422">
        <v>-15.1785714285714</v>
      </c>
      <c r="CN100" s="422">
        <v>60</v>
      </c>
      <c r="CO100" s="422"/>
      <c r="CP100" s="422">
        <v>40</v>
      </c>
      <c r="CQ100" s="422">
        <v>21.060344827586299</v>
      </c>
      <c r="CR100" s="422">
        <v>100</v>
      </c>
      <c r="CS100" s="438" t="str">
        <f t="shared" ref="CS100" si="841">CL100</f>
        <v>Grades</v>
      </c>
      <c r="CT100" s="422">
        <v>-48.947368421052701</v>
      </c>
      <c r="CU100" s="422">
        <v>-295.78947368421098</v>
      </c>
      <c r="CV100" s="422">
        <v>100</v>
      </c>
      <c r="CW100" s="438" t="str">
        <f t="shared" ref="CW100" si="842">CS100</f>
        <v>Grades</v>
      </c>
      <c r="CX100" s="422">
        <v>-65.8333333333333</v>
      </c>
      <c r="CY100" s="422">
        <v>-271.07142857142901</v>
      </c>
      <c r="CZ100" s="422">
        <v>100</v>
      </c>
      <c r="DA100" s="438" t="str">
        <f t="shared" ref="DA100" si="843">CW100</f>
        <v>Grades</v>
      </c>
      <c r="DB100" s="422">
        <v>-240</v>
      </c>
      <c r="DC100" s="422">
        <v>-215.892857142857</v>
      </c>
      <c r="DD100" s="422">
        <v>100</v>
      </c>
      <c r="DE100" s="422" t="str">
        <f t="shared" ref="DE100" si="844">DA100</f>
        <v>Grades</v>
      </c>
      <c r="DF100" s="422">
        <v>40</v>
      </c>
      <c r="DG100" s="422">
        <v>-271.07142857142901</v>
      </c>
      <c r="DH100" s="422">
        <v>100</v>
      </c>
      <c r="DI100" s="422" t="str">
        <f t="shared" ref="DI100" si="845">DE100</f>
        <v>Grades</v>
      </c>
      <c r="DJ100" s="422">
        <v>-100</v>
      </c>
      <c r="DK100" s="422">
        <v>30.321428571428498</v>
      </c>
      <c r="DL100" s="422">
        <v>100</v>
      </c>
      <c r="DM100" s="422" t="str">
        <f t="shared" ref="DM100" si="846">DI100</f>
        <v>Grades</v>
      </c>
      <c r="DN100" s="422">
        <v>-100</v>
      </c>
      <c r="DO100" s="422">
        <v>-11.25</v>
      </c>
      <c r="DP100" s="422">
        <v>100</v>
      </c>
      <c r="DQ100" s="438" t="str">
        <f t="shared" ref="DQ100" si="847">DM100</f>
        <v>Grades</v>
      </c>
      <c r="DR100" s="422">
        <v>-380</v>
      </c>
      <c r="DS100" s="422">
        <v>-215.67857142857099</v>
      </c>
      <c r="DT100" s="422">
        <v>100</v>
      </c>
      <c r="DU100" s="438" t="str">
        <f t="shared" ref="DU100" si="848">DQ100</f>
        <v>Grades</v>
      </c>
      <c r="DV100" s="422">
        <v>-100</v>
      </c>
      <c r="DW100" s="422">
        <v>40.357142857142797</v>
      </c>
      <c r="DX100" s="422">
        <v>100</v>
      </c>
      <c r="DY100" s="438" t="str">
        <f t="shared" ref="DY100" si="849">DU100</f>
        <v>Grades</v>
      </c>
      <c r="DZ100" s="422">
        <v>40</v>
      </c>
      <c r="EA100" s="422">
        <v>-29.250000000000099</v>
      </c>
      <c r="EB100" s="422">
        <v>100</v>
      </c>
      <c r="EC100" s="438" t="str">
        <f t="shared" ref="EC100" si="850">DY100</f>
        <v>Grades</v>
      </c>
      <c r="ED100" s="422">
        <f t="shared" si="643"/>
        <v>1600</v>
      </c>
      <c r="EE100" s="422">
        <f t="shared" si="650"/>
        <v>100</v>
      </c>
      <c r="EF100" s="438" t="str">
        <f t="shared" si="651"/>
        <v>A1</v>
      </c>
      <c r="EG100" s="422" t="str">
        <f t="shared" si="652"/>
        <v>DISTINTION</v>
      </c>
      <c r="EH100" s="439">
        <v>1</v>
      </c>
      <c r="EI100" s="422">
        <f t="shared" si="653"/>
        <v>1600</v>
      </c>
      <c r="EJ100" s="440">
        <f t="shared" si="654"/>
        <v>1</v>
      </c>
      <c r="EK100" s="438" t="s">
        <v>573</v>
      </c>
      <c r="EL100" s="438" t="s">
        <v>762</v>
      </c>
    </row>
    <row r="101" spans="1:142" ht="30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6"/>
      <c r="V101" s="376"/>
      <c r="W101" s="376"/>
      <c r="X101" s="376"/>
      <c r="Y101" s="690"/>
      <c r="Z101" s="840"/>
      <c r="AA101" s="420">
        <f t="shared" si="583"/>
        <v>100</v>
      </c>
      <c r="AB101" s="435" t="s">
        <v>58</v>
      </c>
      <c r="AC101" s="422" t="s">
        <v>394</v>
      </c>
      <c r="AD101" s="422" t="s">
        <v>326</v>
      </c>
      <c r="AE101" s="422">
        <v>27.714285714285701</v>
      </c>
      <c r="AF101" s="422">
        <f>'SSS1 ATTENDANCE '!FJ107</f>
        <v>128</v>
      </c>
      <c r="AG101" s="422">
        <f>'SSS1 ATTENDANCE '!FH107</f>
        <v>0</v>
      </c>
      <c r="AH101" s="422">
        <f>'SSS1 ATTENDANCE '!FI107</f>
        <v>128</v>
      </c>
      <c r="AI101" s="436" t="s">
        <v>673</v>
      </c>
      <c r="AJ101" s="437">
        <v>40844</v>
      </c>
      <c r="AK101" s="435" t="s">
        <v>396</v>
      </c>
      <c r="AL101" s="424">
        <v>25</v>
      </c>
      <c r="AM101" s="422">
        <v>77.714285714285694</v>
      </c>
      <c r="AN101" s="438">
        <v>4</v>
      </c>
      <c r="AO101" s="422" t="str">
        <f t="shared" si="644"/>
        <v>3</v>
      </c>
      <c r="AP101" s="438">
        <v>5</v>
      </c>
      <c r="AQ101" s="422">
        <v>4</v>
      </c>
      <c r="AR101" s="438">
        <v>4</v>
      </c>
      <c r="AS101" s="438">
        <v>4</v>
      </c>
      <c r="AT101" s="438">
        <v>4</v>
      </c>
      <c r="AU101" s="438">
        <v>3</v>
      </c>
      <c r="AV101" s="438">
        <v>4</v>
      </c>
      <c r="AW101" s="438">
        <v>4</v>
      </c>
      <c r="AX101" s="438">
        <v>3</v>
      </c>
      <c r="AY101" s="438">
        <v>4</v>
      </c>
      <c r="AZ101" s="438">
        <v>3</v>
      </c>
      <c r="BA101" s="438">
        <v>3</v>
      </c>
      <c r="BB101" s="438">
        <v>3</v>
      </c>
      <c r="BC101" s="438">
        <v>4</v>
      </c>
      <c r="BD101" s="438">
        <v>4</v>
      </c>
      <c r="BE101" s="438">
        <v>4</v>
      </c>
      <c r="BF101" s="438">
        <v>3</v>
      </c>
      <c r="BG101" s="438">
        <v>3</v>
      </c>
      <c r="BH101" s="438">
        <v>3</v>
      </c>
      <c r="BI101" s="438">
        <v>5</v>
      </c>
      <c r="BJ101" s="438">
        <v>4</v>
      </c>
      <c r="BK101" s="438">
        <v>3</v>
      </c>
      <c r="BL101" s="438">
        <v>5</v>
      </c>
      <c r="BM101" s="438">
        <v>3</v>
      </c>
      <c r="BN101" s="422" t="s">
        <v>499</v>
      </c>
      <c r="BO101" s="438">
        <v>-15.714285714285699</v>
      </c>
      <c r="BP101" s="438">
        <v>-368.42857142857099</v>
      </c>
      <c r="BQ101" s="422">
        <f t="shared" ref="BQ101:BQ106" si="851">SUM(BO101:BP101)</f>
        <v>-384.14285714285671</v>
      </c>
      <c r="BR101" s="438" t="str">
        <f t="shared" ref="BR101:BR106" si="852">IF(BQ101&gt;=80,"A1",
IF(BQ101&gt;=75,"A",
IF(BQ101&gt;=70,"B2",
IF(BQ101&gt;=65,"B3",
IF(BQ101&gt;=60,"C4",
IF(BQ101&gt;=55,"C5",
IF(BQ101&gt;=50,"C6",
IF(BQ101&gt;=45,"D7",
IF(BQ101&gt;=40,"E8",
IF(BQ101&gt;=1,"F9",""))))))))))</f>
        <v/>
      </c>
      <c r="BS101" s="422">
        <v>-15.714285714285699</v>
      </c>
      <c r="BT101" s="438">
        <v>-270.28571428571399</v>
      </c>
      <c r="BU101" s="422">
        <f t="shared" ref="BU101:BU106" si="853">SUM(BS101:BT101)</f>
        <v>-285.99999999999972</v>
      </c>
      <c r="BV101" s="438" t="str">
        <f t="shared" ref="BV101:BV106" si="854">IF(BU101&gt;=80,"A1",
IF(BU101&gt;=75,"A",
IF(BU101&gt;=70,"B2",
IF(BU101&gt;=65,"B3",
IF(BU101&gt;=60,"C4",
IF(BU101&gt;=55,"C5",
IF(BU101&gt;=50,"C6",
IF(BU101&gt;=45,"D7",
IF(BU101&gt;=40,"E8",
IF(BU101&gt;=1,"F9",""))))))))))</f>
        <v/>
      </c>
      <c r="BW101" s="422">
        <v>-15.714285714285699</v>
      </c>
      <c r="BX101" s="422">
        <v>-261.28571428571399</v>
      </c>
      <c r="BY101" s="422">
        <f t="shared" ref="BY101:BY106" si="855">SUM(BW101:BX101)</f>
        <v>-276.99999999999972</v>
      </c>
      <c r="BZ101" s="438" t="str">
        <f t="shared" ref="BZ101:BZ106" si="856">IF(BY101&gt;=80,"A1",
IF(BY101&gt;=75,"A",
IF(BY101&gt;=70,"B2",
IF(BY101&gt;=65,"B3",
IF(BY101&gt;=60,"C4",
IF(BY101&gt;=55,"C5",
IF(BY101&gt;=50,"C6",
IF(BY101&gt;=45,"D7",
IF(BY101&gt;=40,"E8",
IF(BY101&gt;=1,"F9",""))))))))))</f>
        <v/>
      </c>
      <c r="CA101" s="422">
        <v>-15.714285714285699</v>
      </c>
      <c r="CB101" s="422">
        <v>-274.28571428571502</v>
      </c>
      <c r="CC101" s="422">
        <f t="shared" ref="CC101:CC106" si="857">SUM(CA101:CB101)</f>
        <v>-290.00000000000074</v>
      </c>
      <c r="CD101" s="438" t="str">
        <f t="shared" ref="CD101:CD106" si="858">IF(CC101&gt;=80,"A1",
IF(CC101&gt;=75,"A",
IF(CC101&gt;=70,"B2",
IF(CC101&gt;=65,"B3",
IF(CC101&gt;=60,"C4",
IF(CC101&gt;=55,"C5",
IF(CC101&gt;=50,"C6",
IF(CC101&gt;=45,"D7",
IF(CC101&gt;=40,"E8",
IF(CC101&gt;=1,"F9",""))))))))))</f>
        <v/>
      </c>
      <c r="CE101" s="422">
        <v>35</v>
      </c>
      <c r="CF101" s="422">
        <v>-263.71428571428601</v>
      </c>
      <c r="CG101" s="422">
        <f t="shared" ref="CG101:CG106" si="859">SUM(CE101:CF101)</f>
        <v>-228.71428571428601</v>
      </c>
      <c r="CH101" s="438" t="str">
        <f t="shared" ref="CH101:CH106" si="860">IF(CG101&gt;=80,"A1",
IF(CG101&gt;=75,"A",
IF(CG101&gt;=70,"B2",
IF(CG101&gt;=65,"B3",
IF(CG101&gt;=60,"C4",
IF(CG101&gt;=55,"C5",
IF(CG101&gt;=50,"C6",
IF(CG101&gt;=45,"D7",
IF(CG101&gt;=40,"E8",
IF(CG101&gt;=1,"F9",""))))))))))</f>
        <v/>
      </c>
      <c r="CI101" s="422">
        <v>-15.714285714285699</v>
      </c>
      <c r="CJ101" s="422">
        <v>-134.857142857143</v>
      </c>
      <c r="CK101" s="422">
        <f t="shared" ref="CK101:CK106" si="861">SUM(CI101:CJ101)</f>
        <v>-150.5714285714287</v>
      </c>
      <c r="CL101" s="438" t="str">
        <f t="shared" ref="CL101:CL106" si="862">IF(CK101&gt;=80,"A1",
IF(CK101&gt;=75,"A",
IF(CK101&gt;=70,"B2",
IF(CK101&gt;=65,"B3",
IF(CK101&gt;=60,"C4",
IF(CK101&gt;=55,"C5",
IF(CK101&gt;=50,"C6",
IF(CK101&gt;=45,"D7",
IF(CK101&gt;=40,"E8",
IF(CK101&gt;=1,"F9",""))))))))))</f>
        <v/>
      </c>
      <c r="CM101" s="422">
        <v>-15.714285714285699</v>
      </c>
      <c r="CN101" s="422"/>
      <c r="CO101" s="422"/>
      <c r="CP101" s="422">
        <f t="shared" ref="CP101:CP102" si="863">CM101</f>
        <v>-15.714285714285699</v>
      </c>
      <c r="CQ101" s="422">
        <v>20.775862068965601</v>
      </c>
      <c r="CR101" s="422">
        <f t="shared" ref="CR101:CR106" si="864">SUM(CP101:CQ101)</f>
        <v>5.061576354679902</v>
      </c>
      <c r="CS101" s="438" t="str">
        <f t="shared" ref="CS101:CS106" si="865">IF(CR101&gt;=80,"A1",
IF(CR101&gt;=75,"A",
IF(CR101&gt;=70,"B2",
IF(CR101&gt;=65,"B3",
IF(CR101&gt;=60,"C4",
IF(CR101&gt;=55,"C5",
IF(CR101&gt;=50,"C6",
IF(CR101&gt;=45,"D7",
IF(CR101&gt;=40,"E8",
IF(CR101&gt;=1,"F9",""))))))))))</f>
        <v>F9</v>
      </c>
      <c r="CT101" s="422">
        <v>-50.000000000000099</v>
      </c>
      <c r="CU101" s="422">
        <v>-300</v>
      </c>
      <c r="CV101" s="422">
        <f t="shared" ref="CV101:CV106" si="866">SUM(CT101:CU101)</f>
        <v>-350.00000000000011</v>
      </c>
      <c r="CW101" s="438" t="str">
        <f t="shared" ref="CW101:CW106" si="867">IF(CV101&gt;=80,"A1",
IF(CV101&gt;=75,"A",
IF(CV101&gt;=70,"B2",
IF(CV101&gt;=65,"B3",
IF(CV101&gt;=60,"C4",
IF(CV101&gt;=55,"C5",
IF(CV101&gt;=50,"C6",
IF(CV101&gt;=45,"D7",
IF(CV101&gt;=40,"E8",
IF(CV101&gt;=1,"F9",""))))))))))</f>
        <v/>
      </c>
      <c r="CX101" s="422">
        <v>-68.3333333333333</v>
      </c>
      <c r="CY101" s="422">
        <v>-274.28571428571502</v>
      </c>
      <c r="CZ101" s="422">
        <f t="shared" ref="CZ101:CZ106" si="868">SUM(CX101:CY101)</f>
        <v>-342.61904761904833</v>
      </c>
      <c r="DA101" s="438" t="str">
        <f t="shared" ref="DA101:DA106" si="869">IF(CZ101&gt;=80,"A1",
IF(CZ101&gt;=75,"A",
IF(CZ101&gt;=70,"B2",
IF(CZ101&gt;=65,"B3",
IF(CZ101&gt;=60,"C4",
IF(CZ101&gt;=55,"C5",
IF(CZ101&gt;=50,"C6",
IF(CZ101&gt;=45,"D7",
IF(CZ101&gt;=40,"E8",
IF(CZ101&gt;=1,"F9",""))))))))))</f>
        <v/>
      </c>
      <c r="DB101" s="422">
        <v>-250</v>
      </c>
      <c r="DC101" s="422">
        <v>-218.57142857142901</v>
      </c>
      <c r="DD101" s="422">
        <f t="shared" ref="DD101:DD106" si="870">SUM(DB101:DC101)</f>
        <v>-468.57142857142901</v>
      </c>
      <c r="DE101" s="422" t="str">
        <f t="shared" ref="DE101:DE106" si="871">IF(DD101&gt;=80,"A1",
IF(DD101&gt;=75,"A",
IF(DD101&gt;=70,"B2",
IF(DD101&gt;=65,"B3",
IF(DD101&gt;=60,"C4",
IF(DD101&gt;=55,"C5",
IF(DD101&gt;=50,"C6",
IF(DD101&gt;=45,"D7",
IF(DD101&gt;=40,"E8",
IF(DD101&gt;=1,"F9",""))))))))))</f>
        <v/>
      </c>
      <c r="DF101" s="422">
        <f t="shared" ref="DF101:DF106" si="872">DB101</f>
        <v>-250</v>
      </c>
      <c r="DG101" s="422">
        <v>-274.28571428571502</v>
      </c>
      <c r="DH101" s="422">
        <f t="shared" ref="DH101:DH106" si="873">SUM(DF101:DG101)</f>
        <v>-524.28571428571502</v>
      </c>
      <c r="DI101" s="422" t="str">
        <f t="shared" ref="DI101:DI106" si="874">IF(DH101&gt;=80,"A1",
IF(DH101&gt;=75,"A",
IF(DH101&gt;=70,"B2",
IF(DH101&gt;=65,"B3",
IF(DH101&gt;=60,"C4",
IF(DH101&gt;=55,"C5",
IF(DH101&gt;=50,"C6",
IF(DH101&gt;=45,"D7",
IF(DH101&gt;=40,"E8",
IF(DH101&gt;=1,"F9",""))))))))))</f>
        <v/>
      </c>
      <c r="DJ101" s="422">
        <v>-105</v>
      </c>
      <c r="DK101" s="422">
        <v>30.1428571428571</v>
      </c>
      <c r="DL101" s="422">
        <f t="shared" ref="DL101:DL106" si="875">SUM(DJ101:DK101)</f>
        <v>-74.857142857142904</v>
      </c>
      <c r="DM101" s="422" t="str">
        <f t="shared" ref="DM101:DM106" si="876">IF(DL101&gt;=80,"A1",
IF(DL101&gt;=75,"A",
IF(DL101&gt;=70,"B2",
IF(DL101&gt;=65,"B3",
IF(DL101&gt;=60,"C4",
IF(DL101&gt;=55,"C5",
IF(DL101&gt;=50,"C6",
IF(DL101&gt;=45,"D7",
IF(DL101&gt;=40,"E8",
IF(DL101&gt;=1,"F9",""))))))))))</f>
        <v/>
      </c>
      <c r="DN101" s="422">
        <v>-105</v>
      </c>
      <c r="DO101" s="422">
        <v>-11.8571428571429</v>
      </c>
      <c r="DP101" s="422">
        <f t="shared" ref="DP101:DP106" si="877">SUM(DN101:DO101)</f>
        <v>-116.8571428571429</v>
      </c>
      <c r="DQ101" s="438" t="str">
        <f t="shared" ref="DQ101:DQ106" si="878">IF(DP101&gt;=80,"A1",
IF(DP101&gt;=75,"A",
IF(DP101&gt;=70,"B2",
IF(DP101&gt;=65,"B3",
IF(DP101&gt;=60,"C4",
IF(DP101&gt;=55,"C5",
IF(DP101&gt;=50,"C6",
IF(DP101&gt;=45,"D7",
IF(DP101&gt;=40,"E8",
IF(DP101&gt;=1,"F9",""))))))))))</f>
        <v/>
      </c>
      <c r="DR101" s="422">
        <v>-395</v>
      </c>
      <c r="DS101" s="422">
        <v>-218.28571428571399</v>
      </c>
      <c r="DT101" s="422">
        <f t="shared" ref="DT101:DT106" si="879">SUM(DR101:DS101)</f>
        <v>-613.28571428571399</v>
      </c>
      <c r="DU101" s="438" t="str">
        <f t="shared" ref="DU101:DU106" si="880">IF(DT101&gt;=80,"A1",
IF(DT101&gt;=75,"A",
IF(DT101&gt;=70,"B2",
IF(DT101&gt;=65,"B3",
IF(DT101&gt;=60,"C4",
IF(DT101&gt;=55,"C5",
IF(DT101&gt;=50,"C6",
IF(DT101&gt;=45,"D7",
IF(DT101&gt;=40,"E8",
IF(DT101&gt;=1,"F9",""))))))))))</f>
        <v/>
      </c>
      <c r="DV101" s="422">
        <v>-105</v>
      </c>
      <c r="DW101" s="422">
        <v>40.285714285714199</v>
      </c>
      <c r="DX101" s="422">
        <f t="shared" ref="DX101:DX106" si="881">SUM(DV101:DW101)</f>
        <v>-64.714285714285808</v>
      </c>
      <c r="DY101" s="438" t="str">
        <f t="shared" ref="DY101:DY106" si="882">IF(DX101&gt;=80,"A1",
IF(DX101&gt;=75,"A",
IF(DX101&gt;=70,"B2",
IF(DX101&gt;=65,"B3",
IF(DX101&gt;=60,"C4",
IF(DX101&gt;=55,"C5",
IF(DX101&gt;=50,"C6",
IF(DX101&gt;=45,"D7",
IF(DX101&gt;=40,"E8",
IF(DX101&gt;=1,"F9",""))))))))))</f>
        <v/>
      </c>
      <c r="DZ101" s="422">
        <f t="shared" ref="DZ101:DZ106" si="883">DV101</f>
        <v>-105</v>
      </c>
      <c r="EA101" s="422">
        <v>-30.000000000000099</v>
      </c>
      <c r="EB101" s="422">
        <f t="shared" ref="EB101:EB106" si="884">SUM(DZ101:EA101)</f>
        <v>-135.00000000000011</v>
      </c>
      <c r="EC101" s="438" t="str">
        <f t="shared" ref="EC101:EC106" si="885">IF(EB101&gt;=80,"A1",
IF(EB101&gt;=75,"A",
IF(EB101&gt;=70,"B2",
IF(EB101&gt;=65,"B3",
IF(EB101&gt;=60,"C4",
IF(EB101&gt;=55,"C5",
IF(EB101&gt;=50,"C6",
IF(EB101&gt;=45,"D7",
IF(EB101&gt;=40,"E8",
IF(EB101&gt;=1,"F9",""))))))))))</f>
        <v/>
      </c>
      <c r="ED101" s="422">
        <f t="shared" si="643"/>
        <v>-4301.5574712643702</v>
      </c>
      <c r="EE101" s="422">
        <f t="shared" si="650"/>
        <v>-268.84734195402314</v>
      </c>
      <c r="EF101" s="438" t="str">
        <f t="shared" si="651"/>
        <v/>
      </c>
      <c r="EG101" s="422" t="str">
        <f t="shared" si="652"/>
        <v/>
      </c>
      <c r="EH101" s="439">
        <v>1</v>
      </c>
      <c r="EI101" s="422">
        <f t="shared" si="653"/>
        <v>-4301.5574712643702</v>
      </c>
      <c r="EJ101" s="440">
        <f t="shared" si="654"/>
        <v>-2.6884734195402316</v>
      </c>
      <c r="EK101" s="438" t="s">
        <v>573</v>
      </c>
      <c r="EL101" s="438" t="s">
        <v>762</v>
      </c>
    </row>
    <row r="102" spans="1:142" ht="30">
      <c r="A102" s="376"/>
      <c r="B102" s="376"/>
      <c r="C102" s="376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76"/>
      <c r="Y102" s="690"/>
      <c r="Z102" s="840"/>
      <c r="AA102" s="420">
        <f t="shared" si="583"/>
        <v>101</v>
      </c>
      <c r="AB102" s="435" t="s">
        <v>59</v>
      </c>
      <c r="AC102" s="422" t="s">
        <v>394</v>
      </c>
      <c r="AD102" s="422" t="s">
        <v>326</v>
      </c>
      <c r="AE102" s="422">
        <v>27.8571428571429</v>
      </c>
      <c r="AF102" s="422">
        <f>'SSS1 ATTENDANCE '!FJ108</f>
        <v>128</v>
      </c>
      <c r="AG102" s="422">
        <f>'SSS1 ATTENDANCE '!FH108</f>
        <v>0</v>
      </c>
      <c r="AH102" s="422">
        <f>'SSS1 ATTENDANCE '!FI108</f>
        <v>128</v>
      </c>
      <c r="AI102" s="436" t="s">
        <v>674</v>
      </c>
      <c r="AJ102" s="437">
        <v>40754</v>
      </c>
      <c r="AK102" s="435" t="s">
        <v>396</v>
      </c>
      <c r="AL102" s="424">
        <v>25</v>
      </c>
      <c r="AM102" s="422">
        <v>78.25</v>
      </c>
      <c r="AN102" s="438">
        <v>4</v>
      </c>
      <c r="AO102" s="422" t="str">
        <f t="shared" si="644"/>
        <v>3</v>
      </c>
      <c r="AP102" s="438">
        <v>5</v>
      </c>
      <c r="AQ102" s="422">
        <v>4</v>
      </c>
      <c r="AR102" s="438">
        <v>4</v>
      </c>
      <c r="AS102" s="438">
        <v>4</v>
      </c>
      <c r="AT102" s="438">
        <v>4</v>
      </c>
      <c r="AU102" s="438">
        <v>3</v>
      </c>
      <c r="AV102" s="438">
        <v>4</v>
      </c>
      <c r="AW102" s="438">
        <v>4</v>
      </c>
      <c r="AX102" s="438">
        <v>3</v>
      </c>
      <c r="AY102" s="438">
        <v>4</v>
      </c>
      <c r="AZ102" s="438">
        <v>3</v>
      </c>
      <c r="BA102" s="438">
        <v>3</v>
      </c>
      <c r="BB102" s="438">
        <v>3</v>
      </c>
      <c r="BC102" s="438">
        <v>4</v>
      </c>
      <c r="BD102" s="438">
        <v>4</v>
      </c>
      <c r="BE102" s="438">
        <v>4</v>
      </c>
      <c r="BF102" s="438">
        <v>3</v>
      </c>
      <c r="BG102" s="438">
        <v>3</v>
      </c>
      <c r="BH102" s="438">
        <v>3</v>
      </c>
      <c r="BI102" s="438">
        <v>5</v>
      </c>
      <c r="BJ102" s="438">
        <v>4</v>
      </c>
      <c r="BK102" s="438">
        <v>3</v>
      </c>
      <c r="BL102" s="438">
        <v>5</v>
      </c>
      <c r="BM102" s="438">
        <v>3</v>
      </c>
      <c r="BN102" s="422" t="s">
        <v>500</v>
      </c>
      <c r="BO102" s="438">
        <v>-16.25</v>
      </c>
      <c r="BP102" s="438">
        <v>-372.607142857143</v>
      </c>
      <c r="BQ102" s="422">
        <f t="shared" si="851"/>
        <v>-388.857142857143</v>
      </c>
      <c r="BR102" s="438" t="str">
        <f t="shared" si="852"/>
        <v/>
      </c>
      <c r="BS102" s="422">
        <v>-16.25</v>
      </c>
      <c r="BT102" s="438">
        <v>-273.53571428571399</v>
      </c>
      <c r="BU102" s="422">
        <f t="shared" si="853"/>
        <v>-289.78571428571399</v>
      </c>
      <c r="BV102" s="438" t="str">
        <f t="shared" si="854"/>
        <v/>
      </c>
      <c r="BW102" s="422">
        <v>-16.25</v>
      </c>
      <c r="BX102" s="422">
        <v>-264.392857142857</v>
      </c>
      <c r="BY102" s="422">
        <f t="shared" si="855"/>
        <v>-280.642857142857</v>
      </c>
      <c r="BZ102" s="438" t="str">
        <f t="shared" si="856"/>
        <v/>
      </c>
      <c r="CA102" s="422">
        <v>-16.25</v>
      </c>
      <c r="CB102" s="422">
        <v>-277.50000000000102</v>
      </c>
      <c r="CC102" s="422">
        <f t="shared" si="857"/>
        <v>-293.75000000000102</v>
      </c>
      <c r="CD102" s="438" t="str">
        <f t="shared" si="858"/>
        <v/>
      </c>
      <c r="CE102" s="422">
        <v>35</v>
      </c>
      <c r="CF102" s="422">
        <v>-266.857142857143</v>
      </c>
      <c r="CG102" s="422">
        <f t="shared" si="859"/>
        <v>-231.857142857143</v>
      </c>
      <c r="CH102" s="438" t="str">
        <f t="shared" si="860"/>
        <v/>
      </c>
      <c r="CI102" s="422">
        <v>-16.25</v>
      </c>
      <c r="CJ102" s="422">
        <v>-136.67857142857099</v>
      </c>
      <c r="CK102" s="422">
        <f t="shared" si="861"/>
        <v>-152.92857142857099</v>
      </c>
      <c r="CL102" s="438" t="str">
        <f t="shared" si="862"/>
        <v/>
      </c>
      <c r="CM102" s="422">
        <v>-16.25</v>
      </c>
      <c r="CN102" s="422"/>
      <c r="CO102" s="422"/>
      <c r="CP102" s="422">
        <f t="shared" si="863"/>
        <v>-16.25</v>
      </c>
      <c r="CQ102" s="422">
        <v>20.4913793103449</v>
      </c>
      <c r="CR102" s="422">
        <f t="shared" si="864"/>
        <v>4.2413793103449002</v>
      </c>
      <c r="CS102" s="438" t="str">
        <f t="shared" si="865"/>
        <v>F9</v>
      </c>
      <c r="CT102" s="422">
        <v>-51.052631578947398</v>
      </c>
      <c r="CU102" s="422">
        <v>-304.21052631578999</v>
      </c>
      <c r="CV102" s="422">
        <f t="shared" si="866"/>
        <v>-355.26315789473739</v>
      </c>
      <c r="CW102" s="438" t="str">
        <f t="shared" si="867"/>
        <v/>
      </c>
      <c r="CX102" s="422">
        <v>-70.8333333333333</v>
      </c>
      <c r="CY102" s="422">
        <v>-277.50000000000102</v>
      </c>
      <c r="CZ102" s="422">
        <f t="shared" si="868"/>
        <v>-348.33333333333434</v>
      </c>
      <c r="DA102" s="438" t="str">
        <f t="shared" si="869"/>
        <v/>
      </c>
      <c r="DB102" s="422">
        <f t="shared" ref="DB102:DB106" si="886">CX102</f>
        <v>-70.8333333333333</v>
      </c>
      <c r="DC102" s="422">
        <v>-221.25</v>
      </c>
      <c r="DD102" s="422">
        <f t="shared" si="870"/>
        <v>-292.08333333333331</v>
      </c>
      <c r="DE102" s="422" t="str">
        <f t="shared" si="871"/>
        <v/>
      </c>
      <c r="DF102" s="422">
        <f t="shared" si="872"/>
        <v>-70.8333333333333</v>
      </c>
      <c r="DG102" s="422">
        <v>-277.50000000000102</v>
      </c>
      <c r="DH102" s="422">
        <f t="shared" si="873"/>
        <v>-348.33333333333434</v>
      </c>
      <c r="DI102" s="422" t="str">
        <f t="shared" si="874"/>
        <v/>
      </c>
      <c r="DJ102" s="422">
        <f t="shared" ref="DJ102:DJ106" si="887">DF102</f>
        <v>-70.8333333333333</v>
      </c>
      <c r="DK102" s="422">
        <v>29.964285714285701</v>
      </c>
      <c r="DL102" s="422">
        <f t="shared" si="875"/>
        <v>-40.869047619047599</v>
      </c>
      <c r="DM102" s="422" t="str">
        <f t="shared" si="876"/>
        <v/>
      </c>
      <c r="DN102" s="422">
        <f t="shared" ref="DN102:DN106" si="888">DJ102</f>
        <v>-70.8333333333333</v>
      </c>
      <c r="DO102" s="422">
        <v>-12.464285714285699</v>
      </c>
      <c r="DP102" s="422">
        <f t="shared" si="877"/>
        <v>-83.297619047618994</v>
      </c>
      <c r="DQ102" s="438" t="str">
        <f t="shared" si="878"/>
        <v/>
      </c>
      <c r="DR102" s="422">
        <f t="shared" ref="DR102:DR106" si="889">DN102</f>
        <v>-70.8333333333333</v>
      </c>
      <c r="DS102" s="422">
        <v>-220.892857142857</v>
      </c>
      <c r="DT102" s="422">
        <f t="shared" si="879"/>
        <v>-291.72619047619031</v>
      </c>
      <c r="DU102" s="438" t="str">
        <f t="shared" si="880"/>
        <v/>
      </c>
      <c r="DV102" s="422">
        <f t="shared" ref="DV102:DV106" si="890">DR102</f>
        <v>-70.8333333333333</v>
      </c>
      <c r="DW102" s="422">
        <v>40.214285714285701</v>
      </c>
      <c r="DX102" s="422">
        <f t="shared" si="881"/>
        <v>-30.619047619047599</v>
      </c>
      <c r="DY102" s="438" t="str">
        <f t="shared" si="882"/>
        <v/>
      </c>
      <c r="DZ102" s="422">
        <f t="shared" si="883"/>
        <v>-70.8333333333333</v>
      </c>
      <c r="EA102" s="422">
        <v>-30.750000000000099</v>
      </c>
      <c r="EB102" s="422">
        <f t="shared" si="884"/>
        <v>-101.5833333333334</v>
      </c>
      <c r="EC102" s="438" t="str">
        <f t="shared" si="885"/>
        <v/>
      </c>
      <c r="ED102" s="422">
        <f t="shared" si="643"/>
        <v>-3525.6884452510621</v>
      </c>
      <c r="EE102" s="422">
        <f t="shared" si="650"/>
        <v>-220.35552782819138</v>
      </c>
      <c r="EF102" s="438" t="str">
        <f t="shared" si="651"/>
        <v/>
      </c>
      <c r="EG102" s="422" t="str">
        <f t="shared" si="652"/>
        <v/>
      </c>
      <c r="EH102" s="439">
        <v>1</v>
      </c>
      <c r="EI102" s="422">
        <f t="shared" si="653"/>
        <v>-3525.6884452510621</v>
      </c>
      <c r="EJ102" s="440">
        <f t="shared" si="654"/>
        <v>-2.2035552782819137</v>
      </c>
      <c r="EK102" s="438" t="s">
        <v>573</v>
      </c>
      <c r="EL102" s="438" t="s">
        <v>762</v>
      </c>
    </row>
    <row r="103" spans="1:142" ht="30">
      <c r="A103" s="376"/>
      <c r="B103" s="376"/>
      <c r="C103" s="376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6"/>
      <c r="V103" s="376"/>
      <c r="W103" s="376"/>
      <c r="X103" s="376"/>
      <c r="Y103" s="690"/>
      <c r="Z103" s="840"/>
      <c r="AA103" s="420">
        <f t="shared" si="583"/>
        <v>102</v>
      </c>
      <c r="AB103" s="435" t="s">
        <v>60</v>
      </c>
      <c r="AC103" s="422" t="s">
        <v>394</v>
      </c>
      <c r="AD103" s="422" t="s">
        <v>326</v>
      </c>
      <c r="AE103" s="422">
        <v>28</v>
      </c>
      <c r="AF103" s="422">
        <f>'SSS1 ATTENDANCE '!FJ109</f>
        <v>128</v>
      </c>
      <c r="AG103" s="422">
        <f>'SSS1 ATTENDANCE '!FH109</f>
        <v>0</v>
      </c>
      <c r="AH103" s="422">
        <f>'SSS1 ATTENDANCE '!FI109</f>
        <v>128</v>
      </c>
      <c r="AI103" s="436" t="s">
        <v>675</v>
      </c>
      <c r="AJ103" s="437">
        <v>40900</v>
      </c>
      <c r="AK103" s="435" t="s">
        <v>396</v>
      </c>
      <c r="AL103" s="424">
        <v>25</v>
      </c>
      <c r="AM103" s="422">
        <v>78.785714285714306</v>
      </c>
      <c r="AN103" s="438">
        <v>4</v>
      </c>
      <c r="AO103" s="422" t="str">
        <f t="shared" si="644"/>
        <v>3</v>
      </c>
      <c r="AP103" s="438">
        <v>5</v>
      </c>
      <c r="AQ103" s="422">
        <v>4</v>
      </c>
      <c r="AR103" s="438">
        <v>4</v>
      </c>
      <c r="AS103" s="438">
        <v>4</v>
      </c>
      <c r="AT103" s="438">
        <v>4</v>
      </c>
      <c r="AU103" s="438">
        <v>3</v>
      </c>
      <c r="AV103" s="438">
        <v>4</v>
      </c>
      <c r="AW103" s="438">
        <v>4</v>
      </c>
      <c r="AX103" s="438">
        <v>3</v>
      </c>
      <c r="AY103" s="438">
        <v>4</v>
      </c>
      <c r="AZ103" s="438">
        <v>3</v>
      </c>
      <c r="BA103" s="438">
        <v>3</v>
      </c>
      <c r="BB103" s="438">
        <v>3</v>
      </c>
      <c r="BC103" s="438">
        <v>4</v>
      </c>
      <c r="BD103" s="438">
        <v>4</v>
      </c>
      <c r="BE103" s="438">
        <v>4</v>
      </c>
      <c r="BF103" s="438">
        <v>3</v>
      </c>
      <c r="BG103" s="438">
        <v>3</v>
      </c>
      <c r="BH103" s="438">
        <v>3</v>
      </c>
      <c r="BI103" s="438">
        <v>5</v>
      </c>
      <c r="BJ103" s="438">
        <v>4</v>
      </c>
      <c r="BK103" s="438">
        <v>3</v>
      </c>
      <c r="BL103" s="438">
        <v>5</v>
      </c>
      <c r="BM103" s="438">
        <v>3</v>
      </c>
      <c r="BN103" s="422" t="s">
        <v>501</v>
      </c>
      <c r="BO103" s="438">
        <v>-16.785714285714299</v>
      </c>
      <c r="BP103" s="438">
        <v>-376.78571428571399</v>
      </c>
      <c r="BQ103" s="422">
        <f t="shared" si="851"/>
        <v>-393.57142857142827</v>
      </c>
      <c r="BR103" s="438" t="str">
        <f t="shared" si="852"/>
        <v/>
      </c>
      <c r="BS103" s="422">
        <v>-16.785714285714299</v>
      </c>
      <c r="BT103" s="438">
        <v>-276.78571428571399</v>
      </c>
      <c r="BU103" s="422">
        <f t="shared" si="853"/>
        <v>-293.57142857142827</v>
      </c>
      <c r="BV103" s="438" t="str">
        <f t="shared" si="854"/>
        <v/>
      </c>
      <c r="BW103" s="422">
        <v>-16.785714285714299</v>
      </c>
      <c r="BX103" s="422">
        <v>-267.49999999999898</v>
      </c>
      <c r="BY103" s="422">
        <f t="shared" si="855"/>
        <v>-284.28571428571325</v>
      </c>
      <c r="BZ103" s="438" t="str">
        <f t="shared" si="856"/>
        <v/>
      </c>
      <c r="CA103" s="422">
        <v>-16.785714285714299</v>
      </c>
      <c r="CB103" s="422">
        <v>-280.71428571428601</v>
      </c>
      <c r="CC103" s="422">
        <f t="shared" si="857"/>
        <v>-297.50000000000028</v>
      </c>
      <c r="CD103" s="438" t="str">
        <f t="shared" si="858"/>
        <v/>
      </c>
      <c r="CE103" s="422">
        <v>35</v>
      </c>
      <c r="CF103" s="422">
        <v>-270</v>
      </c>
      <c r="CG103" s="422">
        <f t="shared" si="859"/>
        <v>-235</v>
      </c>
      <c r="CH103" s="438" t="str">
        <f t="shared" si="860"/>
        <v/>
      </c>
      <c r="CI103" s="422">
        <v>-16.785714285714299</v>
      </c>
      <c r="CJ103" s="422">
        <v>-138.5</v>
      </c>
      <c r="CK103" s="422">
        <f t="shared" si="861"/>
        <v>-155.28571428571431</v>
      </c>
      <c r="CL103" s="438" t="str">
        <f t="shared" si="862"/>
        <v/>
      </c>
      <c r="CM103" s="422">
        <v>-16.785714285714299</v>
      </c>
      <c r="CN103" s="422"/>
      <c r="CO103" s="422"/>
      <c r="CP103" s="422"/>
      <c r="CQ103" s="422">
        <v>20.206896551724199</v>
      </c>
      <c r="CR103" s="422">
        <f t="shared" si="864"/>
        <v>20.206896551724199</v>
      </c>
      <c r="CS103" s="438" t="str">
        <f t="shared" si="865"/>
        <v>F9</v>
      </c>
      <c r="CT103" s="422">
        <v>-52.105263157894797</v>
      </c>
      <c r="CU103" s="422">
        <v>-308.42105263157902</v>
      </c>
      <c r="CV103" s="422">
        <f t="shared" si="866"/>
        <v>-360.52631578947381</v>
      </c>
      <c r="CW103" s="438" t="str">
        <f t="shared" si="867"/>
        <v/>
      </c>
      <c r="CX103" s="422">
        <f t="shared" ref="CX103" si="891">CT103</f>
        <v>-52.105263157894797</v>
      </c>
      <c r="CY103" s="422">
        <v>-280.71428571428601</v>
      </c>
      <c r="CZ103" s="422">
        <f t="shared" si="868"/>
        <v>-332.8195488721808</v>
      </c>
      <c r="DA103" s="438" t="str">
        <f t="shared" si="869"/>
        <v/>
      </c>
      <c r="DB103" s="422">
        <f t="shared" si="886"/>
        <v>-52.105263157894797</v>
      </c>
      <c r="DC103" s="422">
        <v>-223.92857142857099</v>
      </c>
      <c r="DD103" s="422">
        <f t="shared" si="870"/>
        <v>-276.03383458646579</v>
      </c>
      <c r="DE103" s="422" t="str">
        <f t="shared" si="871"/>
        <v/>
      </c>
      <c r="DF103" s="422">
        <f t="shared" si="872"/>
        <v>-52.105263157894797</v>
      </c>
      <c r="DG103" s="422">
        <v>-280.71428571428601</v>
      </c>
      <c r="DH103" s="422">
        <f t="shared" si="873"/>
        <v>-332.8195488721808</v>
      </c>
      <c r="DI103" s="422" t="str">
        <f t="shared" si="874"/>
        <v/>
      </c>
      <c r="DJ103" s="422">
        <f t="shared" si="887"/>
        <v>-52.105263157894797</v>
      </c>
      <c r="DK103" s="422">
        <v>29.785714285714199</v>
      </c>
      <c r="DL103" s="422">
        <f t="shared" si="875"/>
        <v>-22.319548872180597</v>
      </c>
      <c r="DM103" s="422" t="str">
        <f t="shared" si="876"/>
        <v/>
      </c>
      <c r="DN103" s="422">
        <f t="shared" si="888"/>
        <v>-52.105263157894797</v>
      </c>
      <c r="DO103" s="422">
        <v>-13.0714285714286</v>
      </c>
      <c r="DP103" s="422">
        <f t="shared" si="877"/>
        <v>-65.176691729323394</v>
      </c>
      <c r="DQ103" s="438" t="str">
        <f t="shared" si="878"/>
        <v/>
      </c>
      <c r="DR103" s="422">
        <f t="shared" si="889"/>
        <v>-52.105263157894797</v>
      </c>
      <c r="DS103" s="422">
        <v>-223.5</v>
      </c>
      <c r="DT103" s="422">
        <f t="shared" si="879"/>
        <v>-275.6052631578948</v>
      </c>
      <c r="DU103" s="438" t="str">
        <f t="shared" si="880"/>
        <v/>
      </c>
      <c r="DV103" s="422">
        <f t="shared" si="890"/>
        <v>-52.105263157894797</v>
      </c>
      <c r="DW103" s="422">
        <v>40.142857142857103</v>
      </c>
      <c r="DX103" s="422">
        <f t="shared" si="881"/>
        <v>-11.962406015037693</v>
      </c>
      <c r="DY103" s="438" t="str">
        <f t="shared" si="882"/>
        <v/>
      </c>
      <c r="DZ103" s="422">
        <f t="shared" si="883"/>
        <v>-52.105263157894797</v>
      </c>
      <c r="EA103" s="422">
        <v>-31.500000000000099</v>
      </c>
      <c r="EB103" s="422">
        <f t="shared" si="884"/>
        <v>-83.605263157894896</v>
      </c>
      <c r="EC103" s="438" t="str">
        <f t="shared" si="885"/>
        <v/>
      </c>
      <c r="ED103" s="422">
        <f t="shared" si="643"/>
        <v>-3399.8758102151928</v>
      </c>
      <c r="EE103" s="422">
        <f t="shared" si="650"/>
        <v>-212.49223813844955</v>
      </c>
      <c r="EF103" s="438" t="str">
        <f t="shared" si="651"/>
        <v/>
      </c>
      <c r="EG103" s="422" t="str">
        <f t="shared" si="652"/>
        <v/>
      </c>
      <c r="EH103" s="439">
        <v>1</v>
      </c>
      <c r="EI103" s="422">
        <f t="shared" si="653"/>
        <v>-3399.8758102151928</v>
      </c>
      <c r="EJ103" s="440">
        <f t="shared" si="654"/>
        <v>-2.1249223813844953</v>
      </c>
      <c r="EK103" s="438" t="s">
        <v>573</v>
      </c>
      <c r="EL103" s="438" t="s">
        <v>762</v>
      </c>
    </row>
    <row r="104" spans="1:142" ht="30">
      <c r="A104" s="376"/>
      <c r="B104" s="376"/>
      <c r="C104" s="376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76"/>
      <c r="Y104" s="690"/>
      <c r="Z104" s="840"/>
      <c r="AA104" s="420">
        <f t="shared" si="583"/>
        <v>103</v>
      </c>
      <c r="AB104" s="435" t="s">
        <v>61</v>
      </c>
      <c r="AC104" s="422" t="s">
        <v>394</v>
      </c>
      <c r="AD104" s="422" t="s">
        <v>326</v>
      </c>
      <c r="AE104" s="422">
        <v>28.142857142857199</v>
      </c>
      <c r="AF104" s="422">
        <f>'SSS1 ATTENDANCE '!FJ110</f>
        <v>140</v>
      </c>
      <c r="AG104" s="422">
        <f>'SSS1 ATTENDANCE '!FH110</f>
        <v>0</v>
      </c>
      <c r="AH104" s="422">
        <f>'SSS1 ATTENDANCE '!FI110</f>
        <v>140</v>
      </c>
      <c r="AI104" s="436" t="s">
        <v>676</v>
      </c>
      <c r="AJ104" s="437">
        <v>40368</v>
      </c>
      <c r="AK104" s="435" t="s">
        <v>396</v>
      </c>
      <c r="AL104" s="424">
        <v>25</v>
      </c>
      <c r="AM104" s="422">
        <v>79.321428571428498</v>
      </c>
      <c r="AN104" s="438">
        <v>4</v>
      </c>
      <c r="AO104" s="422" t="str">
        <f t="shared" si="644"/>
        <v>3</v>
      </c>
      <c r="AP104" s="438">
        <v>5</v>
      </c>
      <c r="AQ104" s="422">
        <v>4</v>
      </c>
      <c r="AR104" s="438">
        <v>4</v>
      </c>
      <c r="AS104" s="438">
        <v>4</v>
      </c>
      <c r="AT104" s="438">
        <v>4</v>
      </c>
      <c r="AU104" s="438">
        <v>3</v>
      </c>
      <c r="AV104" s="438">
        <v>4</v>
      </c>
      <c r="AW104" s="438">
        <v>4</v>
      </c>
      <c r="AX104" s="438">
        <v>3</v>
      </c>
      <c r="AY104" s="438">
        <v>4</v>
      </c>
      <c r="AZ104" s="438">
        <v>3</v>
      </c>
      <c r="BA104" s="438">
        <v>3</v>
      </c>
      <c r="BB104" s="438">
        <v>3</v>
      </c>
      <c r="BC104" s="438">
        <v>4</v>
      </c>
      <c r="BD104" s="438">
        <v>4</v>
      </c>
      <c r="BE104" s="438">
        <v>4</v>
      </c>
      <c r="BF104" s="438">
        <v>3</v>
      </c>
      <c r="BG104" s="438">
        <v>3</v>
      </c>
      <c r="BH104" s="438">
        <v>3</v>
      </c>
      <c r="BI104" s="438">
        <v>5</v>
      </c>
      <c r="BJ104" s="438">
        <v>4</v>
      </c>
      <c r="BK104" s="438">
        <v>3</v>
      </c>
      <c r="BL104" s="438">
        <v>5</v>
      </c>
      <c r="BM104" s="438">
        <v>3</v>
      </c>
      <c r="BN104" s="422" t="s">
        <v>502</v>
      </c>
      <c r="BO104" s="438">
        <v>-17.321428571428498</v>
      </c>
      <c r="BP104" s="438">
        <v>-380.96428571428601</v>
      </c>
      <c r="BQ104" s="422">
        <f t="shared" si="851"/>
        <v>-398.2857142857145</v>
      </c>
      <c r="BR104" s="438" t="str">
        <f t="shared" si="852"/>
        <v/>
      </c>
      <c r="BS104" s="422">
        <v>-17.321428571428498</v>
      </c>
      <c r="BT104" s="438">
        <v>-280.03571428571399</v>
      </c>
      <c r="BU104" s="422">
        <f t="shared" si="853"/>
        <v>-297.35714285714249</v>
      </c>
      <c r="BV104" s="438" t="str">
        <f t="shared" si="854"/>
        <v/>
      </c>
      <c r="BW104" s="422">
        <v>-17.321428571428498</v>
      </c>
      <c r="BX104" s="422">
        <v>-270.60714285714198</v>
      </c>
      <c r="BY104" s="422">
        <f t="shared" si="855"/>
        <v>-287.92857142857048</v>
      </c>
      <c r="BZ104" s="438" t="str">
        <f t="shared" si="856"/>
        <v/>
      </c>
      <c r="CA104" s="422">
        <v>-17.321428571428498</v>
      </c>
      <c r="CB104" s="422">
        <v>-283.92857142857201</v>
      </c>
      <c r="CC104" s="422">
        <f t="shared" si="857"/>
        <v>-301.25000000000051</v>
      </c>
      <c r="CD104" s="438" t="str">
        <f t="shared" si="858"/>
        <v/>
      </c>
      <c r="CE104" s="422">
        <v>35</v>
      </c>
      <c r="CF104" s="422">
        <v>-273.14285714285802</v>
      </c>
      <c r="CG104" s="422">
        <f t="shared" si="859"/>
        <v>-238.14285714285802</v>
      </c>
      <c r="CH104" s="438" t="str">
        <f t="shared" si="860"/>
        <v/>
      </c>
      <c r="CI104" s="422">
        <v>-17.321428571428498</v>
      </c>
      <c r="CJ104" s="422">
        <v>-140.32142857142799</v>
      </c>
      <c r="CK104" s="422">
        <f t="shared" si="861"/>
        <v>-157.64285714285649</v>
      </c>
      <c r="CL104" s="438" t="str">
        <f t="shared" si="862"/>
        <v/>
      </c>
      <c r="CM104" s="422">
        <v>-17.321428571428498</v>
      </c>
      <c r="CN104" s="422"/>
      <c r="CO104" s="422"/>
      <c r="CP104" s="422">
        <f t="shared" ref="CP104" si="892">CM104</f>
        <v>-17.321428571428498</v>
      </c>
      <c r="CQ104" s="422">
        <v>19.922413793103601</v>
      </c>
      <c r="CR104" s="422">
        <f t="shared" si="864"/>
        <v>2.6009852216751028</v>
      </c>
      <c r="CS104" s="438" t="str">
        <f t="shared" si="865"/>
        <v>F9</v>
      </c>
      <c r="CT104" s="422">
        <v>-53.157894736842202</v>
      </c>
      <c r="CU104" s="422">
        <v>-312.63157894736901</v>
      </c>
      <c r="CV104" s="422">
        <f t="shared" si="866"/>
        <v>-365.7894736842112</v>
      </c>
      <c r="CW104" s="438" t="str">
        <f t="shared" si="867"/>
        <v/>
      </c>
      <c r="CX104" s="422">
        <v>35</v>
      </c>
      <c r="CY104" s="422">
        <v>-283.92857142857201</v>
      </c>
      <c r="CZ104" s="422">
        <f t="shared" si="868"/>
        <v>-248.92857142857201</v>
      </c>
      <c r="DA104" s="438" t="str">
        <f t="shared" si="869"/>
        <v/>
      </c>
      <c r="DB104" s="422">
        <f t="shared" si="886"/>
        <v>35</v>
      </c>
      <c r="DC104" s="422">
        <v>-226.607142857143</v>
      </c>
      <c r="DD104" s="422">
        <f t="shared" si="870"/>
        <v>-191.607142857143</v>
      </c>
      <c r="DE104" s="422" t="str">
        <f t="shared" si="871"/>
        <v/>
      </c>
      <c r="DF104" s="422">
        <f t="shared" si="872"/>
        <v>35</v>
      </c>
      <c r="DG104" s="422">
        <v>-283.92857142857201</v>
      </c>
      <c r="DH104" s="422">
        <f t="shared" si="873"/>
        <v>-248.92857142857201</v>
      </c>
      <c r="DI104" s="422" t="str">
        <f t="shared" si="874"/>
        <v/>
      </c>
      <c r="DJ104" s="422">
        <f t="shared" si="887"/>
        <v>35</v>
      </c>
      <c r="DK104" s="422">
        <v>29.607142857142801</v>
      </c>
      <c r="DL104" s="422">
        <f t="shared" si="875"/>
        <v>64.607142857142804</v>
      </c>
      <c r="DM104" s="422" t="str">
        <f t="shared" si="876"/>
        <v>C4</v>
      </c>
      <c r="DN104" s="422">
        <f t="shared" si="888"/>
        <v>35</v>
      </c>
      <c r="DO104" s="422">
        <v>-13.6785714285714</v>
      </c>
      <c r="DP104" s="422">
        <f t="shared" si="877"/>
        <v>21.321428571428598</v>
      </c>
      <c r="DQ104" s="438" t="str">
        <f t="shared" si="878"/>
        <v>F9</v>
      </c>
      <c r="DR104" s="422">
        <f t="shared" si="889"/>
        <v>35</v>
      </c>
      <c r="DS104" s="422">
        <v>-226.10714285714201</v>
      </c>
      <c r="DT104" s="422">
        <f t="shared" si="879"/>
        <v>-191.10714285714201</v>
      </c>
      <c r="DU104" s="438" t="str">
        <f t="shared" si="880"/>
        <v/>
      </c>
      <c r="DV104" s="422">
        <f t="shared" si="890"/>
        <v>35</v>
      </c>
      <c r="DW104" s="422">
        <v>40.071428571428498</v>
      </c>
      <c r="DX104" s="422">
        <f t="shared" si="881"/>
        <v>75.071428571428498</v>
      </c>
      <c r="DY104" s="438" t="str">
        <f t="shared" si="882"/>
        <v>A</v>
      </c>
      <c r="DZ104" s="422">
        <f t="shared" si="883"/>
        <v>35</v>
      </c>
      <c r="EA104" s="422">
        <v>-32.250000000000099</v>
      </c>
      <c r="EB104" s="422">
        <f t="shared" si="884"/>
        <v>2.7499999999999005</v>
      </c>
      <c r="EC104" s="438" t="str">
        <f t="shared" si="885"/>
        <v>F9</v>
      </c>
      <c r="ED104" s="422">
        <f t="shared" si="643"/>
        <v>-2760.6170598911085</v>
      </c>
      <c r="EE104" s="422">
        <f t="shared" si="650"/>
        <v>-172.53856624319428</v>
      </c>
      <c r="EF104" s="438" t="str">
        <f t="shared" si="651"/>
        <v/>
      </c>
      <c r="EG104" s="422" t="str">
        <f t="shared" si="652"/>
        <v/>
      </c>
      <c r="EH104" s="439">
        <v>1</v>
      </c>
      <c r="EI104" s="422">
        <f t="shared" si="653"/>
        <v>-2760.6170598911085</v>
      </c>
      <c r="EJ104" s="440">
        <f t="shared" si="654"/>
        <v>-1.7253856624319428</v>
      </c>
      <c r="EK104" s="438" t="s">
        <v>746</v>
      </c>
      <c r="EL104" s="438" t="s">
        <v>762</v>
      </c>
    </row>
    <row r="105" spans="1:142" ht="30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6"/>
      <c r="V105" s="376"/>
      <c r="W105" s="376"/>
      <c r="X105" s="376"/>
      <c r="Y105" s="690"/>
      <c r="Z105" s="840"/>
      <c r="AA105" s="420">
        <f t="shared" si="583"/>
        <v>104</v>
      </c>
      <c r="AB105" s="435" t="s">
        <v>62</v>
      </c>
      <c r="AC105" s="422" t="s">
        <v>394</v>
      </c>
      <c r="AD105" s="422" t="s">
        <v>326</v>
      </c>
      <c r="AE105" s="422">
        <v>28.285714285714299</v>
      </c>
      <c r="AF105" s="422">
        <f>'SSS1 ATTENDANCE '!FJ111</f>
        <v>0</v>
      </c>
      <c r="AG105" s="422" t="str">
        <f>'SSS1 ATTENDANCE '!FH111</f>
        <v>Total Attendances for the term</v>
      </c>
      <c r="AH105" s="422">
        <f>'SSS1 ATTENDANCE '!FI111</f>
        <v>0</v>
      </c>
      <c r="AI105" s="436" t="s">
        <v>677</v>
      </c>
      <c r="AJ105" s="437">
        <v>40852</v>
      </c>
      <c r="AK105" s="435" t="s">
        <v>396</v>
      </c>
      <c r="AL105" s="424">
        <v>25</v>
      </c>
      <c r="AM105" s="422">
        <v>79.857142857142804</v>
      </c>
      <c r="AN105" s="438">
        <v>4</v>
      </c>
      <c r="AO105" s="422" t="str">
        <f t="shared" si="644"/>
        <v>3</v>
      </c>
      <c r="AP105" s="438">
        <v>5</v>
      </c>
      <c r="AQ105" s="422">
        <v>4</v>
      </c>
      <c r="AR105" s="438">
        <v>4</v>
      </c>
      <c r="AS105" s="438">
        <v>4</v>
      </c>
      <c r="AT105" s="438">
        <v>4</v>
      </c>
      <c r="AU105" s="438">
        <v>3</v>
      </c>
      <c r="AV105" s="438">
        <v>4</v>
      </c>
      <c r="AW105" s="438">
        <v>4</v>
      </c>
      <c r="AX105" s="438">
        <v>3</v>
      </c>
      <c r="AY105" s="438">
        <v>4</v>
      </c>
      <c r="AZ105" s="438">
        <v>3</v>
      </c>
      <c r="BA105" s="438">
        <v>3</v>
      </c>
      <c r="BB105" s="438">
        <v>3</v>
      </c>
      <c r="BC105" s="438">
        <v>4</v>
      </c>
      <c r="BD105" s="438">
        <v>4</v>
      </c>
      <c r="BE105" s="438">
        <v>4</v>
      </c>
      <c r="BF105" s="438">
        <v>3</v>
      </c>
      <c r="BG105" s="438">
        <v>3</v>
      </c>
      <c r="BH105" s="438">
        <v>3</v>
      </c>
      <c r="BI105" s="438">
        <v>5</v>
      </c>
      <c r="BJ105" s="438">
        <v>4</v>
      </c>
      <c r="BK105" s="438">
        <v>3</v>
      </c>
      <c r="BL105" s="438">
        <v>5</v>
      </c>
      <c r="BM105" s="438">
        <v>3</v>
      </c>
      <c r="BN105" s="422" t="s">
        <v>503</v>
      </c>
      <c r="BO105" s="438">
        <v>-17.857142857142801</v>
      </c>
      <c r="BP105" s="438">
        <v>-385.142857142857</v>
      </c>
      <c r="BQ105" s="422">
        <f t="shared" si="851"/>
        <v>-402.99999999999977</v>
      </c>
      <c r="BR105" s="438" t="str">
        <f t="shared" si="852"/>
        <v/>
      </c>
      <c r="BS105" s="422">
        <v>-17.857142857142801</v>
      </c>
      <c r="BT105" s="438">
        <v>-283.28571428571399</v>
      </c>
      <c r="BU105" s="422">
        <f t="shared" si="853"/>
        <v>-301.14285714285677</v>
      </c>
      <c r="BV105" s="438" t="str">
        <f t="shared" si="854"/>
        <v/>
      </c>
      <c r="BW105" s="422">
        <v>-17.857142857142801</v>
      </c>
      <c r="BX105" s="422">
        <v>-273.71428571428498</v>
      </c>
      <c r="BY105" s="422">
        <f t="shared" si="855"/>
        <v>-291.57142857142776</v>
      </c>
      <c r="BZ105" s="438" t="str">
        <f t="shared" si="856"/>
        <v/>
      </c>
      <c r="CA105" s="422">
        <v>-17.857142857142801</v>
      </c>
      <c r="CB105" s="422">
        <v>-287.14285714285802</v>
      </c>
      <c r="CC105" s="422">
        <f t="shared" si="857"/>
        <v>-305.0000000000008</v>
      </c>
      <c r="CD105" s="438" t="str">
        <f t="shared" si="858"/>
        <v/>
      </c>
      <c r="CE105" s="422">
        <v>35</v>
      </c>
      <c r="CF105" s="422">
        <v>-276.28571428571502</v>
      </c>
      <c r="CG105" s="422">
        <f t="shared" si="859"/>
        <v>-241.28571428571502</v>
      </c>
      <c r="CH105" s="438" t="str">
        <f t="shared" si="860"/>
        <v/>
      </c>
      <c r="CI105" s="422">
        <v>-17.857142857142801</v>
      </c>
      <c r="CJ105" s="422">
        <v>-142.142857142857</v>
      </c>
      <c r="CK105" s="422">
        <f t="shared" si="861"/>
        <v>-159.9999999999998</v>
      </c>
      <c r="CL105" s="438" t="str">
        <f t="shared" si="862"/>
        <v/>
      </c>
      <c r="CM105" s="422">
        <v>-17.857142857142801</v>
      </c>
      <c r="CN105" s="422"/>
      <c r="CO105" s="422"/>
      <c r="CP105" s="422"/>
      <c r="CQ105" s="422">
        <v>19.6379310344829</v>
      </c>
      <c r="CR105" s="422">
        <f t="shared" si="864"/>
        <v>19.6379310344829</v>
      </c>
      <c r="CS105" s="438" t="str">
        <f t="shared" si="865"/>
        <v>F9</v>
      </c>
      <c r="CT105" s="422">
        <v>-54.210526315789501</v>
      </c>
      <c r="CU105" s="422">
        <v>-316.84210526315798</v>
      </c>
      <c r="CV105" s="422">
        <f t="shared" si="866"/>
        <v>-371.05263157894746</v>
      </c>
      <c r="CW105" s="438" t="str">
        <f t="shared" si="867"/>
        <v/>
      </c>
      <c r="CX105" s="422">
        <f t="shared" ref="CX105" si="893">CT105</f>
        <v>-54.210526315789501</v>
      </c>
      <c r="CY105" s="422">
        <v>-287.14285714285802</v>
      </c>
      <c r="CZ105" s="422">
        <f t="shared" si="868"/>
        <v>-341.3533834586475</v>
      </c>
      <c r="DA105" s="438" t="str">
        <f t="shared" si="869"/>
        <v/>
      </c>
      <c r="DB105" s="422">
        <f t="shared" si="886"/>
        <v>-54.210526315789501</v>
      </c>
      <c r="DC105" s="422">
        <v>-229.28571428571399</v>
      </c>
      <c r="DD105" s="422">
        <f t="shared" si="870"/>
        <v>-283.49624060150347</v>
      </c>
      <c r="DE105" s="422" t="str">
        <f t="shared" si="871"/>
        <v/>
      </c>
      <c r="DF105" s="422">
        <f t="shared" si="872"/>
        <v>-54.210526315789501</v>
      </c>
      <c r="DG105" s="422">
        <v>-287.14285714285802</v>
      </c>
      <c r="DH105" s="422">
        <f t="shared" si="873"/>
        <v>-341.3533834586475</v>
      </c>
      <c r="DI105" s="422" t="str">
        <f t="shared" si="874"/>
        <v/>
      </c>
      <c r="DJ105" s="422">
        <f t="shared" si="887"/>
        <v>-54.210526315789501</v>
      </c>
      <c r="DK105" s="422">
        <v>29.428571428571399</v>
      </c>
      <c r="DL105" s="422">
        <f t="shared" si="875"/>
        <v>-24.781954887218102</v>
      </c>
      <c r="DM105" s="422" t="str">
        <f t="shared" si="876"/>
        <v/>
      </c>
      <c r="DN105" s="422">
        <f t="shared" si="888"/>
        <v>-54.210526315789501</v>
      </c>
      <c r="DO105" s="422">
        <v>-14.285714285714301</v>
      </c>
      <c r="DP105" s="422">
        <f t="shared" si="877"/>
        <v>-68.4962406015038</v>
      </c>
      <c r="DQ105" s="438" t="str">
        <f t="shared" si="878"/>
        <v/>
      </c>
      <c r="DR105" s="422">
        <f t="shared" si="889"/>
        <v>-54.210526315789501</v>
      </c>
      <c r="DS105" s="422">
        <v>-228.71428571428501</v>
      </c>
      <c r="DT105" s="422">
        <f t="shared" si="879"/>
        <v>-282.92481203007452</v>
      </c>
      <c r="DU105" s="438" t="str">
        <f t="shared" si="880"/>
        <v/>
      </c>
      <c r="DV105" s="422">
        <f t="shared" si="890"/>
        <v>-54.210526315789501</v>
      </c>
      <c r="DW105" s="422">
        <v>39.999999999999901</v>
      </c>
      <c r="DX105" s="422">
        <f t="shared" si="881"/>
        <v>-14.2105263157896</v>
      </c>
      <c r="DY105" s="438" t="str">
        <f t="shared" si="882"/>
        <v/>
      </c>
      <c r="DZ105" s="422">
        <f t="shared" si="883"/>
        <v>-54.210526315789501</v>
      </c>
      <c r="EA105" s="422">
        <v>-33.000000000000099</v>
      </c>
      <c r="EB105" s="422">
        <f t="shared" si="884"/>
        <v>-87.210526315789593</v>
      </c>
      <c r="EC105" s="438" t="str">
        <f t="shared" si="885"/>
        <v/>
      </c>
      <c r="ED105" s="422">
        <f t="shared" si="643"/>
        <v>-3497.2417682136379</v>
      </c>
      <c r="EE105" s="422">
        <f t="shared" si="650"/>
        <v>-218.57761051335237</v>
      </c>
      <c r="EF105" s="438" t="str">
        <f t="shared" si="651"/>
        <v/>
      </c>
      <c r="EG105" s="422" t="str">
        <f t="shared" si="652"/>
        <v/>
      </c>
      <c r="EH105" s="439">
        <v>1</v>
      </c>
      <c r="EI105" s="422">
        <f t="shared" si="653"/>
        <v>-3497.2417682136379</v>
      </c>
      <c r="EJ105" s="440">
        <f t="shared" si="654"/>
        <v>-2.1857761051335238</v>
      </c>
      <c r="EK105" s="438" t="s">
        <v>747</v>
      </c>
      <c r="EL105" s="438" t="s">
        <v>762</v>
      </c>
    </row>
    <row r="106" spans="1:142" ht="30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76"/>
      <c r="Y106" s="690"/>
      <c r="Z106" s="840"/>
      <c r="AA106" s="420">
        <f t="shared" si="583"/>
        <v>105</v>
      </c>
      <c r="AB106" s="435" t="s">
        <v>63</v>
      </c>
      <c r="AC106" s="422" t="s">
        <v>394</v>
      </c>
      <c r="AD106" s="422" t="s">
        <v>326</v>
      </c>
      <c r="AE106" s="422">
        <v>28.428571428571502</v>
      </c>
      <c r="AF106" s="422">
        <f>'SSS1 ATTENDANCE '!FJ112</f>
        <v>0</v>
      </c>
      <c r="AG106" s="422">
        <f>'SSS1 ATTENDANCE '!FH112</f>
        <v>7806</v>
      </c>
      <c r="AH106" s="422">
        <f>'SSS1 ATTENDANCE '!FI112</f>
        <v>0</v>
      </c>
      <c r="AI106" s="436" t="s">
        <v>678</v>
      </c>
      <c r="AJ106" s="437">
        <v>40881</v>
      </c>
      <c r="AK106" s="435" t="s">
        <v>396</v>
      </c>
      <c r="AL106" s="424">
        <v>25</v>
      </c>
      <c r="AM106" s="422">
        <v>80.392857142857096</v>
      </c>
      <c r="AN106" s="438">
        <v>4</v>
      </c>
      <c r="AO106" s="422" t="str">
        <f t="shared" si="644"/>
        <v>3</v>
      </c>
      <c r="AP106" s="438">
        <v>5</v>
      </c>
      <c r="AQ106" s="422">
        <v>4</v>
      </c>
      <c r="AR106" s="438">
        <v>4</v>
      </c>
      <c r="AS106" s="438">
        <v>4</v>
      </c>
      <c r="AT106" s="438">
        <v>4</v>
      </c>
      <c r="AU106" s="438">
        <v>3</v>
      </c>
      <c r="AV106" s="438">
        <v>4</v>
      </c>
      <c r="AW106" s="438">
        <v>4</v>
      </c>
      <c r="AX106" s="438">
        <v>3</v>
      </c>
      <c r="AY106" s="438">
        <v>4</v>
      </c>
      <c r="AZ106" s="438">
        <v>3</v>
      </c>
      <c r="BA106" s="438">
        <v>3</v>
      </c>
      <c r="BB106" s="438">
        <v>3</v>
      </c>
      <c r="BC106" s="438">
        <v>4</v>
      </c>
      <c r="BD106" s="438">
        <v>4</v>
      </c>
      <c r="BE106" s="438">
        <v>4</v>
      </c>
      <c r="BF106" s="438">
        <v>3</v>
      </c>
      <c r="BG106" s="438">
        <v>3</v>
      </c>
      <c r="BH106" s="438">
        <v>3</v>
      </c>
      <c r="BI106" s="438">
        <v>5</v>
      </c>
      <c r="BJ106" s="438">
        <v>4</v>
      </c>
      <c r="BK106" s="438">
        <v>3</v>
      </c>
      <c r="BL106" s="438">
        <v>5</v>
      </c>
      <c r="BM106" s="438">
        <v>3</v>
      </c>
      <c r="BN106" s="422" t="s">
        <v>504</v>
      </c>
      <c r="BO106" s="438">
        <v>-18.3928571428571</v>
      </c>
      <c r="BP106" s="438">
        <v>-389.32142857142799</v>
      </c>
      <c r="BQ106" s="422">
        <f t="shared" si="851"/>
        <v>-407.7142857142851</v>
      </c>
      <c r="BR106" s="438" t="str">
        <f t="shared" si="852"/>
        <v/>
      </c>
      <c r="BS106" s="422">
        <v>-18.3928571428571</v>
      </c>
      <c r="BT106" s="438">
        <v>-286.53571428571399</v>
      </c>
      <c r="BU106" s="422">
        <f t="shared" si="853"/>
        <v>-304.9285714285711</v>
      </c>
      <c r="BV106" s="438" t="str">
        <f t="shared" si="854"/>
        <v/>
      </c>
      <c r="BW106" s="422">
        <v>-18.3928571428571</v>
      </c>
      <c r="BX106" s="422">
        <v>-276.82142857142799</v>
      </c>
      <c r="BY106" s="422">
        <f t="shared" si="855"/>
        <v>-295.2142857142851</v>
      </c>
      <c r="BZ106" s="438" t="str">
        <f t="shared" si="856"/>
        <v/>
      </c>
      <c r="CA106" s="422">
        <v>-18.3928571428571</v>
      </c>
      <c r="CB106" s="422">
        <v>-290.357142857143</v>
      </c>
      <c r="CC106" s="422">
        <f t="shared" si="857"/>
        <v>-308.75000000000011</v>
      </c>
      <c r="CD106" s="438" t="str">
        <f t="shared" si="858"/>
        <v/>
      </c>
      <c r="CE106" s="422">
        <v>35</v>
      </c>
      <c r="CF106" s="422">
        <v>-279.42857142857201</v>
      </c>
      <c r="CG106" s="422">
        <f t="shared" si="859"/>
        <v>-244.42857142857201</v>
      </c>
      <c r="CH106" s="438" t="str">
        <f t="shared" si="860"/>
        <v/>
      </c>
      <c r="CI106" s="422">
        <v>-18.3928571428571</v>
      </c>
      <c r="CJ106" s="422">
        <v>-143.96428571428501</v>
      </c>
      <c r="CK106" s="422">
        <f t="shared" si="861"/>
        <v>-162.35714285714212</v>
      </c>
      <c r="CL106" s="438" t="str">
        <f t="shared" si="862"/>
        <v/>
      </c>
      <c r="CM106" s="422">
        <v>-18.3928571428571</v>
      </c>
      <c r="CN106" s="422"/>
      <c r="CO106" s="422"/>
      <c r="CP106" s="422">
        <f t="shared" ref="CP106" si="894">CM106</f>
        <v>-18.3928571428571</v>
      </c>
      <c r="CQ106" s="422">
        <v>19.353448275862199</v>
      </c>
      <c r="CR106" s="422">
        <f t="shared" si="864"/>
        <v>0.96059113300509935</v>
      </c>
      <c r="CS106" s="438" t="str">
        <f t="shared" si="865"/>
        <v/>
      </c>
      <c r="CT106" s="422"/>
      <c r="CU106" s="422"/>
      <c r="CV106" s="422">
        <f t="shared" si="866"/>
        <v>0</v>
      </c>
      <c r="CW106" s="438" t="str">
        <f t="shared" si="867"/>
        <v/>
      </c>
      <c r="CX106" s="422">
        <v>35</v>
      </c>
      <c r="CY106" s="422">
        <v>-290.357142857143</v>
      </c>
      <c r="CZ106" s="422">
        <f t="shared" si="868"/>
        <v>-255.357142857143</v>
      </c>
      <c r="DA106" s="438" t="str">
        <f t="shared" si="869"/>
        <v/>
      </c>
      <c r="DB106" s="422">
        <f t="shared" si="886"/>
        <v>35</v>
      </c>
      <c r="DC106" s="422">
        <v>-231.96428571428601</v>
      </c>
      <c r="DD106" s="422">
        <f t="shared" si="870"/>
        <v>-196.96428571428601</v>
      </c>
      <c r="DE106" s="422" t="str">
        <f t="shared" si="871"/>
        <v/>
      </c>
      <c r="DF106" s="422">
        <f t="shared" si="872"/>
        <v>35</v>
      </c>
      <c r="DG106" s="422">
        <v>-290.357142857143</v>
      </c>
      <c r="DH106" s="422">
        <f t="shared" si="873"/>
        <v>-255.357142857143</v>
      </c>
      <c r="DI106" s="422" t="str">
        <f t="shared" si="874"/>
        <v/>
      </c>
      <c r="DJ106" s="422">
        <f t="shared" si="887"/>
        <v>35</v>
      </c>
      <c r="DK106" s="422">
        <v>29.25</v>
      </c>
      <c r="DL106" s="422">
        <f t="shared" si="875"/>
        <v>64.25</v>
      </c>
      <c r="DM106" s="422" t="str">
        <f t="shared" si="876"/>
        <v>C4</v>
      </c>
      <c r="DN106" s="422">
        <f t="shared" si="888"/>
        <v>35</v>
      </c>
      <c r="DO106" s="422">
        <v>-14.892857142857199</v>
      </c>
      <c r="DP106" s="422">
        <f t="shared" si="877"/>
        <v>20.107142857142801</v>
      </c>
      <c r="DQ106" s="438" t="str">
        <f t="shared" si="878"/>
        <v>F9</v>
      </c>
      <c r="DR106" s="422">
        <f t="shared" si="889"/>
        <v>35</v>
      </c>
      <c r="DS106" s="422">
        <v>-231.32142857142799</v>
      </c>
      <c r="DT106" s="422">
        <f t="shared" si="879"/>
        <v>-196.32142857142799</v>
      </c>
      <c r="DU106" s="438" t="str">
        <f t="shared" si="880"/>
        <v/>
      </c>
      <c r="DV106" s="422">
        <f t="shared" si="890"/>
        <v>35</v>
      </c>
      <c r="DW106" s="422">
        <v>39.928571428571402</v>
      </c>
      <c r="DX106" s="422">
        <f t="shared" si="881"/>
        <v>74.928571428571402</v>
      </c>
      <c r="DY106" s="438" t="str">
        <f t="shared" si="882"/>
        <v>B2</v>
      </c>
      <c r="DZ106" s="422">
        <f t="shared" si="883"/>
        <v>35</v>
      </c>
      <c r="EA106" s="422">
        <v>-33.750000000000099</v>
      </c>
      <c r="EB106" s="422">
        <f t="shared" si="884"/>
        <v>1.2499999999999005</v>
      </c>
      <c r="EC106" s="438" t="str">
        <f t="shared" si="885"/>
        <v>F9</v>
      </c>
      <c r="ED106" s="422">
        <f t="shared" si="643"/>
        <v>-2465.8965517241359</v>
      </c>
      <c r="EE106" s="422">
        <f t="shared" si="650"/>
        <v>-154.11853448275849</v>
      </c>
      <c r="EF106" s="438" t="str">
        <f t="shared" si="651"/>
        <v/>
      </c>
      <c r="EG106" s="422" t="str">
        <f t="shared" si="652"/>
        <v/>
      </c>
      <c r="EH106" s="439">
        <v>1</v>
      </c>
      <c r="EI106" s="422">
        <f t="shared" si="653"/>
        <v>-2465.8965517241359</v>
      </c>
      <c r="EJ106" s="440">
        <f t="shared" si="654"/>
        <v>-1.541185344827585</v>
      </c>
      <c r="EK106" s="438" t="s">
        <v>573</v>
      </c>
      <c r="EL106" s="438" t="s">
        <v>762</v>
      </c>
    </row>
    <row r="107" spans="1:142" ht="30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690"/>
      <c r="Z107" s="840"/>
      <c r="AA107" s="420">
        <f t="shared" si="583"/>
        <v>106</v>
      </c>
      <c r="AB107" s="435" t="s">
        <v>57</v>
      </c>
      <c r="AC107" s="422" t="s">
        <v>394</v>
      </c>
      <c r="AD107" s="422" t="s">
        <v>326</v>
      </c>
      <c r="AE107" s="422">
        <v>28.571428571428601</v>
      </c>
      <c r="AF107" s="422">
        <f>'SSS1 ATTENDANCE '!FJ113</f>
        <v>0</v>
      </c>
      <c r="AG107" s="422" t="str">
        <f>'SSS1 ATTENDANCE '!FH113</f>
        <v>Total times school opened for the term</v>
      </c>
      <c r="AH107" s="422">
        <f>'SSS1 ATTENDANCE '!FI113</f>
        <v>0</v>
      </c>
      <c r="AI107" s="436" t="s">
        <v>679</v>
      </c>
      <c r="AJ107" s="437">
        <v>41122</v>
      </c>
      <c r="AK107" s="435" t="s">
        <v>396</v>
      </c>
      <c r="AL107" s="424">
        <v>25</v>
      </c>
      <c r="AM107" s="422">
        <v>80.928571428571402</v>
      </c>
      <c r="AN107" s="438">
        <v>4</v>
      </c>
      <c r="AO107" s="422" t="str">
        <f t="shared" si="644"/>
        <v>3</v>
      </c>
      <c r="AP107" s="438">
        <v>5</v>
      </c>
      <c r="AQ107" s="422">
        <v>4</v>
      </c>
      <c r="AR107" s="438">
        <v>4</v>
      </c>
      <c r="AS107" s="438">
        <v>4</v>
      </c>
      <c r="AT107" s="438">
        <v>4</v>
      </c>
      <c r="AU107" s="438">
        <v>3</v>
      </c>
      <c r="AV107" s="438">
        <v>4</v>
      </c>
      <c r="AW107" s="438">
        <v>4</v>
      </c>
      <c r="AX107" s="438">
        <v>3</v>
      </c>
      <c r="AY107" s="438">
        <v>4</v>
      </c>
      <c r="AZ107" s="438">
        <v>3</v>
      </c>
      <c r="BA107" s="438">
        <v>3</v>
      </c>
      <c r="BB107" s="438">
        <v>3</v>
      </c>
      <c r="BC107" s="438">
        <v>4</v>
      </c>
      <c r="BD107" s="438">
        <v>4</v>
      </c>
      <c r="BE107" s="438">
        <v>4</v>
      </c>
      <c r="BF107" s="438">
        <v>3</v>
      </c>
      <c r="BG107" s="438">
        <v>3</v>
      </c>
      <c r="BH107" s="438">
        <v>3</v>
      </c>
      <c r="BI107" s="438">
        <v>5</v>
      </c>
      <c r="BJ107" s="438">
        <v>4</v>
      </c>
      <c r="BK107" s="438">
        <v>3</v>
      </c>
      <c r="BL107" s="438">
        <v>5</v>
      </c>
      <c r="BM107" s="438">
        <v>3</v>
      </c>
      <c r="BN107" s="422" t="s">
        <v>505</v>
      </c>
      <c r="BO107" s="422">
        <v>-18.928571428571399</v>
      </c>
      <c r="BP107" s="422">
        <v>-393.5</v>
      </c>
      <c r="BQ107" s="422">
        <v>100</v>
      </c>
      <c r="BR107" s="438" t="s">
        <v>749</v>
      </c>
      <c r="BS107" s="422">
        <v>-18.928571428571399</v>
      </c>
      <c r="BT107" s="422">
        <v>-289.78571428571399</v>
      </c>
      <c r="BU107" s="422">
        <v>100</v>
      </c>
      <c r="BV107" s="438" t="s">
        <v>749</v>
      </c>
      <c r="BW107" s="422">
        <v>-18.928571428571399</v>
      </c>
      <c r="BX107" s="422">
        <v>-279.92857142857099</v>
      </c>
      <c r="BY107" s="422">
        <v>100</v>
      </c>
      <c r="BZ107" s="422" t="str">
        <f t="shared" ref="BZ107" si="895">BV107</f>
        <v>Grades</v>
      </c>
      <c r="CA107" s="422">
        <v>-18.928571428571399</v>
      </c>
      <c r="CB107" s="422">
        <v>-293.57142857142901</v>
      </c>
      <c r="CC107" s="422">
        <v>100</v>
      </c>
      <c r="CD107" s="422" t="str">
        <f t="shared" ref="CD107" si="896">BZ107</f>
        <v>Grades</v>
      </c>
      <c r="CE107" s="422">
        <f t="shared" ref="CE107" si="897">CA107</f>
        <v>-18.928571428571399</v>
      </c>
      <c r="CF107" s="422">
        <v>-282.57142857142901</v>
      </c>
      <c r="CG107" s="422">
        <v>100</v>
      </c>
      <c r="CH107" s="422" t="str">
        <f t="shared" ref="CH107" si="898">CD107</f>
        <v>Grades</v>
      </c>
      <c r="CI107" s="422">
        <v>-18.928571428571399</v>
      </c>
      <c r="CJ107" s="422">
        <v>-145.78571428571399</v>
      </c>
      <c r="CK107" s="422">
        <v>100</v>
      </c>
      <c r="CL107" s="422" t="str">
        <f t="shared" ref="CL107" si="899">CH107</f>
        <v>Grades</v>
      </c>
      <c r="CM107" s="422">
        <v>-18.928571428571399</v>
      </c>
      <c r="CN107" s="422">
        <v>60</v>
      </c>
      <c r="CO107" s="422"/>
      <c r="CP107" s="422">
        <v>40</v>
      </c>
      <c r="CQ107" s="422">
        <v>19.068965517241502</v>
      </c>
      <c r="CR107" s="422">
        <v>100</v>
      </c>
      <c r="CS107" s="438" t="str">
        <f t="shared" ref="CS107" si="900">CL107</f>
        <v>Grades</v>
      </c>
      <c r="CT107" s="422">
        <v>-55.263157894736899</v>
      </c>
      <c r="CU107" s="422">
        <v>-321.05263157894802</v>
      </c>
      <c r="CV107" s="422">
        <v>100</v>
      </c>
      <c r="CW107" s="438" t="str">
        <f t="shared" ref="CW107" si="901">CS107</f>
        <v>Grades</v>
      </c>
      <c r="CX107" s="422">
        <v>-73.3333333333333</v>
      </c>
      <c r="CY107" s="422">
        <v>-293.57142857142901</v>
      </c>
      <c r="CZ107" s="422">
        <v>100</v>
      </c>
      <c r="DA107" s="438" t="str">
        <f t="shared" ref="DA107" si="902">CW107</f>
        <v>Grades</v>
      </c>
      <c r="DB107" s="422">
        <v>-260</v>
      </c>
      <c r="DC107" s="422">
        <v>-234.642857142857</v>
      </c>
      <c r="DD107" s="422">
        <v>100</v>
      </c>
      <c r="DE107" s="422" t="str">
        <f t="shared" ref="DE107" si="903">DA107</f>
        <v>Grades</v>
      </c>
      <c r="DF107" s="422">
        <v>40</v>
      </c>
      <c r="DG107" s="422">
        <v>-293.57142857142901</v>
      </c>
      <c r="DH107" s="422">
        <v>100</v>
      </c>
      <c r="DI107" s="422" t="str">
        <f t="shared" ref="DI107" si="904">DE107</f>
        <v>Grades</v>
      </c>
      <c r="DJ107" s="422">
        <v>-110</v>
      </c>
      <c r="DK107" s="422">
        <v>29.071428571428498</v>
      </c>
      <c r="DL107" s="422">
        <v>100</v>
      </c>
      <c r="DM107" s="422" t="str">
        <f t="shared" ref="DM107" si="905">DI107</f>
        <v>Grades</v>
      </c>
      <c r="DN107" s="422">
        <v>-110</v>
      </c>
      <c r="DO107" s="422">
        <v>-15.5</v>
      </c>
      <c r="DP107" s="422">
        <v>100</v>
      </c>
      <c r="DQ107" s="438" t="str">
        <f t="shared" ref="DQ107" si="906">DM107</f>
        <v>Grades</v>
      </c>
      <c r="DR107" s="422">
        <v>-410</v>
      </c>
      <c r="DS107" s="422">
        <v>-233.92857142857099</v>
      </c>
      <c r="DT107" s="422">
        <v>100</v>
      </c>
      <c r="DU107" s="438" t="str">
        <f t="shared" ref="DU107" si="907">DQ107</f>
        <v>Grades</v>
      </c>
      <c r="DV107" s="422">
        <v>-110</v>
      </c>
      <c r="DW107" s="422">
        <v>39.857142857142797</v>
      </c>
      <c r="DX107" s="422">
        <v>100</v>
      </c>
      <c r="DY107" s="438" t="str">
        <f t="shared" ref="DY107" si="908">DU107</f>
        <v>Grades</v>
      </c>
      <c r="DZ107" s="422">
        <v>40</v>
      </c>
      <c r="EA107" s="422">
        <v>-34.500000000000099</v>
      </c>
      <c r="EB107" s="422">
        <v>100</v>
      </c>
      <c r="EC107" s="438" t="str">
        <f t="shared" ref="EC107" si="909">DY107</f>
        <v>Grades</v>
      </c>
      <c r="ED107" s="422">
        <f t="shared" si="643"/>
        <v>1600</v>
      </c>
      <c r="EE107" s="422">
        <f t="shared" si="650"/>
        <v>100</v>
      </c>
      <c r="EF107" s="438" t="str">
        <f t="shared" si="651"/>
        <v>A1</v>
      </c>
      <c r="EG107" s="422" t="str">
        <f t="shared" si="652"/>
        <v>DISTINTION</v>
      </c>
      <c r="EH107" s="439">
        <v>1</v>
      </c>
      <c r="EI107" s="422">
        <f t="shared" si="653"/>
        <v>1600</v>
      </c>
      <c r="EJ107" s="440">
        <f t="shared" si="654"/>
        <v>1</v>
      </c>
      <c r="EK107" s="438" t="s">
        <v>573</v>
      </c>
      <c r="EL107" s="438" t="s">
        <v>762</v>
      </c>
    </row>
    <row r="108" spans="1:142" ht="30">
      <c r="A108" s="376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76"/>
      <c r="W108" s="376"/>
      <c r="X108" s="376"/>
      <c r="Y108" s="690"/>
      <c r="Z108" s="840"/>
      <c r="AA108" s="420">
        <f t="shared" si="583"/>
        <v>107</v>
      </c>
      <c r="AB108" s="435" t="s">
        <v>58</v>
      </c>
      <c r="AC108" s="422" t="s">
        <v>394</v>
      </c>
      <c r="AD108" s="422" t="s">
        <v>326</v>
      </c>
      <c r="AE108" s="422">
        <v>28.714285714285701</v>
      </c>
      <c r="AF108" s="422">
        <f>'SSS1 ATTENDANCE '!FJ114</f>
        <v>0</v>
      </c>
      <c r="AG108" s="422">
        <f>'SSS1 ATTENDANCE '!FH114</f>
        <v>128</v>
      </c>
      <c r="AH108" s="422">
        <f>'SSS1 ATTENDANCE '!FI114</f>
        <v>0</v>
      </c>
      <c r="AI108" s="436" t="s">
        <v>680</v>
      </c>
      <c r="AJ108" s="437">
        <v>40844</v>
      </c>
      <c r="AK108" s="435" t="s">
        <v>396</v>
      </c>
      <c r="AL108" s="424">
        <v>25</v>
      </c>
      <c r="AM108" s="422">
        <v>81.464285714285694</v>
      </c>
      <c r="AN108" s="438">
        <v>4</v>
      </c>
      <c r="AO108" s="422" t="str">
        <f t="shared" si="644"/>
        <v>5</v>
      </c>
      <c r="AP108" s="438">
        <v>5</v>
      </c>
      <c r="AQ108" s="422">
        <v>4</v>
      </c>
      <c r="AR108" s="438">
        <v>4</v>
      </c>
      <c r="AS108" s="438">
        <v>4</v>
      </c>
      <c r="AT108" s="438">
        <v>4</v>
      </c>
      <c r="AU108" s="438">
        <v>3</v>
      </c>
      <c r="AV108" s="438">
        <v>4</v>
      </c>
      <c r="AW108" s="438">
        <v>4</v>
      </c>
      <c r="AX108" s="438">
        <v>3</v>
      </c>
      <c r="AY108" s="438">
        <v>4</v>
      </c>
      <c r="AZ108" s="438">
        <v>3</v>
      </c>
      <c r="BA108" s="438">
        <v>3</v>
      </c>
      <c r="BB108" s="438">
        <v>3</v>
      </c>
      <c r="BC108" s="438">
        <v>4</v>
      </c>
      <c r="BD108" s="438">
        <v>4</v>
      </c>
      <c r="BE108" s="438">
        <v>4</v>
      </c>
      <c r="BF108" s="438">
        <v>3</v>
      </c>
      <c r="BG108" s="438">
        <v>3</v>
      </c>
      <c r="BH108" s="438">
        <v>3</v>
      </c>
      <c r="BI108" s="438">
        <v>5</v>
      </c>
      <c r="BJ108" s="438">
        <v>4</v>
      </c>
      <c r="BK108" s="438">
        <v>3</v>
      </c>
      <c r="BL108" s="438">
        <v>5</v>
      </c>
      <c r="BM108" s="438">
        <v>3</v>
      </c>
      <c r="BN108" s="422" t="s">
        <v>506</v>
      </c>
      <c r="BO108" s="438">
        <v>-19.464285714285701</v>
      </c>
      <c r="BP108" s="438">
        <v>-397.67857142857099</v>
      </c>
      <c r="BQ108" s="422">
        <f t="shared" ref="BQ108:BQ113" si="910">SUM(BO108:BP108)</f>
        <v>-417.14285714285671</v>
      </c>
      <c r="BR108" s="438" t="str">
        <f t="shared" ref="BR108:BR113" si="911">IF(BQ108&gt;=80,"A1",
IF(BQ108&gt;=75,"A",
IF(BQ108&gt;=70,"B2",
IF(BQ108&gt;=65,"B3",
IF(BQ108&gt;=60,"C4",
IF(BQ108&gt;=55,"C5",
IF(BQ108&gt;=50,"C6",
IF(BQ108&gt;=45,"D7",
IF(BQ108&gt;=40,"E8",
IF(BQ108&gt;=1,"F9",""))))))))))</f>
        <v/>
      </c>
      <c r="BS108" s="422">
        <v>-19.464285714285701</v>
      </c>
      <c r="BT108" s="438">
        <v>-293.03571428571399</v>
      </c>
      <c r="BU108" s="422">
        <f t="shared" ref="BU108:BU113" si="912">SUM(BS108:BT108)</f>
        <v>-312.49999999999972</v>
      </c>
      <c r="BV108" s="438" t="str">
        <f t="shared" ref="BV108:BV113" si="913">IF(BU108&gt;=80,"A1",
IF(BU108&gt;=75,"A",
IF(BU108&gt;=70,"B2",
IF(BU108&gt;=65,"B3",
IF(BU108&gt;=60,"C4",
IF(BU108&gt;=55,"C5",
IF(BU108&gt;=50,"C6",
IF(BU108&gt;=45,"D7",
IF(BU108&gt;=40,"E8",
IF(BU108&gt;=1,"F9",""))))))))))</f>
        <v/>
      </c>
      <c r="BW108" s="422">
        <v>-19.464285714285701</v>
      </c>
      <c r="BX108" s="422">
        <v>-283.03571428571399</v>
      </c>
      <c r="BY108" s="422">
        <f t="shared" ref="BY108:BY113" si="914">SUM(BW108:BX108)</f>
        <v>-302.49999999999972</v>
      </c>
      <c r="BZ108" s="438" t="str">
        <f t="shared" ref="BZ108:BZ113" si="915">IF(BY108&gt;=80,"A1",
IF(BY108&gt;=75,"A",
IF(BY108&gt;=70,"B2",
IF(BY108&gt;=65,"B3",
IF(BY108&gt;=60,"C4",
IF(BY108&gt;=55,"C5",
IF(BY108&gt;=50,"C6",
IF(BY108&gt;=45,"D7",
IF(BY108&gt;=40,"E8",
IF(BY108&gt;=1,"F9",""))))))))))</f>
        <v/>
      </c>
      <c r="CA108" s="422">
        <v>-19.464285714285701</v>
      </c>
      <c r="CB108" s="422">
        <v>-296.78571428571502</v>
      </c>
      <c r="CC108" s="422">
        <f t="shared" ref="CC108:CC113" si="916">SUM(CA108:CB108)</f>
        <v>-316.25000000000074</v>
      </c>
      <c r="CD108" s="438" t="str">
        <f t="shared" ref="CD108:CD113" si="917">IF(CC108&gt;=80,"A1",
IF(CC108&gt;=75,"A",
IF(CC108&gt;=70,"B2",
IF(CC108&gt;=65,"B3",
IF(CC108&gt;=60,"C4",
IF(CC108&gt;=55,"C5",
IF(CC108&gt;=50,"C6",
IF(CC108&gt;=45,"D7",
IF(CC108&gt;=40,"E8",
IF(CC108&gt;=1,"F9",""))))))))))</f>
        <v/>
      </c>
      <c r="CE108" s="422">
        <v>35</v>
      </c>
      <c r="CF108" s="422">
        <v>-285.71428571428601</v>
      </c>
      <c r="CG108" s="422">
        <f t="shared" ref="CG108:CG113" si="918">SUM(CE108:CF108)</f>
        <v>-250.71428571428601</v>
      </c>
      <c r="CH108" s="438" t="str">
        <f t="shared" ref="CH108:CH113" si="919">IF(CG108&gt;=80,"A1",
IF(CG108&gt;=75,"A",
IF(CG108&gt;=70,"B2",
IF(CG108&gt;=65,"B3",
IF(CG108&gt;=60,"C4",
IF(CG108&gt;=55,"C5",
IF(CG108&gt;=50,"C6",
IF(CG108&gt;=45,"D7",
IF(CG108&gt;=40,"E8",
IF(CG108&gt;=1,"F9",""))))))))))</f>
        <v/>
      </c>
      <c r="CI108" s="422">
        <v>-19.464285714285701</v>
      </c>
      <c r="CJ108" s="422">
        <v>-147.607142857143</v>
      </c>
      <c r="CK108" s="422">
        <f t="shared" ref="CK108:CK113" si="920">SUM(CI108:CJ108)</f>
        <v>-167.0714285714287</v>
      </c>
      <c r="CL108" s="438" t="str">
        <f t="shared" ref="CL108:CL113" si="921">IF(CK108&gt;=80,"A1",
IF(CK108&gt;=75,"A",
IF(CK108&gt;=70,"B2",
IF(CK108&gt;=65,"B3",
IF(CK108&gt;=60,"C4",
IF(CK108&gt;=55,"C5",
IF(CK108&gt;=50,"C6",
IF(CK108&gt;=45,"D7",
IF(CK108&gt;=40,"E8",
IF(CK108&gt;=1,"F9",""))))))))))</f>
        <v/>
      </c>
      <c r="CM108" s="422">
        <v>-19.464285714285701</v>
      </c>
      <c r="CN108" s="422"/>
      <c r="CO108" s="422"/>
      <c r="CP108" s="422">
        <f t="shared" ref="CP108:CP109" si="922">CM108</f>
        <v>-19.464285714285701</v>
      </c>
      <c r="CQ108" s="422">
        <v>18.784482758620801</v>
      </c>
      <c r="CR108" s="422">
        <f t="shared" ref="CR108:CR113" si="923">SUM(CP108:CQ108)</f>
        <v>-0.67980295566490057</v>
      </c>
      <c r="CS108" s="438" t="str">
        <f t="shared" ref="CS108:CS113" si="924">IF(CR108&gt;=80,"A1",
IF(CR108&gt;=75,"A",
IF(CR108&gt;=70,"B2",
IF(CR108&gt;=65,"B3",
IF(CR108&gt;=60,"C4",
IF(CR108&gt;=55,"C5",
IF(CR108&gt;=50,"C6",
IF(CR108&gt;=45,"D7",
IF(CR108&gt;=40,"E8",
IF(CR108&gt;=1,"F9",""))))))))))</f>
        <v/>
      </c>
      <c r="CT108" s="422">
        <v>-56.315789473684298</v>
      </c>
      <c r="CU108" s="422">
        <v>-325.26315789473699</v>
      </c>
      <c r="CV108" s="422">
        <f t="shared" ref="CV108:CV113" si="925">SUM(CT108:CU108)</f>
        <v>-381.57894736842127</v>
      </c>
      <c r="CW108" s="438" t="str">
        <f t="shared" ref="CW108:CW113" si="926">IF(CV108&gt;=80,"A1",
IF(CV108&gt;=75,"A",
IF(CV108&gt;=70,"B2",
IF(CV108&gt;=65,"B3",
IF(CV108&gt;=60,"C4",
IF(CV108&gt;=55,"C5",
IF(CV108&gt;=50,"C6",
IF(CV108&gt;=45,"D7",
IF(CV108&gt;=40,"E8",
IF(CV108&gt;=1,"F9",""))))))))))</f>
        <v/>
      </c>
      <c r="CX108" s="422">
        <v>-75.8333333333333</v>
      </c>
      <c r="CY108" s="422">
        <v>-296.78571428571502</v>
      </c>
      <c r="CZ108" s="422">
        <f t="shared" ref="CZ108:CZ113" si="927">SUM(CX108:CY108)</f>
        <v>-372.61904761904833</v>
      </c>
      <c r="DA108" s="438" t="str">
        <f t="shared" ref="DA108:DA113" si="928">IF(CZ108&gt;=80,"A1",
IF(CZ108&gt;=75,"A",
IF(CZ108&gt;=70,"B2",
IF(CZ108&gt;=65,"B3",
IF(CZ108&gt;=60,"C4",
IF(CZ108&gt;=55,"C5",
IF(CZ108&gt;=50,"C6",
IF(CZ108&gt;=45,"D7",
IF(CZ108&gt;=40,"E8",
IF(CZ108&gt;=1,"F9",""))))))))))</f>
        <v/>
      </c>
      <c r="DB108" s="422">
        <v>-270</v>
      </c>
      <c r="DC108" s="422">
        <v>-237.32142857142901</v>
      </c>
      <c r="DD108" s="422">
        <f t="shared" ref="DD108:DD113" si="929">SUM(DB108:DC108)</f>
        <v>-507.32142857142901</v>
      </c>
      <c r="DE108" s="422" t="str">
        <f t="shared" ref="DE108:DE113" si="930">IF(DD108&gt;=80,"A1",
IF(DD108&gt;=75,"A",
IF(DD108&gt;=70,"B2",
IF(DD108&gt;=65,"B3",
IF(DD108&gt;=60,"C4",
IF(DD108&gt;=55,"C5",
IF(DD108&gt;=50,"C6",
IF(DD108&gt;=45,"D7",
IF(DD108&gt;=40,"E8",
IF(DD108&gt;=1,"F9",""))))))))))</f>
        <v/>
      </c>
      <c r="DF108" s="422">
        <f t="shared" ref="DF108:DF113" si="931">DB108</f>
        <v>-270</v>
      </c>
      <c r="DG108" s="422">
        <v>-296.78571428571502</v>
      </c>
      <c r="DH108" s="422">
        <f t="shared" ref="DH108:DH113" si="932">SUM(DF108:DG108)</f>
        <v>-566.78571428571502</v>
      </c>
      <c r="DI108" s="422" t="str">
        <f t="shared" ref="DI108:DI113" si="933">IF(DH108&gt;=80,"A1",
IF(DH108&gt;=75,"A",
IF(DH108&gt;=70,"B2",
IF(DH108&gt;=65,"B3",
IF(DH108&gt;=60,"C4",
IF(DH108&gt;=55,"C5",
IF(DH108&gt;=50,"C6",
IF(DH108&gt;=45,"D7",
IF(DH108&gt;=40,"E8",
IF(DH108&gt;=1,"F9",""))))))))))</f>
        <v/>
      </c>
      <c r="DJ108" s="422">
        <v>-115</v>
      </c>
      <c r="DK108" s="422">
        <v>28.8928571428571</v>
      </c>
      <c r="DL108" s="422">
        <f t="shared" ref="DL108:DL113" si="934">SUM(DJ108:DK108)</f>
        <v>-86.107142857142904</v>
      </c>
      <c r="DM108" s="422" t="str">
        <f t="shared" ref="DM108:DM113" si="935">IF(DL108&gt;=80,"A1",
IF(DL108&gt;=75,"A",
IF(DL108&gt;=70,"B2",
IF(DL108&gt;=65,"B3",
IF(DL108&gt;=60,"C4",
IF(DL108&gt;=55,"C5",
IF(DL108&gt;=50,"C6",
IF(DL108&gt;=45,"D7",
IF(DL108&gt;=40,"E8",
IF(DL108&gt;=1,"F9",""))))))))))</f>
        <v/>
      </c>
      <c r="DN108" s="422">
        <v>-115</v>
      </c>
      <c r="DO108" s="422">
        <v>-16.1071428571429</v>
      </c>
      <c r="DP108" s="422">
        <f t="shared" ref="DP108:DP113" si="936">SUM(DN108:DO108)</f>
        <v>-131.10714285714289</v>
      </c>
      <c r="DQ108" s="438" t="str">
        <f t="shared" ref="DQ108:DQ113" si="937">IF(DP108&gt;=80,"A1",
IF(DP108&gt;=75,"A",
IF(DP108&gt;=70,"B2",
IF(DP108&gt;=65,"B3",
IF(DP108&gt;=60,"C4",
IF(DP108&gt;=55,"C5",
IF(DP108&gt;=50,"C6",
IF(DP108&gt;=45,"D7",
IF(DP108&gt;=40,"E8",
IF(DP108&gt;=1,"F9",""))))))))))</f>
        <v/>
      </c>
      <c r="DR108" s="422">
        <v>-425</v>
      </c>
      <c r="DS108" s="422">
        <v>-236.53571428571399</v>
      </c>
      <c r="DT108" s="422">
        <f t="shared" ref="DT108:DT113" si="938">SUM(DR108:DS108)</f>
        <v>-661.53571428571399</v>
      </c>
      <c r="DU108" s="438" t="str">
        <f t="shared" ref="DU108:DU113" si="939">IF(DT108&gt;=80,"A1",
IF(DT108&gt;=75,"A",
IF(DT108&gt;=70,"B2",
IF(DT108&gt;=65,"B3",
IF(DT108&gt;=60,"C4",
IF(DT108&gt;=55,"C5",
IF(DT108&gt;=50,"C6",
IF(DT108&gt;=45,"D7",
IF(DT108&gt;=40,"E8",
IF(DT108&gt;=1,"F9",""))))))))))</f>
        <v/>
      </c>
      <c r="DV108" s="422">
        <v>-115</v>
      </c>
      <c r="DW108" s="422">
        <v>39.785714285714199</v>
      </c>
      <c r="DX108" s="422">
        <f t="shared" ref="DX108:DX113" si="940">SUM(DV108:DW108)</f>
        <v>-75.214285714285808</v>
      </c>
      <c r="DY108" s="438" t="str">
        <f t="shared" ref="DY108:DY113" si="941">IF(DX108&gt;=80,"A1",
IF(DX108&gt;=75,"A",
IF(DX108&gt;=70,"B2",
IF(DX108&gt;=65,"B3",
IF(DX108&gt;=60,"C4",
IF(DX108&gt;=55,"C5",
IF(DX108&gt;=50,"C6",
IF(DX108&gt;=45,"D7",
IF(DX108&gt;=40,"E8",
IF(DX108&gt;=1,"F9",""))))))))))</f>
        <v/>
      </c>
      <c r="DZ108" s="422">
        <f t="shared" ref="DZ108:DZ113" si="942">DV108</f>
        <v>-115</v>
      </c>
      <c r="EA108" s="422">
        <v>-35.250000000000099</v>
      </c>
      <c r="EB108" s="422">
        <f t="shared" ref="EB108:EB113" si="943">SUM(DZ108:EA108)</f>
        <v>-150.25000000000011</v>
      </c>
      <c r="EC108" s="438" t="str">
        <f t="shared" ref="EC108:EC113" si="944">IF(EB108&gt;=80,"A1",
IF(EB108&gt;=75,"A",
IF(EB108&gt;=70,"B2",
IF(EB108&gt;=65,"B3",
IF(EB108&gt;=60,"C4",
IF(EB108&gt;=55,"C5",
IF(EB108&gt;=50,"C6",
IF(EB108&gt;=45,"D7",
IF(EB108&gt;=40,"E8",
IF(EB108&gt;=1,"F9",""))))))))))</f>
        <v/>
      </c>
      <c r="ED108" s="422">
        <f t="shared" si="643"/>
        <v>-4699.3777979431361</v>
      </c>
      <c r="EE108" s="422">
        <f t="shared" si="650"/>
        <v>-293.71111237144601</v>
      </c>
      <c r="EF108" s="438" t="str">
        <f t="shared" si="651"/>
        <v/>
      </c>
      <c r="EG108" s="422" t="str">
        <f t="shared" si="652"/>
        <v/>
      </c>
      <c r="EH108" s="439">
        <v>1</v>
      </c>
      <c r="EI108" s="422">
        <f t="shared" si="653"/>
        <v>-4699.3777979431361</v>
      </c>
      <c r="EJ108" s="440">
        <f t="shared" si="654"/>
        <v>-2.9371111237144603</v>
      </c>
      <c r="EK108" s="438" t="s">
        <v>573</v>
      </c>
      <c r="EL108" s="438" t="s">
        <v>762</v>
      </c>
    </row>
    <row r="109" spans="1:142" ht="30">
      <c r="A109" s="376"/>
      <c r="B109" s="376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690"/>
      <c r="Z109" s="840"/>
      <c r="AA109" s="420">
        <f t="shared" si="583"/>
        <v>108</v>
      </c>
      <c r="AB109" s="435" t="s">
        <v>59</v>
      </c>
      <c r="AC109" s="422" t="s">
        <v>394</v>
      </c>
      <c r="AD109" s="422" t="s">
        <v>326</v>
      </c>
      <c r="AE109" s="422">
        <v>28.8571428571429</v>
      </c>
      <c r="AF109" s="422">
        <f>'SSS1 ATTENDANCE '!FJ115</f>
        <v>0</v>
      </c>
      <c r="AG109" s="422" t="str">
        <f>'SSS1 ATTENDANCE '!FH115</f>
        <v>Average Attendance For The Term</v>
      </c>
      <c r="AH109" s="422">
        <f>'SSS1 ATTENDANCE '!FI115</f>
        <v>0</v>
      </c>
      <c r="AI109" s="436" t="s">
        <v>681</v>
      </c>
      <c r="AJ109" s="437">
        <v>40754</v>
      </c>
      <c r="AK109" s="435" t="s">
        <v>396</v>
      </c>
      <c r="AL109" s="424">
        <v>25</v>
      </c>
      <c r="AM109" s="422">
        <v>82</v>
      </c>
      <c r="AN109" s="438">
        <v>4</v>
      </c>
      <c r="AO109" s="422" t="str">
        <f t="shared" si="644"/>
        <v>3</v>
      </c>
      <c r="AP109" s="438">
        <v>5</v>
      </c>
      <c r="AQ109" s="422">
        <v>4</v>
      </c>
      <c r="AR109" s="438">
        <v>4</v>
      </c>
      <c r="AS109" s="438">
        <v>4</v>
      </c>
      <c r="AT109" s="438">
        <v>4</v>
      </c>
      <c r="AU109" s="438">
        <v>3</v>
      </c>
      <c r="AV109" s="438">
        <v>4</v>
      </c>
      <c r="AW109" s="438">
        <v>4</v>
      </c>
      <c r="AX109" s="438">
        <v>3</v>
      </c>
      <c r="AY109" s="438">
        <v>4</v>
      </c>
      <c r="AZ109" s="438">
        <v>3</v>
      </c>
      <c r="BA109" s="438">
        <v>3</v>
      </c>
      <c r="BB109" s="438">
        <v>3</v>
      </c>
      <c r="BC109" s="438">
        <v>4</v>
      </c>
      <c r="BD109" s="438">
        <v>4</v>
      </c>
      <c r="BE109" s="438">
        <v>4</v>
      </c>
      <c r="BF109" s="438">
        <v>3</v>
      </c>
      <c r="BG109" s="438">
        <v>3</v>
      </c>
      <c r="BH109" s="438">
        <v>3</v>
      </c>
      <c r="BI109" s="438">
        <v>5</v>
      </c>
      <c r="BJ109" s="438">
        <v>4</v>
      </c>
      <c r="BK109" s="438">
        <v>3</v>
      </c>
      <c r="BL109" s="438">
        <v>5</v>
      </c>
      <c r="BM109" s="438">
        <v>3</v>
      </c>
      <c r="BN109" s="422" t="s">
        <v>507</v>
      </c>
      <c r="BO109" s="438">
        <v>-20</v>
      </c>
      <c r="BP109" s="438">
        <v>-401.857142857143</v>
      </c>
      <c r="BQ109" s="422">
        <f t="shared" si="910"/>
        <v>-421.857142857143</v>
      </c>
      <c r="BR109" s="438" t="str">
        <f t="shared" si="911"/>
        <v/>
      </c>
      <c r="BS109" s="422">
        <v>-20</v>
      </c>
      <c r="BT109" s="438">
        <v>-296.28571428571399</v>
      </c>
      <c r="BU109" s="422">
        <f t="shared" si="912"/>
        <v>-316.28571428571399</v>
      </c>
      <c r="BV109" s="438" t="str">
        <f t="shared" si="913"/>
        <v/>
      </c>
      <c r="BW109" s="422">
        <v>-20</v>
      </c>
      <c r="BX109" s="422">
        <v>-286.142857142857</v>
      </c>
      <c r="BY109" s="422">
        <f t="shared" si="914"/>
        <v>-306.142857142857</v>
      </c>
      <c r="BZ109" s="438" t="str">
        <f t="shared" si="915"/>
        <v/>
      </c>
      <c r="CA109" s="422">
        <v>-20</v>
      </c>
      <c r="CB109" s="422">
        <v>-300.00000000000102</v>
      </c>
      <c r="CC109" s="422">
        <f t="shared" si="916"/>
        <v>-320.00000000000102</v>
      </c>
      <c r="CD109" s="438" t="str">
        <f t="shared" si="917"/>
        <v/>
      </c>
      <c r="CE109" s="422">
        <v>35</v>
      </c>
      <c r="CF109" s="422">
        <v>-288.857142857143</v>
      </c>
      <c r="CG109" s="422">
        <f t="shared" si="918"/>
        <v>-253.857142857143</v>
      </c>
      <c r="CH109" s="438" t="str">
        <f t="shared" si="919"/>
        <v/>
      </c>
      <c r="CI109" s="422">
        <v>-20</v>
      </c>
      <c r="CJ109" s="422">
        <v>-149.42857142857099</v>
      </c>
      <c r="CK109" s="422">
        <f t="shared" si="920"/>
        <v>-169.42857142857099</v>
      </c>
      <c r="CL109" s="438" t="str">
        <f t="shared" si="921"/>
        <v/>
      </c>
      <c r="CM109" s="422">
        <v>-20</v>
      </c>
      <c r="CN109" s="422"/>
      <c r="CO109" s="422"/>
      <c r="CP109" s="422">
        <f t="shared" si="922"/>
        <v>-20</v>
      </c>
      <c r="CQ109" s="422">
        <v>18.500000000000099</v>
      </c>
      <c r="CR109" s="422">
        <f t="shared" si="923"/>
        <v>-1.4999999999999005</v>
      </c>
      <c r="CS109" s="438" t="str">
        <f t="shared" si="924"/>
        <v/>
      </c>
      <c r="CT109" s="422">
        <v>-57.368421052631597</v>
      </c>
      <c r="CU109" s="422">
        <v>-329.47368421052698</v>
      </c>
      <c r="CV109" s="422">
        <f t="shared" si="925"/>
        <v>-386.8421052631586</v>
      </c>
      <c r="CW109" s="438" t="str">
        <f t="shared" si="926"/>
        <v/>
      </c>
      <c r="CX109" s="422">
        <v>-78.3333333333333</v>
      </c>
      <c r="CY109" s="422">
        <v>-300.00000000000102</v>
      </c>
      <c r="CZ109" s="422">
        <f t="shared" si="927"/>
        <v>-378.33333333333434</v>
      </c>
      <c r="DA109" s="438" t="str">
        <f t="shared" si="928"/>
        <v/>
      </c>
      <c r="DB109" s="422">
        <f t="shared" ref="DB109:DB113" si="945">CX109</f>
        <v>-78.3333333333333</v>
      </c>
      <c r="DC109" s="422">
        <v>-240</v>
      </c>
      <c r="DD109" s="422">
        <f t="shared" si="929"/>
        <v>-318.33333333333331</v>
      </c>
      <c r="DE109" s="422" t="str">
        <f t="shared" si="930"/>
        <v/>
      </c>
      <c r="DF109" s="422">
        <f t="shared" si="931"/>
        <v>-78.3333333333333</v>
      </c>
      <c r="DG109" s="422">
        <v>-300.00000000000102</v>
      </c>
      <c r="DH109" s="422">
        <f t="shared" si="932"/>
        <v>-378.33333333333434</v>
      </c>
      <c r="DI109" s="422" t="str">
        <f t="shared" si="933"/>
        <v/>
      </c>
      <c r="DJ109" s="422">
        <f t="shared" ref="DJ109:DJ113" si="946">DF109</f>
        <v>-78.3333333333333</v>
      </c>
      <c r="DK109" s="422">
        <v>28.714285714285701</v>
      </c>
      <c r="DL109" s="422">
        <f t="shared" si="934"/>
        <v>-49.619047619047599</v>
      </c>
      <c r="DM109" s="422" t="str">
        <f t="shared" si="935"/>
        <v/>
      </c>
      <c r="DN109" s="422">
        <f t="shared" ref="DN109:DN113" si="947">DJ109</f>
        <v>-78.3333333333333</v>
      </c>
      <c r="DO109" s="422">
        <v>-16.714285714285701</v>
      </c>
      <c r="DP109" s="422">
        <f t="shared" si="936"/>
        <v>-95.047619047619008</v>
      </c>
      <c r="DQ109" s="438" t="str">
        <f t="shared" si="937"/>
        <v/>
      </c>
      <c r="DR109" s="422">
        <f t="shared" ref="DR109:DR113" si="948">DN109</f>
        <v>-78.3333333333333</v>
      </c>
      <c r="DS109" s="422">
        <v>-239.142857142857</v>
      </c>
      <c r="DT109" s="422">
        <f t="shared" si="938"/>
        <v>-317.47619047619031</v>
      </c>
      <c r="DU109" s="438" t="str">
        <f t="shared" si="939"/>
        <v/>
      </c>
      <c r="DV109" s="422">
        <f t="shared" ref="DV109:DV113" si="949">DR109</f>
        <v>-78.3333333333333</v>
      </c>
      <c r="DW109" s="422">
        <v>39.714285714285701</v>
      </c>
      <c r="DX109" s="422">
        <f t="shared" si="940"/>
        <v>-38.619047619047599</v>
      </c>
      <c r="DY109" s="438" t="str">
        <f t="shared" si="941"/>
        <v/>
      </c>
      <c r="DZ109" s="422">
        <f t="shared" si="942"/>
        <v>-78.3333333333333</v>
      </c>
      <c r="EA109" s="422">
        <v>-36.000000000000099</v>
      </c>
      <c r="EB109" s="422">
        <f t="shared" si="943"/>
        <v>-114.3333333333334</v>
      </c>
      <c r="EC109" s="438" t="str">
        <f t="shared" si="944"/>
        <v/>
      </c>
      <c r="ED109" s="422">
        <f t="shared" si="643"/>
        <v>-3866.0087719298281</v>
      </c>
      <c r="EE109" s="422">
        <f t="shared" si="650"/>
        <v>-241.62554824561425</v>
      </c>
      <c r="EF109" s="438" t="str">
        <f t="shared" si="651"/>
        <v/>
      </c>
      <c r="EG109" s="422" t="str">
        <f t="shared" si="652"/>
        <v/>
      </c>
      <c r="EH109" s="439">
        <v>1</v>
      </c>
      <c r="EI109" s="422">
        <f t="shared" si="653"/>
        <v>-3866.0087719298281</v>
      </c>
      <c r="EJ109" s="440">
        <f t="shared" si="654"/>
        <v>-2.4162554824561426</v>
      </c>
      <c r="EK109" s="438" t="s">
        <v>573</v>
      </c>
      <c r="EL109" s="438" t="s">
        <v>762</v>
      </c>
    </row>
    <row r="110" spans="1:142" ht="30">
      <c r="A110" s="376"/>
      <c r="B110" s="376"/>
      <c r="C110" s="376"/>
      <c r="D110" s="376"/>
      <c r="E110" s="376"/>
      <c r="F110" s="376"/>
      <c r="G110" s="376"/>
      <c r="H110" s="376"/>
      <c r="I110" s="376"/>
      <c r="J110" s="376"/>
      <c r="K110" s="376"/>
      <c r="L110" s="376"/>
      <c r="M110" s="376"/>
      <c r="N110" s="376"/>
      <c r="O110" s="376"/>
      <c r="P110" s="376"/>
      <c r="Q110" s="376"/>
      <c r="R110" s="376"/>
      <c r="S110" s="376"/>
      <c r="T110" s="376"/>
      <c r="U110" s="376"/>
      <c r="V110" s="376"/>
      <c r="W110" s="376"/>
      <c r="X110" s="376"/>
      <c r="Y110" s="690"/>
      <c r="Z110" s="840"/>
      <c r="AA110" s="420">
        <f t="shared" si="583"/>
        <v>109</v>
      </c>
      <c r="AB110" s="435" t="s">
        <v>60</v>
      </c>
      <c r="AC110" s="422" t="s">
        <v>394</v>
      </c>
      <c r="AD110" s="422" t="s">
        <v>326</v>
      </c>
      <c r="AE110" s="422">
        <v>29</v>
      </c>
      <c r="AF110" s="422">
        <f>'SSS1 ATTENDANCE '!FJ116</f>
        <v>0</v>
      </c>
      <c r="AG110" s="422">
        <f>'SSS1 ATTENDANCE '!FH116</f>
        <v>63.375</v>
      </c>
      <c r="AH110" s="422">
        <f>'SSS1 ATTENDANCE '!FI116</f>
        <v>0</v>
      </c>
      <c r="AI110" s="436" t="s">
        <v>682</v>
      </c>
      <c r="AJ110" s="437">
        <v>40900</v>
      </c>
      <c r="AK110" s="435" t="s">
        <v>396</v>
      </c>
      <c r="AL110" s="424">
        <v>25</v>
      </c>
      <c r="AM110" s="422">
        <v>82.535714285714306</v>
      </c>
      <c r="AN110" s="438">
        <v>4</v>
      </c>
      <c r="AO110" s="422" t="str">
        <f t="shared" si="644"/>
        <v>3</v>
      </c>
      <c r="AP110" s="438">
        <v>5</v>
      </c>
      <c r="AQ110" s="422">
        <v>4</v>
      </c>
      <c r="AR110" s="438">
        <v>4</v>
      </c>
      <c r="AS110" s="438">
        <v>4</v>
      </c>
      <c r="AT110" s="438">
        <v>4</v>
      </c>
      <c r="AU110" s="438">
        <v>3</v>
      </c>
      <c r="AV110" s="438">
        <v>4</v>
      </c>
      <c r="AW110" s="438">
        <v>4</v>
      </c>
      <c r="AX110" s="438">
        <v>3</v>
      </c>
      <c r="AY110" s="438">
        <v>4</v>
      </c>
      <c r="AZ110" s="438">
        <v>3</v>
      </c>
      <c r="BA110" s="438">
        <v>3</v>
      </c>
      <c r="BB110" s="438">
        <v>3</v>
      </c>
      <c r="BC110" s="438">
        <v>4</v>
      </c>
      <c r="BD110" s="438">
        <v>4</v>
      </c>
      <c r="BE110" s="438">
        <v>4</v>
      </c>
      <c r="BF110" s="438">
        <v>3</v>
      </c>
      <c r="BG110" s="438">
        <v>3</v>
      </c>
      <c r="BH110" s="438">
        <v>3</v>
      </c>
      <c r="BI110" s="438">
        <v>5</v>
      </c>
      <c r="BJ110" s="438">
        <v>4</v>
      </c>
      <c r="BK110" s="438">
        <v>3</v>
      </c>
      <c r="BL110" s="438">
        <v>5</v>
      </c>
      <c r="BM110" s="438">
        <v>3</v>
      </c>
      <c r="BN110" s="422" t="s">
        <v>508</v>
      </c>
      <c r="BO110" s="438">
        <v>-20.535714285714299</v>
      </c>
      <c r="BP110" s="438">
        <v>-406.03571428571399</v>
      </c>
      <c r="BQ110" s="422">
        <f t="shared" si="910"/>
        <v>-426.57142857142827</v>
      </c>
      <c r="BR110" s="438" t="str">
        <f t="shared" si="911"/>
        <v/>
      </c>
      <c r="BS110" s="422">
        <v>-20.535714285714299</v>
      </c>
      <c r="BT110" s="438">
        <v>-299.53571428571399</v>
      </c>
      <c r="BU110" s="422">
        <f t="shared" si="912"/>
        <v>-320.07142857142827</v>
      </c>
      <c r="BV110" s="438" t="str">
        <f t="shared" si="913"/>
        <v/>
      </c>
      <c r="BW110" s="422">
        <v>-20.535714285714299</v>
      </c>
      <c r="BX110" s="422">
        <v>-289.24999999999898</v>
      </c>
      <c r="BY110" s="422">
        <f t="shared" si="914"/>
        <v>-309.78571428571325</v>
      </c>
      <c r="BZ110" s="438" t="str">
        <f t="shared" si="915"/>
        <v/>
      </c>
      <c r="CA110" s="422">
        <v>-20.535714285714299</v>
      </c>
      <c r="CB110" s="422">
        <v>-303.21428571428601</v>
      </c>
      <c r="CC110" s="422">
        <f t="shared" si="916"/>
        <v>-323.75000000000028</v>
      </c>
      <c r="CD110" s="438" t="str">
        <f t="shared" si="917"/>
        <v/>
      </c>
      <c r="CE110" s="422">
        <v>35</v>
      </c>
      <c r="CF110" s="422">
        <v>-292</v>
      </c>
      <c r="CG110" s="422">
        <f t="shared" si="918"/>
        <v>-257</v>
      </c>
      <c r="CH110" s="438" t="str">
        <f t="shared" si="919"/>
        <v/>
      </c>
      <c r="CI110" s="422">
        <v>-20.535714285714299</v>
      </c>
      <c r="CJ110" s="422">
        <v>-151.25</v>
      </c>
      <c r="CK110" s="422">
        <f t="shared" si="920"/>
        <v>-171.78571428571431</v>
      </c>
      <c r="CL110" s="438" t="str">
        <f t="shared" si="921"/>
        <v/>
      </c>
      <c r="CM110" s="422">
        <v>-20.535714285714299</v>
      </c>
      <c r="CN110" s="422"/>
      <c r="CO110" s="422"/>
      <c r="CP110" s="422"/>
      <c r="CQ110" s="422">
        <v>18.215517241379398</v>
      </c>
      <c r="CR110" s="422">
        <f t="shared" si="923"/>
        <v>18.215517241379398</v>
      </c>
      <c r="CS110" s="438" t="str">
        <f t="shared" si="924"/>
        <v>F9</v>
      </c>
      <c r="CT110" s="422">
        <v>-58.421052631579002</v>
      </c>
      <c r="CU110" s="422">
        <v>-333.68421052631601</v>
      </c>
      <c r="CV110" s="422">
        <f t="shared" si="925"/>
        <v>-392.10526315789502</v>
      </c>
      <c r="CW110" s="438" t="str">
        <f t="shared" si="926"/>
        <v/>
      </c>
      <c r="CX110" s="422">
        <f t="shared" ref="CX110" si="950">CT110</f>
        <v>-58.421052631579002</v>
      </c>
      <c r="CY110" s="422">
        <v>-303.21428571428601</v>
      </c>
      <c r="CZ110" s="422">
        <f t="shared" si="927"/>
        <v>-361.63533834586502</v>
      </c>
      <c r="DA110" s="438" t="str">
        <f t="shared" si="928"/>
        <v/>
      </c>
      <c r="DB110" s="422">
        <f t="shared" si="945"/>
        <v>-58.421052631579002</v>
      </c>
      <c r="DC110" s="422">
        <v>-242.67857142857099</v>
      </c>
      <c r="DD110" s="422">
        <f t="shared" si="929"/>
        <v>-301.09962406015001</v>
      </c>
      <c r="DE110" s="422" t="str">
        <f t="shared" si="930"/>
        <v/>
      </c>
      <c r="DF110" s="422">
        <f t="shared" si="931"/>
        <v>-58.421052631579002</v>
      </c>
      <c r="DG110" s="422">
        <v>-303.21428571428601</v>
      </c>
      <c r="DH110" s="422">
        <f t="shared" si="932"/>
        <v>-361.63533834586502</v>
      </c>
      <c r="DI110" s="422" t="str">
        <f t="shared" si="933"/>
        <v/>
      </c>
      <c r="DJ110" s="422">
        <f t="shared" si="946"/>
        <v>-58.421052631579002</v>
      </c>
      <c r="DK110" s="422">
        <v>28.535714285714199</v>
      </c>
      <c r="DL110" s="422">
        <f t="shared" si="934"/>
        <v>-29.885338345864803</v>
      </c>
      <c r="DM110" s="422" t="str">
        <f t="shared" si="935"/>
        <v/>
      </c>
      <c r="DN110" s="422">
        <f t="shared" si="947"/>
        <v>-58.421052631579002</v>
      </c>
      <c r="DO110" s="422">
        <v>-17.321428571428601</v>
      </c>
      <c r="DP110" s="422">
        <f t="shared" si="936"/>
        <v>-75.7424812030076</v>
      </c>
      <c r="DQ110" s="438" t="str">
        <f t="shared" si="937"/>
        <v/>
      </c>
      <c r="DR110" s="422">
        <f t="shared" si="948"/>
        <v>-58.421052631579002</v>
      </c>
      <c r="DS110" s="422">
        <v>-241.75</v>
      </c>
      <c r="DT110" s="422">
        <f t="shared" si="938"/>
        <v>-300.17105263157902</v>
      </c>
      <c r="DU110" s="438" t="str">
        <f t="shared" si="939"/>
        <v/>
      </c>
      <c r="DV110" s="422">
        <f t="shared" si="949"/>
        <v>-58.421052631579002</v>
      </c>
      <c r="DW110" s="422">
        <v>39.642857142857103</v>
      </c>
      <c r="DX110" s="422">
        <f t="shared" si="940"/>
        <v>-18.778195488721899</v>
      </c>
      <c r="DY110" s="438" t="str">
        <f t="shared" si="941"/>
        <v/>
      </c>
      <c r="DZ110" s="422">
        <f t="shared" si="942"/>
        <v>-58.421052631579002</v>
      </c>
      <c r="EA110" s="422">
        <v>-36.750000000000099</v>
      </c>
      <c r="EB110" s="422">
        <f t="shared" si="943"/>
        <v>-95.171052631579101</v>
      </c>
      <c r="EC110" s="438" t="str">
        <f t="shared" si="944"/>
        <v/>
      </c>
      <c r="ED110" s="422">
        <f t="shared" si="643"/>
        <v>-3726.9724526834325</v>
      </c>
      <c r="EE110" s="422">
        <f t="shared" si="650"/>
        <v>-232.93577829271453</v>
      </c>
      <c r="EF110" s="438" t="str">
        <f t="shared" si="651"/>
        <v/>
      </c>
      <c r="EG110" s="422" t="str">
        <f t="shared" si="652"/>
        <v/>
      </c>
      <c r="EH110" s="439">
        <v>1</v>
      </c>
      <c r="EI110" s="422">
        <f t="shared" si="653"/>
        <v>-3726.9724526834325</v>
      </c>
      <c r="EJ110" s="440">
        <f t="shared" si="654"/>
        <v>-2.3293577829271452</v>
      </c>
      <c r="EK110" s="438" t="s">
        <v>573</v>
      </c>
      <c r="EL110" s="438" t="s">
        <v>762</v>
      </c>
    </row>
    <row r="111" spans="1:142" ht="30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6"/>
      <c r="P111" s="376"/>
      <c r="Q111" s="376"/>
      <c r="R111" s="376"/>
      <c r="S111" s="376"/>
      <c r="T111" s="376"/>
      <c r="U111" s="376"/>
      <c r="V111" s="376"/>
      <c r="W111" s="376"/>
      <c r="X111" s="376"/>
      <c r="Y111" s="690"/>
      <c r="Z111" s="840"/>
      <c r="AA111" s="420">
        <f t="shared" si="583"/>
        <v>110</v>
      </c>
      <c r="AB111" s="435" t="s">
        <v>61</v>
      </c>
      <c r="AC111" s="422" t="s">
        <v>394</v>
      </c>
      <c r="AD111" s="422" t="s">
        <v>326</v>
      </c>
      <c r="AE111" s="422">
        <v>29.142857142857199</v>
      </c>
      <c r="AF111" s="422">
        <f>'SSS1 ATTENDANCE '!FJ117</f>
        <v>0</v>
      </c>
      <c r="AG111" s="422" t="str">
        <f>'SSS1 ATTENDANCE '!FH117</f>
        <v>Total Attendances for Boys &amp; Girls</v>
      </c>
      <c r="AH111" s="422">
        <f>'SSS1 ATTENDANCE '!FI117</f>
        <v>0</v>
      </c>
      <c r="AI111" s="436" t="s">
        <v>683</v>
      </c>
      <c r="AJ111" s="437">
        <v>40368</v>
      </c>
      <c r="AK111" s="435" t="s">
        <v>396</v>
      </c>
      <c r="AL111" s="424">
        <v>25</v>
      </c>
      <c r="AM111" s="422">
        <v>83.071428571428498</v>
      </c>
      <c r="AN111" s="438">
        <v>4</v>
      </c>
      <c r="AO111" s="422" t="str">
        <f t="shared" si="644"/>
        <v>3</v>
      </c>
      <c r="AP111" s="438">
        <v>5</v>
      </c>
      <c r="AQ111" s="422">
        <v>4</v>
      </c>
      <c r="AR111" s="438">
        <v>4</v>
      </c>
      <c r="AS111" s="438">
        <v>4</v>
      </c>
      <c r="AT111" s="438">
        <v>4</v>
      </c>
      <c r="AU111" s="438">
        <v>3</v>
      </c>
      <c r="AV111" s="438">
        <v>4</v>
      </c>
      <c r="AW111" s="438">
        <v>4</v>
      </c>
      <c r="AX111" s="438">
        <v>3</v>
      </c>
      <c r="AY111" s="438">
        <v>4</v>
      </c>
      <c r="AZ111" s="438">
        <v>3</v>
      </c>
      <c r="BA111" s="438">
        <v>3</v>
      </c>
      <c r="BB111" s="438">
        <v>3</v>
      </c>
      <c r="BC111" s="438">
        <v>4</v>
      </c>
      <c r="BD111" s="438">
        <v>4</v>
      </c>
      <c r="BE111" s="438">
        <v>4</v>
      </c>
      <c r="BF111" s="438">
        <v>3</v>
      </c>
      <c r="BG111" s="438">
        <v>3</v>
      </c>
      <c r="BH111" s="438">
        <v>3</v>
      </c>
      <c r="BI111" s="438">
        <v>5</v>
      </c>
      <c r="BJ111" s="438">
        <v>4</v>
      </c>
      <c r="BK111" s="438">
        <v>3</v>
      </c>
      <c r="BL111" s="438">
        <v>5</v>
      </c>
      <c r="BM111" s="438">
        <v>3</v>
      </c>
      <c r="BN111" s="422" t="s">
        <v>509</v>
      </c>
      <c r="BO111" s="438">
        <v>-21.071428571428498</v>
      </c>
      <c r="BP111" s="438">
        <v>-410.21428571428601</v>
      </c>
      <c r="BQ111" s="422">
        <f t="shared" si="910"/>
        <v>-431.2857142857145</v>
      </c>
      <c r="BR111" s="438" t="str">
        <f t="shared" si="911"/>
        <v/>
      </c>
      <c r="BS111" s="422">
        <v>-21.071428571428498</v>
      </c>
      <c r="BT111" s="438">
        <v>-302.78571428571399</v>
      </c>
      <c r="BU111" s="422">
        <f t="shared" si="912"/>
        <v>-323.85714285714249</v>
      </c>
      <c r="BV111" s="438" t="str">
        <f t="shared" si="913"/>
        <v/>
      </c>
      <c r="BW111" s="422">
        <v>-21.071428571428498</v>
      </c>
      <c r="BX111" s="422">
        <v>-292.35714285714198</v>
      </c>
      <c r="BY111" s="422">
        <f t="shared" si="914"/>
        <v>-313.42857142857048</v>
      </c>
      <c r="BZ111" s="438" t="str">
        <f t="shared" si="915"/>
        <v/>
      </c>
      <c r="CA111" s="422">
        <v>-21.071428571428498</v>
      </c>
      <c r="CB111" s="422">
        <v>-306.42857142857201</v>
      </c>
      <c r="CC111" s="422">
        <f t="shared" si="916"/>
        <v>-327.50000000000051</v>
      </c>
      <c r="CD111" s="438" t="str">
        <f t="shared" si="917"/>
        <v/>
      </c>
      <c r="CE111" s="422">
        <v>35</v>
      </c>
      <c r="CF111" s="422">
        <v>-295.14285714285802</v>
      </c>
      <c r="CG111" s="422">
        <f t="shared" si="918"/>
        <v>-260.14285714285802</v>
      </c>
      <c r="CH111" s="438" t="str">
        <f t="shared" si="919"/>
        <v/>
      </c>
      <c r="CI111" s="422">
        <v>-21.071428571428498</v>
      </c>
      <c r="CJ111" s="422">
        <v>-153.07142857142799</v>
      </c>
      <c r="CK111" s="422">
        <f t="shared" si="920"/>
        <v>-174.14285714285649</v>
      </c>
      <c r="CL111" s="438" t="str">
        <f t="shared" si="921"/>
        <v/>
      </c>
      <c r="CM111" s="422">
        <v>-21.071428571428498</v>
      </c>
      <c r="CN111" s="422"/>
      <c r="CO111" s="422"/>
      <c r="CP111" s="422">
        <f t="shared" ref="CP111" si="951">CM111</f>
        <v>-21.071428571428498</v>
      </c>
      <c r="CQ111" s="422">
        <v>17.931034482758701</v>
      </c>
      <c r="CR111" s="422">
        <f t="shared" si="923"/>
        <v>-3.1403940886697974</v>
      </c>
      <c r="CS111" s="438" t="str">
        <f t="shared" si="924"/>
        <v/>
      </c>
      <c r="CT111" s="422">
        <v>-59.4736842105264</v>
      </c>
      <c r="CU111" s="422">
        <v>-337.894736842106</v>
      </c>
      <c r="CV111" s="422">
        <f t="shared" si="925"/>
        <v>-397.36842105263241</v>
      </c>
      <c r="CW111" s="438" t="str">
        <f t="shared" si="926"/>
        <v/>
      </c>
      <c r="CX111" s="422">
        <v>35</v>
      </c>
      <c r="CY111" s="422">
        <v>-306.42857142857201</v>
      </c>
      <c r="CZ111" s="422">
        <f t="shared" si="927"/>
        <v>-271.42857142857201</v>
      </c>
      <c r="DA111" s="438" t="str">
        <f t="shared" si="928"/>
        <v/>
      </c>
      <c r="DB111" s="422">
        <f t="shared" si="945"/>
        <v>35</v>
      </c>
      <c r="DC111" s="422">
        <v>-245.357142857143</v>
      </c>
      <c r="DD111" s="422">
        <f t="shared" si="929"/>
        <v>-210.357142857143</v>
      </c>
      <c r="DE111" s="422" t="str">
        <f t="shared" si="930"/>
        <v/>
      </c>
      <c r="DF111" s="422">
        <f t="shared" si="931"/>
        <v>35</v>
      </c>
      <c r="DG111" s="422">
        <v>-306.42857142857201</v>
      </c>
      <c r="DH111" s="422">
        <f t="shared" si="932"/>
        <v>-271.42857142857201</v>
      </c>
      <c r="DI111" s="422" t="str">
        <f t="shared" si="933"/>
        <v/>
      </c>
      <c r="DJ111" s="422">
        <f t="shared" si="946"/>
        <v>35</v>
      </c>
      <c r="DK111" s="422">
        <v>28.357142857142801</v>
      </c>
      <c r="DL111" s="422">
        <f t="shared" si="934"/>
        <v>63.357142857142804</v>
      </c>
      <c r="DM111" s="422" t="str">
        <f t="shared" si="935"/>
        <v>C4</v>
      </c>
      <c r="DN111" s="422">
        <f t="shared" si="947"/>
        <v>35</v>
      </c>
      <c r="DO111" s="422">
        <v>-17.928571428571399</v>
      </c>
      <c r="DP111" s="422">
        <f t="shared" si="936"/>
        <v>17.071428571428601</v>
      </c>
      <c r="DQ111" s="438" t="str">
        <f t="shared" si="937"/>
        <v>F9</v>
      </c>
      <c r="DR111" s="422">
        <f t="shared" si="948"/>
        <v>35</v>
      </c>
      <c r="DS111" s="422">
        <v>-244.35714285714201</v>
      </c>
      <c r="DT111" s="422">
        <f t="shared" si="938"/>
        <v>-209.35714285714201</v>
      </c>
      <c r="DU111" s="438" t="str">
        <f t="shared" si="939"/>
        <v/>
      </c>
      <c r="DV111" s="422">
        <f t="shared" si="949"/>
        <v>35</v>
      </c>
      <c r="DW111" s="422">
        <v>39.571428571428498</v>
      </c>
      <c r="DX111" s="422">
        <f t="shared" si="940"/>
        <v>74.571428571428498</v>
      </c>
      <c r="DY111" s="438" t="str">
        <f t="shared" si="941"/>
        <v>B2</v>
      </c>
      <c r="DZ111" s="422">
        <f t="shared" si="942"/>
        <v>35</v>
      </c>
      <c r="EA111" s="422">
        <v>-37.500000000000099</v>
      </c>
      <c r="EB111" s="422">
        <f t="shared" si="943"/>
        <v>-2.5000000000000995</v>
      </c>
      <c r="EC111" s="438" t="str">
        <f t="shared" si="944"/>
        <v/>
      </c>
      <c r="ED111" s="422">
        <f t="shared" si="643"/>
        <v>-3040.9373865698744</v>
      </c>
      <c r="EE111" s="422">
        <f t="shared" si="650"/>
        <v>-190.05858666061715</v>
      </c>
      <c r="EF111" s="438" t="str">
        <f t="shared" si="651"/>
        <v/>
      </c>
      <c r="EG111" s="422" t="str">
        <f t="shared" si="652"/>
        <v/>
      </c>
      <c r="EH111" s="439">
        <v>1</v>
      </c>
      <c r="EI111" s="422">
        <f t="shared" si="653"/>
        <v>-3040.9373865698744</v>
      </c>
      <c r="EJ111" s="440">
        <f t="shared" si="654"/>
        <v>-1.9005858666061715</v>
      </c>
      <c r="EK111" s="438" t="s">
        <v>746</v>
      </c>
      <c r="EL111" s="438" t="s">
        <v>762</v>
      </c>
    </row>
    <row r="112" spans="1:142" ht="30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76"/>
      <c r="Y112" s="690"/>
      <c r="Z112" s="840"/>
      <c r="AA112" s="420">
        <f t="shared" si="583"/>
        <v>111</v>
      </c>
      <c r="AB112" s="435" t="s">
        <v>62</v>
      </c>
      <c r="AC112" s="422" t="s">
        <v>394</v>
      </c>
      <c r="AD112" s="422" t="s">
        <v>326</v>
      </c>
      <c r="AE112" s="422">
        <v>29.285714285714299</v>
      </c>
      <c r="AF112" s="422">
        <f>'SSS1 ATTENDANCE '!FJ118</f>
        <v>0</v>
      </c>
      <c r="AG112" s="422" t="str">
        <f>'SSS1 ATTENDANCE '!FH118</f>
        <v>Boys</v>
      </c>
      <c r="AH112" s="422" t="str">
        <f>'SSS1 ATTENDANCE '!FI118</f>
        <v>Girls</v>
      </c>
      <c r="AI112" s="436" t="s">
        <v>684</v>
      </c>
      <c r="AJ112" s="437">
        <v>40852</v>
      </c>
      <c r="AK112" s="435" t="s">
        <v>396</v>
      </c>
      <c r="AL112" s="424">
        <v>25</v>
      </c>
      <c r="AM112" s="422">
        <v>83.607142857142804</v>
      </c>
      <c r="AN112" s="438">
        <v>4</v>
      </c>
      <c r="AO112" s="422" t="str">
        <f t="shared" si="644"/>
        <v>3</v>
      </c>
      <c r="AP112" s="438">
        <v>5</v>
      </c>
      <c r="AQ112" s="422">
        <v>4</v>
      </c>
      <c r="AR112" s="438">
        <v>4</v>
      </c>
      <c r="AS112" s="438">
        <v>4</v>
      </c>
      <c r="AT112" s="438">
        <v>4</v>
      </c>
      <c r="AU112" s="438">
        <v>3</v>
      </c>
      <c r="AV112" s="438">
        <v>4</v>
      </c>
      <c r="AW112" s="438">
        <v>4</v>
      </c>
      <c r="AX112" s="438">
        <v>3</v>
      </c>
      <c r="AY112" s="438">
        <v>4</v>
      </c>
      <c r="AZ112" s="438">
        <v>3</v>
      </c>
      <c r="BA112" s="438">
        <v>3</v>
      </c>
      <c r="BB112" s="438">
        <v>3</v>
      </c>
      <c r="BC112" s="438">
        <v>4</v>
      </c>
      <c r="BD112" s="438">
        <v>4</v>
      </c>
      <c r="BE112" s="438">
        <v>4</v>
      </c>
      <c r="BF112" s="438">
        <v>3</v>
      </c>
      <c r="BG112" s="438">
        <v>3</v>
      </c>
      <c r="BH112" s="438">
        <v>3</v>
      </c>
      <c r="BI112" s="438">
        <v>5</v>
      </c>
      <c r="BJ112" s="438">
        <v>4</v>
      </c>
      <c r="BK112" s="438">
        <v>3</v>
      </c>
      <c r="BL112" s="438">
        <v>5</v>
      </c>
      <c r="BM112" s="438">
        <v>3</v>
      </c>
      <c r="BN112" s="422" t="s">
        <v>510</v>
      </c>
      <c r="BO112" s="438">
        <v>-21.607142857142801</v>
      </c>
      <c r="BP112" s="438">
        <v>-414.392857142857</v>
      </c>
      <c r="BQ112" s="422">
        <f t="shared" si="910"/>
        <v>-435.99999999999977</v>
      </c>
      <c r="BR112" s="438" t="str">
        <f t="shared" si="911"/>
        <v/>
      </c>
      <c r="BS112" s="422">
        <v>-21.607142857142801</v>
      </c>
      <c r="BT112" s="438">
        <v>-306.03571428571399</v>
      </c>
      <c r="BU112" s="422">
        <f t="shared" si="912"/>
        <v>-327.64285714285677</v>
      </c>
      <c r="BV112" s="438" t="str">
        <f t="shared" si="913"/>
        <v/>
      </c>
      <c r="BW112" s="422">
        <v>-21.607142857142801</v>
      </c>
      <c r="BX112" s="422">
        <v>-295.46428571428498</v>
      </c>
      <c r="BY112" s="422">
        <f t="shared" si="914"/>
        <v>-317.07142857142776</v>
      </c>
      <c r="BZ112" s="438" t="str">
        <f t="shared" si="915"/>
        <v/>
      </c>
      <c r="CA112" s="422">
        <v>-21.607142857142801</v>
      </c>
      <c r="CB112" s="422">
        <v>-309.64285714285802</v>
      </c>
      <c r="CC112" s="422">
        <f t="shared" si="916"/>
        <v>-331.2500000000008</v>
      </c>
      <c r="CD112" s="438" t="str">
        <f t="shared" si="917"/>
        <v/>
      </c>
      <c r="CE112" s="422">
        <v>35</v>
      </c>
      <c r="CF112" s="422">
        <v>-298.28571428571502</v>
      </c>
      <c r="CG112" s="422">
        <f t="shared" si="918"/>
        <v>-263.28571428571502</v>
      </c>
      <c r="CH112" s="438" t="str">
        <f t="shared" si="919"/>
        <v/>
      </c>
      <c r="CI112" s="422">
        <v>-21.607142857142801</v>
      </c>
      <c r="CJ112" s="422">
        <v>-154.892857142857</v>
      </c>
      <c r="CK112" s="422">
        <f t="shared" si="920"/>
        <v>-176.4999999999998</v>
      </c>
      <c r="CL112" s="438" t="str">
        <f t="shared" si="921"/>
        <v/>
      </c>
      <c r="CM112" s="422">
        <v>-21.607142857142801</v>
      </c>
      <c r="CN112" s="422"/>
      <c r="CO112" s="422"/>
      <c r="CP112" s="422"/>
      <c r="CQ112" s="422">
        <v>17.646551724138</v>
      </c>
      <c r="CR112" s="422">
        <f t="shared" si="923"/>
        <v>17.646551724138</v>
      </c>
      <c r="CS112" s="438" t="str">
        <f t="shared" si="924"/>
        <v>F9</v>
      </c>
      <c r="CT112" s="422">
        <v>-60.526315789473699</v>
      </c>
      <c r="CU112" s="422">
        <v>-342.10526315789502</v>
      </c>
      <c r="CV112" s="422">
        <f t="shared" si="925"/>
        <v>-402.63157894736872</v>
      </c>
      <c r="CW112" s="438" t="str">
        <f t="shared" si="926"/>
        <v/>
      </c>
      <c r="CX112" s="422">
        <f t="shared" ref="CX112" si="952">CT112</f>
        <v>-60.526315789473699</v>
      </c>
      <c r="CY112" s="422">
        <v>-309.64285714285802</v>
      </c>
      <c r="CZ112" s="422">
        <f t="shared" si="927"/>
        <v>-370.16917293233172</v>
      </c>
      <c r="DA112" s="438" t="str">
        <f t="shared" si="928"/>
        <v/>
      </c>
      <c r="DB112" s="422">
        <f t="shared" si="945"/>
        <v>-60.526315789473699</v>
      </c>
      <c r="DC112" s="422">
        <v>-248.03571428571399</v>
      </c>
      <c r="DD112" s="422">
        <f t="shared" si="929"/>
        <v>-308.56203007518769</v>
      </c>
      <c r="DE112" s="422" t="str">
        <f t="shared" si="930"/>
        <v/>
      </c>
      <c r="DF112" s="422">
        <f t="shared" si="931"/>
        <v>-60.526315789473699</v>
      </c>
      <c r="DG112" s="422">
        <v>-309.64285714285802</v>
      </c>
      <c r="DH112" s="422">
        <f t="shared" si="932"/>
        <v>-370.16917293233172</v>
      </c>
      <c r="DI112" s="422" t="str">
        <f t="shared" si="933"/>
        <v/>
      </c>
      <c r="DJ112" s="422">
        <f t="shared" si="946"/>
        <v>-60.526315789473699</v>
      </c>
      <c r="DK112" s="422">
        <v>28.178571428571399</v>
      </c>
      <c r="DL112" s="422">
        <f t="shared" si="934"/>
        <v>-32.347744360902297</v>
      </c>
      <c r="DM112" s="422" t="str">
        <f t="shared" si="935"/>
        <v/>
      </c>
      <c r="DN112" s="422">
        <f t="shared" si="947"/>
        <v>-60.526315789473699</v>
      </c>
      <c r="DO112" s="422">
        <v>-18.535714285714299</v>
      </c>
      <c r="DP112" s="422">
        <f t="shared" si="936"/>
        <v>-79.062030075188005</v>
      </c>
      <c r="DQ112" s="438" t="str">
        <f t="shared" si="937"/>
        <v/>
      </c>
      <c r="DR112" s="422">
        <f t="shared" si="948"/>
        <v>-60.526315789473699</v>
      </c>
      <c r="DS112" s="422">
        <v>-246.96428571428501</v>
      </c>
      <c r="DT112" s="422">
        <f t="shared" si="938"/>
        <v>-307.49060150375874</v>
      </c>
      <c r="DU112" s="438" t="str">
        <f t="shared" si="939"/>
        <v/>
      </c>
      <c r="DV112" s="422">
        <f t="shared" si="949"/>
        <v>-60.526315789473699</v>
      </c>
      <c r="DW112" s="422">
        <v>39.499999999999901</v>
      </c>
      <c r="DX112" s="422">
        <f t="shared" si="940"/>
        <v>-21.026315789473799</v>
      </c>
      <c r="DY112" s="438" t="str">
        <f t="shared" si="941"/>
        <v/>
      </c>
      <c r="DZ112" s="422">
        <f t="shared" si="942"/>
        <v>-60.526315789473699</v>
      </c>
      <c r="EA112" s="422">
        <v>-38.250000000000099</v>
      </c>
      <c r="EB112" s="422">
        <f t="shared" si="943"/>
        <v>-98.776315789473799</v>
      </c>
      <c r="EC112" s="438" t="str">
        <f t="shared" si="944"/>
        <v/>
      </c>
      <c r="ED112" s="422">
        <f t="shared" si="643"/>
        <v>-3824.338410681878</v>
      </c>
      <c r="EE112" s="422">
        <f t="shared" si="650"/>
        <v>-239.02115066761738</v>
      </c>
      <c r="EF112" s="438" t="str">
        <f t="shared" si="651"/>
        <v/>
      </c>
      <c r="EG112" s="422" t="str">
        <f t="shared" si="652"/>
        <v/>
      </c>
      <c r="EH112" s="439">
        <v>1</v>
      </c>
      <c r="EI112" s="422">
        <f t="shared" si="653"/>
        <v>-3824.338410681878</v>
      </c>
      <c r="EJ112" s="440">
        <f t="shared" si="654"/>
        <v>-2.3902115066761738</v>
      </c>
      <c r="EK112" s="438" t="s">
        <v>747</v>
      </c>
      <c r="EL112" s="438" t="s">
        <v>762</v>
      </c>
    </row>
    <row r="113" spans="1:142" ht="30">
      <c r="A113" s="376"/>
      <c r="B113" s="376"/>
      <c r="C113" s="376"/>
      <c r="D113" s="376"/>
      <c r="E113" s="376"/>
      <c r="F113" s="376"/>
      <c r="G113" s="376"/>
      <c r="H113" s="376"/>
      <c r="I113" s="376"/>
      <c r="J113" s="376"/>
      <c r="K113" s="376"/>
      <c r="L113" s="376"/>
      <c r="M113" s="376"/>
      <c r="N113" s="376"/>
      <c r="O113" s="376"/>
      <c r="P113" s="376"/>
      <c r="Q113" s="376"/>
      <c r="R113" s="376"/>
      <c r="S113" s="376"/>
      <c r="T113" s="376"/>
      <c r="U113" s="376"/>
      <c r="V113" s="376"/>
      <c r="W113" s="376"/>
      <c r="X113" s="376"/>
      <c r="Y113" s="690"/>
      <c r="Z113" s="840"/>
      <c r="AA113" s="420">
        <f t="shared" si="583"/>
        <v>112</v>
      </c>
      <c r="AB113" s="435" t="s">
        <v>63</v>
      </c>
      <c r="AC113" s="422" t="s">
        <v>394</v>
      </c>
      <c r="AD113" s="422" t="s">
        <v>326</v>
      </c>
      <c r="AE113" s="422">
        <v>29.428571428571502</v>
      </c>
      <c r="AF113" s="422">
        <f>'SSS1 ATTENDANCE '!FJ119</f>
        <v>0</v>
      </c>
      <c r="AG113" s="422">
        <f>'SSS1 ATTENDANCE '!FH119</f>
        <v>3652</v>
      </c>
      <c r="AH113" s="422">
        <f>'SSS1 ATTENDANCE '!FI119</f>
        <v>4128</v>
      </c>
      <c r="AI113" s="436" t="s">
        <v>685</v>
      </c>
      <c r="AJ113" s="437">
        <v>40881</v>
      </c>
      <c r="AK113" s="435" t="s">
        <v>396</v>
      </c>
      <c r="AL113" s="424">
        <v>25</v>
      </c>
      <c r="AM113" s="422">
        <v>84.142857142857096</v>
      </c>
      <c r="AN113" s="438">
        <v>4</v>
      </c>
      <c r="AO113" s="422" t="str">
        <f t="shared" si="644"/>
        <v>3</v>
      </c>
      <c r="AP113" s="438">
        <v>5</v>
      </c>
      <c r="AQ113" s="422">
        <v>4</v>
      </c>
      <c r="AR113" s="438">
        <v>4</v>
      </c>
      <c r="AS113" s="438">
        <v>4</v>
      </c>
      <c r="AT113" s="438">
        <v>4</v>
      </c>
      <c r="AU113" s="438">
        <v>3</v>
      </c>
      <c r="AV113" s="438">
        <v>4</v>
      </c>
      <c r="AW113" s="438">
        <v>4</v>
      </c>
      <c r="AX113" s="438">
        <v>3</v>
      </c>
      <c r="AY113" s="438">
        <v>4</v>
      </c>
      <c r="AZ113" s="438">
        <v>3</v>
      </c>
      <c r="BA113" s="438">
        <v>3</v>
      </c>
      <c r="BB113" s="438">
        <v>3</v>
      </c>
      <c r="BC113" s="438">
        <v>4</v>
      </c>
      <c r="BD113" s="438">
        <v>4</v>
      </c>
      <c r="BE113" s="438">
        <v>4</v>
      </c>
      <c r="BF113" s="438">
        <v>3</v>
      </c>
      <c r="BG113" s="438">
        <v>3</v>
      </c>
      <c r="BH113" s="438">
        <v>3</v>
      </c>
      <c r="BI113" s="438">
        <v>5</v>
      </c>
      <c r="BJ113" s="438">
        <v>4</v>
      </c>
      <c r="BK113" s="438">
        <v>3</v>
      </c>
      <c r="BL113" s="438">
        <v>5</v>
      </c>
      <c r="BM113" s="438">
        <v>3</v>
      </c>
      <c r="BN113" s="422" t="s">
        <v>511</v>
      </c>
      <c r="BO113" s="438">
        <v>-22.1428571428571</v>
      </c>
      <c r="BP113" s="438">
        <v>-418.57142857142799</v>
      </c>
      <c r="BQ113" s="422">
        <f t="shared" si="910"/>
        <v>-440.7142857142851</v>
      </c>
      <c r="BR113" s="438" t="str">
        <f t="shared" si="911"/>
        <v/>
      </c>
      <c r="BS113" s="422">
        <v>-22.1428571428571</v>
      </c>
      <c r="BT113" s="438">
        <v>-309.28571428571399</v>
      </c>
      <c r="BU113" s="422">
        <f t="shared" si="912"/>
        <v>-331.4285714285711</v>
      </c>
      <c r="BV113" s="438" t="str">
        <f t="shared" si="913"/>
        <v/>
      </c>
      <c r="BW113" s="422">
        <v>-22.1428571428571</v>
      </c>
      <c r="BX113" s="422">
        <v>-298.57142857142799</v>
      </c>
      <c r="BY113" s="422">
        <f t="shared" si="914"/>
        <v>-320.7142857142851</v>
      </c>
      <c r="BZ113" s="438" t="str">
        <f t="shared" si="915"/>
        <v/>
      </c>
      <c r="CA113" s="422">
        <v>-22.1428571428571</v>
      </c>
      <c r="CB113" s="422">
        <v>-312.857142857143</v>
      </c>
      <c r="CC113" s="422">
        <f t="shared" si="916"/>
        <v>-335.00000000000011</v>
      </c>
      <c r="CD113" s="438" t="str">
        <f t="shared" si="917"/>
        <v/>
      </c>
      <c r="CE113" s="422">
        <v>35</v>
      </c>
      <c r="CF113" s="422">
        <v>-301.42857142857201</v>
      </c>
      <c r="CG113" s="422">
        <f t="shared" si="918"/>
        <v>-266.42857142857201</v>
      </c>
      <c r="CH113" s="438" t="str">
        <f t="shared" si="919"/>
        <v/>
      </c>
      <c r="CI113" s="422">
        <v>-22.1428571428571</v>
      </c>
      <c r="CJ113" s="422">
        <v>-156.71428571428501</v>
      </c>
      <c r="CK113" s="422">
        <f t="shared" si="920"/>
        <v>-178.85714285714212</v>
      </c>
      <c r="CL113" s="438" t="str">
        <f t="shared" si="921"/>
        <v/>
      </c>
      <c r="CM113" s="422">
        <v>-22.1428571428571</v>
      </c>
      <c r="CN113" s="422"/>
      <c r="CO113" s="422"/>
      <c r="CP113" s="422">
        <f t="shared" ref="CP113" si="953">CM113</f>
        <v>-22.1428571428571</v>
      </c>
      <c r="CQ113" s="422">
        <v>17.362068965517398</v>
      </c>
      <c r="CR113" s="422">
        <f t="shared" si="923"/>
        <v>-4.7807881773397014</v>
      </c>
      <c r="CS113" s="438" t="str">
        <f t="shared" si="924"/>
        <v/>
      </c>
      <c r="CT113" s="422"/>
      <c r="CU113" s="422"/>
      <c r="CV113" s="422">
        <f t="shared" si="925"/>
        <v>0</v>
      </c>
      <c r="CW113" s="438" t="str">
        <f t="shared" si="926"/>
        <v/>
      </c>
      <c r="CX113" s="422">
        <v>35</v>
      </c>
      <c r="CY113" s="422">
        <v>-312.857142857143</v>
      </c>
      <c r="CZ113" s="422">
        <f t="shared" si="927"/>
        <v>-277.857142857143</v>
      </c>
      <c r="DA113" s="438" t="str">
        <f t="shared" si="928"/>
        <v/>
      </c>
      <c r="DB113" s="422">
        <f t="shared" si="945"/>
        <v>35</v>
      </c>
      <c r="DC113" s="422">
        <v>-250.71428571428601</v>
      </c>
      <c r="DD113" s="422">
        <f t="shared" si="929"/>
        <v>-215.71428571428601</v>
      </c>
      <c r="DE113" s="422" t="str">
        <f t="shared" si="930"/>
        <v/>
      </c>
      <c r="DF113" s="422">
        <f t="shared" si="931"/>
        <v>35</v>
      </c>
      <c r="DG113" s="422">
        <v>-312.857142857143</v>
      </c>
      <c r="DH113" s="422">
        <f t="shared" si="932"/>
        <v>-277.857142857143</v>
      </c>
      <c r="DI113" s="422" t="str">
        <f t="shared" si="933"/>
        <v/>
      </c>
      <c r="DJ113" s="422">
        <f t="shared" si="946"/>
        <v>35</v>
      </c>
      <c r="DK113" s="422">
        <v>28</v>
      </c>
      <c r="DL113" s="422">
        <f t="shared" si="934"/>
        <v>63</v>
      </c>
      <c r="DM113" s="422" t="str">
        <f t="shared" si="935"/>
        <v>C4</v>
      </c>
      <c r="DN113" s="422">
        <f t="shared" si="947"/>
        <v>35</v>
      </c>
      <c r="DO113" s="422">
        <v>-19.142857142857199</v>
      </c>
      <c r="DP113" s="422">
        <f t="shared" si="936"/>
        <v>15.857142857142801</v>
      </c>
      <c r="DQ113" s="438" t="str">
        <f t="shared" si="937"/>
        <v>F9</v>
      </c>
      <c r="DR113" s="422">
        <f t="shared" si="948"/>
        <v>35</v>
      </c>
      <c r="DS113" s="422">
        <v>-249.57142857142799</v>
      </c>
      <c r="DT113" s="422">
        <f t="shared" si="938"/>
        <v>-214.57142857142799</v>
      </c>
      <c r="DU113" s="438" t="str">
        <f t="shared" si="939"/>
        <v/>
      </c>
      <c r="DV113" s="422">
        <f t="shared" si="949"/>
        <v>35</v>
      </c>
      <c r="DW113" s="422">
        <v>39.428571428571402</v>
      </c>
      <c r="DX113" s="422">
        <f t="shared" si="940"/>
        <v>74.428571428571402</v>
      </c>
      <c r="DY113" s="438" t="str">
        <f t="shared" si="941"/>
        <v>B2</v>
      </c>
      <c r="DZ113" s="422">
        <f t="shared" si="942"/>
        <v>35</v>
      </c>
      <c r="EA113" s="422">
        <v>-39.000000000000099</v>
      </c>
      <c r="EB113" s="422">
        <f t="shared" si="943"/>
        <v>-4.0000000000000995</v>
      </c>
      <c r="EC113" s="438" t="str">
        <f t="shared" si="944"/>
        <v/>
      </c>
      <c r="ED113" s="422">
        <f t="shared" si="643"/>
        <v>-2714.637931034481</v>
      </c>
      <c r="EE113" s="422">
        <f t="shared" si="650"/>
        <v>-169.66487068965506</v>
      </c>
      <c r="EF113" s="438" t="str">
        <f t="shared" si="651"/>
        <v/>
      </c>
      <c r="EG113" s="422" t="str">
        <f t="shared" si="652"/>
        <v/>
      </c>
      <c r="EH113" s="439">
        <v>1</v>
      </c>
      <c r="EI113" s="422">
        <f t="shared" si="653"/>
        <v>-2714.637931034481</v>
      </c>
      <c r="EJ113" s="440">
        <f t="shared" si="654"/>
        <v>-1.6966487068965506</v>
      </c>
      <c r="EK113" s="438" t="s">
        <v>573</v>
      </c>
      <c r="EL113" s="438" t="s">
        <v>762</v>
      </c>
    </row>
    <row r="114" spans="1:142" ht="30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0"/>
      <c r="P114" s="690"/>
      <c r="Q114" s="690"/>
      <c r="R114" s="690"/>
      <c r="S114" s="690"/>
      <c r="T114" s="690"/>
      <c r="U114" s="690"/>
      <c r="V114" s="690"/>
      <c r="W114" s="690"/>
      <c r="X114" s="690"/>
      <c r="Y114" s="690"/>
      <c r="Z114" s="690"/>
      <c r="AA114" s="420">
        <f t="shared" si="583"/>
        <v>113</v>
      </c>
      <c r="AB114" s="435" t="s">
        <v>57</v>
      </c>
      <c r="AC114" s="422" t="s">
        <v>394</v>
      </c>
      <c r="AD114" s="422" t="s">
        <v>326</v>
      </c>
      <c r="AE114" s="422">
        <v>29.571428571428601</v>
      </c>
      <c r="AF114" s="422">
        <f>'SSS1 ATTENDANCE '!FJ120</f>
        <v>0</v>
      </c>
      <c r="AG114" s="422">
        <f>'SSS1 ATTENDANCE '!FH120</f>
        <v>0</v>
      </c>
      <c r="AH114" s="422">
        <f>'SSS1 ATTENDANCE '!FI120</f>
        <v>0</v>
      </c>
      <c r="AI114" s="436" t="s">
        <v>686</v>
      </c>
      <c r="AJ114" s="437">
        <v>41122</v>
      </c>
      <c r="AK114" s="435" t="s">
        <v>396</v>
      </c>
      <c r="AL114" s="424">
        <v>25</v>
      </c>
      <c r="AM114" s="422">
        <v>84.678571428571402</v>
      </c>
      <c r="AN114" s="438">
        <v>4</v>
      </c>
      <c r="AO114" s="422" t="str">
        <f t="shared" si="644"/>
        <v>3</v>
      </c>
      <c r="AP114" s="438">
        <v>5</v>
      </c>
      <c r="AQ114" s="422">
        <v>4</v>
      </c>
      <c r="AR114" s="438">
        <v>4</v>
      </c>
      <c r="AS114" s="438">
        <v>4</v>
      </c>
      <c r="AT114" s="438">
        <v>4</v>
      </c>
      <c r="AU114" s="438">
        <v>3</v>
      </c>
      <c r="AV114" s="438">
        <v>4</v>
      </c>
      <c r="AW114" s="438">
        <v>4</v>
      </c>
      <c r="AX114" s="438">
        <v>3</v>
      </c>
      <c r="AY114" s="438">
        <v>4</v>
      </c>
      <c r="AZ114" s="438">
        <v>3</v>
      </c>
      <c r="BA114" s="438">
        <v>3</v>
      </c>
      <c r="BB114" s="438">
        <v>3</v>
      </c>
      <c r="BC114" s="438">
        <v>4</v>
      </c>
      <c r="BD114" s="438">
        <v>4</v>
      </c>
      <c r="BE114" s="438">
        <v>4</v>
      </c>
      <c r="BF114" s="438">
        <v>3</v>
      </c>
      <c r="BG114" s="438">
        <v>3</v>
      </c>
      <c r="BH114" s="438">
        <v>3</v>
      </c>
      <c r="BI114" s="438">
        <v>5</v>
      </c>
      <c r="BJ114" s="438">
        <v>4</v>
      </c>
      <c r="BK114" s="438">
        <v>3</v>
      </c>
      <c r="BL114" s="438">
        <v>5</v>
      </c>
      <c r="BM114" s="438">
        <v>3</v>
      </c>
      <c r="BN114" s="422" t="s">
        <v>512</v>
      </c>
      <c r="BO114" s="422">
        <v>-22.678571428571399</v>
      </c>
      <c r="BP114" s="422">
        <v>-422.75</v>
      </c>
      <c r="BQ114" s="422">
        <v>100</v>
      </c>
      <c r="BR114" s="438" t="s">
        <v>749</v>
      </c>
      <c r="BS114" s="422">
        <v>-22.678571428571399</v>
      </c>
      <c r="BT114" s="422">
        <v>-312.53571428571399</v>
      </c>
      <c r="BU114" s="422">
        <v>100</v>
      </c>
      <c r="BV114" s="438" t="s">
        <v>749</v>
      </c>
      <c r="BW114" s="422">
        <v>-22.678571428571399</v>
      </c>
      <c r="BX114" s="422">
        <v>-301.67857142857099</v>
      </c>
      <c r="BY114" s="422">
        <v>100</v>
      </c>
      <c r="BZ114" s="422" t="str">
        <f t="shared" ref="BZ114" si="954">BV114</f>
        <v>Grades</v>
      </c>
      <c r="CA114" s="422">
        <v>-22.678571428571399</v>
      </c>
      <c r="CB114" s="422">
        <v>-316.07142857142901</v>
      </c>
      <c r="CC114" s="422">
        <v>100</v>
      </c>
      <c r="CD114" s="422" t="str">
        <f t="shared" ref="CD114" si="955">BZ114</f>
        <v>Grades</v>
      </c>
      <c r="CE114" s="422">
        <f t="shared" ref="CE114" si="956">CA114</f>
        <v>-22.678571428571399</v>
      </c>
      <c r="CF114" s="422">
        <v>-304.57142857142901</v>
      </c>
      <c r="CG114" s="422">
        <v>100</v>
      </c>
      <c r="CH114" s="422" t="str">
        <f t="shared" ref="CH114" si="957">CD114</f>
        <v>Grades</v>
      </c>
      <c r="CI114" s="422">
        <v>-22.678571428571399</v>
      </c>
      <c r="CJ114" s="422">
        <v>-158.53571428571399</v>
      </c>
      <c r="CK114" s="422">
        <v>100</v>
      </c>
      <c r="CL114" s="422" t="str">
        <f t="shared" ref="CL114" si="958">CH114</f>
        <v>Grades</v>
      </c>
      <c r="CM114" s="422">
        <v>-22.678571428571399</v>
      </c>
      <c r="CN114" s="422">
        <v>60</v>
      </c>
      <c r="CO114" s="422"/>
      <c r="CP114" s="422">
        <v>40</v>
      </c>
      <c r="CQ114" s="422">
        <v>17.077586206896701</v>
      </c>
      <c r="CR114" s="422">
        <v>100</v>
      </c>
      <c r="CS114" s="438" t="str">
        <f t="shared" ref="CS114" si="959">CL114</f>
        <v>Grades</v>
      </c>
      <c r="CT114" s="422">
        <v>-61.5789473684207</v>
      </c>
      <c r="CU114" s="422">
        <v>-346.31578947368502</v>
      </c>
      <c r="CV114" s="422">
        <v>100</v>
      </c>
      <c r="CW114" s="438" t="str">
        <f t="shared" ref="CW114" si="960">CS114</f>
        <v>Grades</v>
      </c>
      <c r="CX114" s="422">
        <v>-80.8333333333333</v>
      </c>
      <c r="CY114" s="422">
        <v>-316.07142857142901</v>
      </c>
      <c r="CZ114" s="422">
        <v>100</v>
      </c>
      <c r="DA114" s="438" t="str">
        <f t="shared" ref="DA114" si="961">CW114</f>
        <v>Grades</v>
      </c>
      <c r="DB114" s="422">
        <v>-280</v>
      </c>
      <c r="DC114" s="422">
        <v>-253.392857142857</v>
      </c>
      <c r="DD114" s="422">
        <v>100</v>
      </c>
      <c r="DE114" s="422" t="str">
        <f t="shared" ref="DE114" si="962">DA114</f>
        <v>Grades</v>
      </c>
      <c r="DF114" s="422">
        <v>40</v>
      </c>
      <c r="DG114" s="422">
        <v>-316.07142857142901</v>
      </c>
      <c r="DH114" s="422">
        <v>100</v>
      </c>
      <c r="DI114" s="422" t="str">
        <f t="shared" ref="DI114" si="963">DE114</f>
        <v>Grades</v>
      </c>
      <c r="DJ114" s="422">
        <v>-120</v>
      </c>
      <c r="DK114" s="422">
        <v>27.821428571428498</v>
      </c>
      <c r="DL114" s="422">
        <v>100</v>
      </c>
      <c r="DM114" s="422" t="str">
        <f t="shared" ref="DM114" si="964">DI114</f>
        <v>Grades</v>
      </c>
      <c r="DN114" s="422">
        <v>-120</v>
      </c>
      <c r="DO114" s="422">
        <v>-19.75</v>
      </c>
      <c r="DP114" s="422">
        <v>100</v>
      </c>
      <c r="DQ114" s="438" t="str">
        <f t="shared" ref="DQ114" si="965">DM114</f>
        <v>Grades</v>
      </c>
      <c r="DR114" s="422">
        <v>-440</v>
      </c>
      <c r="DS114" s="422">
        <v>-252.17857142857099</v>
      </c>
      <c r="DT114" s="422">
        <v>100</v>
      </c>
      <c r="DU114" s="438" t="str">
        <f t="shared" ref="DU114" si="966">DQ114</f>
        <v>Grades</v>
      </c>
      <c r="DV114" s="422">
        <v>-120</v>
      </c>
      <c r="DW114" s="422">
        <v>39.357142857142797</v>
      </c>
      <c r="DX114" s="422">
        <v>100</v>
      </c>
      <c r="DY114" s="438" t="str">
        <f t="shared" ref="DY114" si="967">DU114</f>
        <v>Grades</v>
      </c>
      <c r="DZ114" s="422">
        <v>40</v>
      </c>
      <c r="EA114" s="422">
        <v>-39.750000000000099</v>
      </c>
      <c r="EB114" s="422">
        <v>100</v>
      </c>
      <c r="EC114" s="438" t="str">
        <f t="shared" ref="EC114" si="968">DY114</f>
        <v>Grades</v>
      </c>
      <c r="ED114" s="422">
        <f t="shared" si="643"/>
        <v>1600</v>
      </c>
      <c r="EE114" s="422">
        <f t="shared" si="650"/>
        <v>100</v>
      </c>
      <c r="EF114" s="438" t="str">
        <f t="shared" si="651"/>
        <v>A1</v>
      </c>
      <c r="EG114" s="422" t="str">
        <f t="shared" si="652"/>
        <v>DISTINTION</v>
      </c>
      <c r="EH114" s="439">
        <v>1</v>
      </c>
      <c r="EI114" s="422">
        <f t="shared" si="653"/>
        <v>1600</v>
      </c>
      <c r="EJ114" s="440">
        <f t="shared" si="654"/>
        <v>1</v>
      </c>
      <c r="EK114" s="438" t="s">
        <v>573</v>
      </c>
      <c r="EL114" s="438" t="s">
        <v>762</v>
      </c>
    </row>
    <row r="115" spans="1:142" ht="30">
      <c r="A115" s="690"/>
      <c r="B115" s="690"/>
      <c r="C115" s="690"/>
      <c r="D115" s="690"/>
      <c r="E115" s="690"/>
      <c r="F115" s="690"/>
      <c r="G115" s="690"/>
      <c r="H115" s="690"/>
      <c r="I115" s="690"/>
      <c r="J115" s="690"/>
      <c r="K115" s="690"/>
      <c r="L115" s="690"/>
      <c r="M115" s="690"/>
      <c r="N115" s="690"/>
      <c r="O115" s="690"/>
      <c r="P115" s="690"/>
      <c r="Q115" s="690"/>
      <c r="R115" s="690"/>
      <c r="S115" s="690"/>
      <c r="T115" s="690"/>
      <c r="U115" s="690"/>
      <c r="V115" s="690"/>
      <c r="W115" s="690"/>
      <c r="X115" s="690"/>
      <c r="Y115" s="690"/>
      <c r="Z115" s="690"/>
      <c r="AA115" s="420">
        <f t="shared" si="583"/>
        <v>114</v>
      </c>
      <c r="AB115" s="435" t="s">
        <v>58</v>
      </c>
      <c r="AC115" s="422" t="s">
        <v>394</v>
      </c>
      <c r="AD115" s="422" t="s">
        <v>326</v>
      </c>
      <c r="AE115" s="422">
        <v>29.714285714285701</v>
      </c>
      <c r="AF115" s="422">
        <f>'SSS1 ATTENDANCE '!FJ121</f>
        <v>0</v>
      </c>
      <c r="AG115" s="422">
        <f>'SSS1 ATTENDANCE '!FH121</f>
        <v>0</v>
      </c>
      <c r="AH115" s="422">
        <f>'SSS1 ATTENDANCE '!FI121</f>
        <v>0</v>
      </c>
      <c r="AI115" s="436" t="s">
        <v>687</v>
      </c>
      <c r="AJ115" s="437">
        <v>40844</v>
      </c>
      <c r="AK115" s="435" t="s">
        <v>396</v>
      </c>
      <c r="AL115" s="424">
        <v>25</v>
      </c>
      <c r="AM115" s="422">
        <v>85.214285714285694</v>
      </c>
      <c r="AN115" s="438">
        <v>4</v>
      </c>
      <c r="AO115" s="422" t="str">
        <f t="shared" si="644"/>
        <v>3</v>
      </c>
      <c r="AP115" s="438">
        <v>5</v>
      </c>
      <c r="AQ115" s="422">
        <v>4</v>
      </c>
      <c r="AR115" s="438">
        <v>4</v>
      </c>
      <c r="AS115" s="438">
        <v>4</v>
      </c>
      <c r="AT115" s="438">
        <v>4</v>
      </c>
      <c r="AU115" s="438">
        <v>3</v>
      </c>
      <c r="AV115" s="438">
        <v>4</v>
      </c>
      <c r="AW115" s="438">
        <v>4</v>
      </c>
      <c r="AX115" s="438">
        <v>3</v>
      </c>
      <c r="AY115" s="438">
        <v>4</v>
      </c>
      <c r="AZ115" s="438">
        <v>3</v>
      </c>
      <c r="BA115" s="438">
        <v>3</v>
      </c>
      <c r="BB115" s="438">
        <v>3</v>
      </c>
      <c r="BC115" s="438">
        <v>4</v>
      </c>
      <c r="BD115" s="438">
        <v>4</v>
      </c>
      <c r="BE115" s="438">
        <v>4</v>
      </c>
      <c r="BF115" s="438">
        <v>3</v>
      </c>
      <c r="BG115" s="438">
        <v>3</v>
      </c>
      <c r="BH115" s="438">
        <v>3</v>
      </c>
      <c r="BI115" s="438">
        <v>5</v>
      </c>
      <c r="BJ115" s="438">
        <v>4</v>
      </c>
      <c r="BK115" s="438">
        <v>3</v>
      </c>
      <c r="BL115" s="438">
        <v>5</v>
      </c>
      <c r="BM115" s="438">
        <v>3</v>
      </c>
      <c r="BN115" s="422" t="s">
        <v>513</v>
      </c>
      <c r="BO115" s="438">
        <v>-23.214285714285701</v>
      </c>
      <c r="BP115" s="438">
        <v>-426.92857142857099</v>
      </c>
      <c r="BQ115" s="422">
        <f t="shared" ref="BQ115:BQ120" si="969">SUM(BO115:BP115)</f>
        <v>-450.14285714285671</v>
      </c>
      <c r="BR115" s="438" t="str">
        <f t="shared" ref="BR115:BR120" si="970">IF(BQ115&gt;=80,"A1",
IF(BQ115&gt;=75,"A",
IF(BQ115&gt;=70,"B2",
IF(BQ115&gt;=65,"B3",
IF(BQ115&gt;=60,"C4",
IF(BQ115&gt;=55,"C5",
IF(BQ115&gt;=50,"C6",
IF(BQ115&gt;=45,"D7",
IF(BQ115&gt;=40,"E8",
IF(BQ115&gt;=1,"F9",""))))))))))</f>
        <v/>
      </c>
      <c r="BS115" s="422">
        <v>-23.214285714285701</v>
      </c>
      <c r="BT115" s="438">
        <v>-315.78571428571399</v>
      </c>
      <c r="BU115" s="422">
        <f t="shared" ref="BU115:BU120" si="971">SUM(BS115:BT115)</f>
        <v>-338.99999999999972</v>
      </c>
      <c r="BV115" s="438" t="str">
        <f t="shared" ref="BV115:BV120" si="972">IF(BU115&gt;=80,"A1",
IF(BU115&gt;=75,"A",
IF(BU115&gt;=70,"B2",
IF(BU115&gt;=65,"B3",
IF(BU115&gt;=60,"C4",
IF(BU115&gt;=55,"C5",
IF(BU115&gt;=50,"C6",
IF(BU115&gt;=45,"D7",
IF(BU115&gt;=40,"E8",
IF(BU115&gt;=1,"F9",""))))))))))</f>
        <v/>
      </c>
      <c r="BW115" s="422">
        <v>-23.214285714285701</v>
      </c>
      <c r="BX115" s="422">
        <v>-304.78571428571399</v>
      </c>
      <c r="BY115" s="422">
        <f t="shared" ref="BY115:BY120" si="973">SUM(BW115:BX115)</f>
        <v>-327.99999999999972</v>
      </c>
      <c r="BZ115" s="438" t="str">
        <f t="shared" ref="BZ115:BZ120" si="974">IF(BY115&gt;=80,"A1",
IF(BY115&gt;=75,"A",
IF(BY115&gt;=70,"B2",
IF(BY115&gt;=65,"B3",
IF(BY115&gt;=60,"C4",
IF(BY115&gt;=55,"C5",
IF(BY115&gt;=50,"C6",
IF(BY115&gt;=45,"D7",
IF(BY115&gt;=40,"E8",
IF(BY115&gt;=1,"F9",""))))))))))</f>
        <v/>
      </c>
      <c r="CA115" s="422">
        <v>-23.214285714285701</v>
      </c>
      <c r="CB115" s="422">
        <v>-319.28571428571502</v>
      </c>
      <c r="CC115" s="422">
        <f t="shared" ref="CC115:CC120" si="975">SUM(CA115:CB115)</f>
        <v>-342.50000000000074</v>
      </c>
      <c r="CD115" s="438" t="str">
        <f t="shared" ref="CD115:CD120" si="976">IF(CC115&gt;=80,"A1",
IF(CC115&gt;=75,"A",
IF(CC115&gt;=70,"B2",
IF(CC115&gt;=65,"B3",
IF(CC115&gt;=60,"C4",
IF(CC115&gt;=55,"C5",
IF(CC115&gt;=50,"C6",
IF(CC115&gt;=45,"D7",
IF(CC115&gt;=40,"E8",
IF(CC115&gt;=1,"F9",""))))))))))</f>
        <v/>
      </c>
      <c r="CE115" s="422">
        <v>35</v>
      </c>
      <c r="CF115" s="422">
        <v>-307.71428571428601</v>
      </c>
      <c r="CG115" s="422">
        <f t="shared" ref="CG115:CG120" si="977">SUM(CE115:CF115)</f>
        <v>-272.71428571428601</v>
      </c>
      <c r="CH115" s="438" t="str">
        <f t="shared" ref="CH115:CH120" si="978">IF(CG115&gt;=80,"A1",
IF(CG115&gt;=75,"A",
IF(CG115&gt;=70,"B2",
IF(CG115&gt;=65,"B3",
IF(CG115&gt;=60,"C4",
IF(CG115&gt;=55,"C5",
IF(CG115&gt;=50,"C6",
IF(CG115&gt;=45,"D7",
IF(CG115&gt;=40,"E8",
IF(CG115&gt;=1,"F9",""))))))))))</f>
        <v/>
      </c>
      <c r="CI115" s="422">
        <v>-23.214285714285701</v>
      </c>
      <c r="CJ115" s="422">
        <v>-160.357142857143</v>
      </c>
      <c r="CK115" s="422">
        <f t="shared" ref="CK115:CK120" si="979">SUM(CI115:CJ115)</f>
        <v>-183.5714285714287</v>
      </c>
      <c r="CL115" s="438" t="str">
        <f t="shared" ref="CL115:CL120" si="980">IF(CK115&gt;=80,"A1",
IF(CK115&gt;=75,"A",
IF(CK115&gt;=70,"B2",
IF(CK115&gt;=65,"B3",
IF(CK115&gt;=60,"C4",
IF(CK115&gt;=55,"C5",
IF(CK115&gt;=50,"C6",
IF(CK115&gt;=45,"D7",
IF(CK115&gt;=40,"E8",
IF(CK115&gt;=1,"F9",""))))))))))</f>
        <v/>
      </c>
      <c r="CM115" s="422">
        <v>-23.214285714285701</v>
      </c>
      <c r="CN115" s="422"/>
      <c r="CO115" s="422"/>
      <c r="CP115" s="422">
        <f t="shared" ref="CP115:CP116" si="981">CM115</f>
        <v>-23.214285714285701</v>
      </c>
      <c r="CQ115" s="422">
        <v>16.793103448276</v>
      </c>
      <c r="CR115" s="422">
        <f t="shared" ref="CR115:CR120" si="982">SUM(CP115:CQ115)</f>
        <v>-6.4211822660097013</v>
      </c>
      <c r="CS115" s="438" t="str">
        <f t="shared" ref="CS115:CS120" si="983">IF(CR115&gt;=80,"A1",
IF(CR115&gt;=75,"A",
IF(CR115&gt;=70,"B2",
IF(CR115&gt;=65,"B3",
IF(CR115&gt;=60,"C4",
IF(CR115&gt;=55,"C5",
IF(CR115&gt;=50,"C6",
IF(CR115&gt;=45,"D7",
IF(CR115&gt;=40,"E8",
IF(CR115&gt;=1,"F9",""))))))))))</f>
        <v/>
      </c>
      <c r="CT115" s="422">
        <v>-62.631578947368702</v>
      </c>
      <c r="CU115" s="422">
        <v>-350.52631578947398</v>
      </c>
      <c r="CV115" s="422">
        <f t="shared" ref="CV115:CV120" si="984">SUM(CT115:CU115)</f>
        <v>-413.15789473684271</v>
      </c>
      <c r="CW115" s="438" t="str">
        <f t="shared" ref="CW115:CW120" si="985">IF(CV115&gt;=80,"A1",
IF(CV115&gt;=75,"A",
IF(CV115&gt;=70,"B2",
IF(CV115&gt;=65,"B3",
IF(CV115&gt;=60,"C4",
IF(CV115&gt;=55,"C5",
IF(CV115&gt;=50,"C6",
IF(CV115&gt;=45,"D7",
IF(CV115&gt;=40,"E8",
IF(CV115&gt;=1,"F9",""))))))))))</f>
        <v/>
      </c>
      <c r="CX115" s="422">
        <v>-83.3333333333333</v>
      </c>
      <c r="CY115" s="422">
        <v>-319.28571428571502</v>
      </c>
      <c r="CZ115" s="422">
        <f t="shared" ref="CZ115:CZ120" si="986">SUM(CX115:CY115)</f>
        <v>-402.61904761904833</v>
      </c>
      <c r="DA115" s="438" t="str">
        <f t="shared" ref="DA115:DA120" si="987">IF(CZ115&gt;=80,"A1",
IF(CZ115&gt;=75,"A",
IF(CZ115&gt;=70,"B2",
IF(CZ115&gt;=65,"B3",
IF(CZ115&gt;=60,"C4",
IF(CZ115&gt;=55,"C5",
IF(CZ115&gt;=50,"C6",
IF(CZ115&gt;=45,"D7",
IF(CZ115&gt;=40,"E8",
IF(CZ115&gt;=1,"F9",""))))))))))</f>
        <v/>
      </c>
      <c r="DB115" s="422">
        <v>-290</v>
      </c>
      <c r="DC115" s="422">
        <v>-256.07142857142901</v>
      </c>
      <c r="DD115" s="422">
        <f t="shared" ref="DD115:DD120" si="988">SUM(DB115:DC115)</f>
        <v>-546.07142857142901</v>
      </c>
      <c r="DE115" s="422" t="str">
        <f t="shared" ref="DE115:DE120" si="989">IF(DD115&gt;=80,"A1",
IF(DD115&gt;=75,"A",
IF(DD115&gt;=70,"B2",
IF(DD115&gt;=65,"B3",
IF(DD115&gt;=60,"C4",
IF(DD115&gt;=55,"C5",
IF(DD115&gt;=50,"C6",
IF(DD115&gt;=45,"D7",
IF(DD115&gt;=40,"E8",
IF(DD115&gt;=1,"F9",""))))))))))</f>
        <v/>
      </c>
      <c r="DF115" s="422">
        <f t="shared" ref="DF115:DF120" si="990">DB115</f>
        <v>-290</v>
      </c>
      <c r="DG115" s="422">
        <v>-319.28571428571502</v>
      </c>
      <c r="DH115" s="422">
        <f t="shared" ref="DH115:DH120" si="991">SUM(DF115:DG115)</f>
        <v>-609.28571428571502</v>
      </c>
      <c r="DI115" s="422" t="str">
        <f t="shared" ref="DI115:DI120" si="992">IF(DH115&gt;=80,"A1",
IF(DH115&gt;=75,"A",
IF(DH115&gt;=70,"B2",
IF(DH115&gt;=65,"B3",
IF(DH115&gt;=60,"C4",
IF(DH115&gt;=55,"C5",
IF(DH115&gt;=50,"C6",
IF(DH115&gt;=45,"D7",
IF(DH115&gt;=40,"E8",
IF(DH115&gt;=1,"F9",""))))))))))</f>
        <v/>
      </c>
      <c r="DJ115" s="422">
        <v>-125</v>
      </c>
      <c r="DK115" s="422">
        <v>27.6428571428571</v>
      </c>
      <c r="DL115" s="422">
        <f t="shared" ref="DL115:DL120" si="993">SUM(DJ115:DK115)</f>
        <v>-97.357142857142904</v>
      </c>
      <c r="DM115" s="422" t="str">
        <f t="shared" ref="DM115:DM120" si="994">IF(DL115&gt;=80,"A1",
IF(DL115&gt;=75,"A",
IF(DL115&gt;=70,"B2",
IF(DL115&gt;=65,"B3",
IF(DL115&gt;=60,"C4",
IF(DL115&gt;=55,"C5",
IF(DL115&gt;=50,"C6",
IF(DL115&gt;=45,"D7",
IF(DL115&gt;=40,"E8",
IF(DL115&gt;=1,"F9",""))))))))))</f>
        <v/>
      </c>
      <c r="DN115" s="422">
        <v>-125</v>
      </c>
      <c r="DO115" s="422">
        <v>-20.3571428571429</v>
      </c>
      <c r="DP115" s="422">
        <f t="shared" ref="DP115:DP120" si="995">SUM(DN115:DO115)</f>
        <v>-145.35714285714289</v>
      </c>
      <c r="DQ115" s="438" t="str">
        <f t="shared" ref="DQ115:DQ120" si="996">IF(DP115&gt;=80,"A1",
IF(DP115&gt;=75,"A",
IF(DP115&gt;=70,"B2",
IF(DP115&gt;=65,"B3",
IF(DP115&gt;=60,"C4",
IF(DP115&gt;=55,"C5",
IF(DP115&gt;=50,"C6",
IF(DP115&gt;=45,"D7",
IF(DP115&gt;=40,"E8",
IF(DP115&gt;=1,"F9",""))))))))))</f>
        <v/>
      </c>
      <c r="DR115" s="422">
        <v>-455</v>
      </c>
      <c r="DS115" s="422">
        <v>-254.78571428571399</v>
      </c>
      <c r="DT115" s="422">
        <f t="shared" ref="DT115:DT120" si="997">SUM(DR115:DS115)</f>
        <v>-709.78571428571399</v>
      </c>
      <c r="DU115" s="438" t="str">
        <f t="shared" ref="DU115:DU120" si="998">IF(DT115&gt;=80,"A1",
IF(DT115&gt;=75,"A",
IF(DT115&gt;=70,"B2",
IF(DT115&gt;=65,"B3",
IF(DT115&gt;=60,"C4",
IF(DT115&gt;=55,"C5",
IF(DT115&gt;=50,"C6",
IF(DT115&gt;=45,"D7",
IF(DT115&gt;=40,"E8",
IF(DT115&gt;=1,"F9",""))))))))))</f>
        <v/>
      </c>
      <c r="DV115" s="422">
        <v>-125</v>
      </c>
      <c r="DW115" s="422">
        <v>39.285714285714199</v>
      </c>
      <c r="DX115" s="422">
        <f t="shared" ref="DX115:DX120" si="999">SUM(DV115:DW115)</f>
        <v>-85.714285714285808</v>
      </c>
      <c r="DY115" s="438" t="str">
        <f t="shared" ref="DY115:DY120" si="1000">IF(DX115&gt;=80,"A1",
IF(DX115&gt;=75,"A",
IF(DX115&gt;=70,"B2",
IF(DX115&gt;=65,"B3",
IF(DX115&gt;=60,"C4",
IF(DX115&gt;=55,"C5",
IF(DX115&gt;=50,"C6",
IF(DX115&gt;=45,"D7",
IF(DX115&gt;=40,"E8",
IF(DX115&gt;=1,"F9",""))))))))))</f>
        <v/>
      </c>
      <c r="DZ115" s="422">
        <f t="shared" ref="DZ115:DZ120" si="1001">DV115</f>
        <v>-125</v>
      </c>
      <c r="EA115" s="422">
        <v>-40.500000000000099</v>
      </c>
      <c r="EB115" s="422">
        <f t="shared" ref="EB115:EB120" si="1002">SUM(DZ115:EA115)</f>
        <v>-165.50000000000011</v>
      </c>
      <c r="EC115" s="438" t="str">
        <f t="shared" ref="EC115:EC120" si="1003">IF(EB115&gt;=80,"A1",
IF(EB115&gt;=75,"A",
IF(EB115&gt;=70,"B2",
IF(EB115&gt;=65,"B3",
IF(EB115&gt;=60,"C4",
IF(EB115&gt;=55,"C5",
IF(EB115&gt;=50,"C6",
IF(EB115&gt;=45,"D7",
IF(EB115&gt;=40,"E8",
IF(EB115&gt;=1,"F9",""))))))))))</f>
        <v/>
      </c>
      <c r="ED115" s="422">
        <f t="shared" si="643"/>
        <v>-5097.198124621902</v>
      </c>
      <c r="EE115" s="422">
        <f t="shared" si="650"/>
        <v>-318.57488278886888</v>
      </c>
      <c r="EF115" s="438" t="str">
        <f t="shared" si="651"/>
        <v/>
      </c>
      <c r="EG115" s="422" t="str">
        <f t="shared" si="652"/>
        <v/>
      </c>
      <c r="EH115" s="439">
        <v>1</v>
      </c>
      <c r="EI115" s="422">
        <f t="shared" si="653"/>
        <v>-5097.198124621902</v>
      </c>
      <c r="EJ115" s="440">
        <f t="shared" si="654"/>
        <v>-3.185748827888689</v>
      </c>
      <c r="EK115" s="438" t="s">
        <v>573</v>
      </c>
      <c r="EL115" s="438" t="s">
        <v>762</v>
      </c>
    </row>
    <row r="116" spans="1:142" ht="30">
      <c r="A116" s="690"/>
      <c r="B116" s="690"/>
      <c r="C116" s="690"/>
      <c r="D116" s="690"/>
      <c r="E116" s="690"/>
      <c r="F116" s="690"/>
      <c r="G116" s="690"/>
      <c r="H116" s="690"/>
      <c r="I116" s="690"/>
      <c r="J116" s="690"/>
      <c r="K116" s="690"/>
      <c r="L116" s="690"/>
      <c r="M116" s="690"/>
      <c r="N116" s="690"/>
      <c r="O116" s="690"/>
      <c r="P116" s="690"/>
      <c r="Q116" s="690"/>
      <c r="R116" s="690"/>
      <c r="S116" s="690"/>
      <c r="T116" s="690"/>
      <c r="U116" s="690"/>
      <c r="V116" s="690"/>
      <c r="W116" s="690"/>
      <c r="X116" s="690"/>
      <c r="Y116" s="690"/>
      <c r="Z116" s="690"/>
      <c r="AA116" s="420">
        <f t="shared" si="583"/>
        <v>115</v>
      </c>
      <c r="AB116" s="435" t="s">
        <v>59</v>
      </c>
      <c r="AC116" s="422" t="s">
        <v>394</v>
      </c>
      <c r="AD116" s="422" t="s">
        <v>326</v>
      </c>
      <c r="AE116" s="422">
        <v>29.8571428571429</v>
      </c>
      <c r="AF116" s="422">
        <f>'SSS1 ATTENDANCE '!FJ122</f>
        <v>0</v>
      </c>
      <c r="AG116" s="422">
        <f>'SSS1 ATTENDANCE '!FH122</f>
        <v>0</v>
      </c>
      <c r="AH116" s="422">
        <f>'SSS1 ATTENDANCE '!FI122</f>
        <v>0</v>
      </c>
      <c r="AI116" s="436" t="s">
        <v>688</v>
      </c>
      <c r="AJ116" s="437">
        <v>40754</v>
      </c>
      <c r="AK116" s="435" t="s">
        <v>396</v>
      </c>
      <c r="AL116" s="424">
        <v>25</v>
      </c>
      <c r="AM116" s="422">
        <v>85.75</v>
      </c>
      <c r="AN116" s="438">
        <v>4</v>
      </c>
      <c r="AO116" s="422" t="str">
        <f t="shared" si="644"/>
        <v>3</v>
      </c>
      <c r="AP116" s="438">
        <v>5</v>
      </c>
      <c r="AQ116" s="422">
        <v>4</v>
      </c>
      <c r="AR116" s="438">
        <v>4</v>
      </c>
      <c r="AS116" s="438">
        <v>4</v>
      </c>
      <c r="AT116" s="438">
        <v>4</v>
      </c>
      <c r="AU116" s="438">
        <v>3</v>
      </c>
      <c r="AV116" s="438">
        <v>4</v>
      </c>
      <c r="AW116" s="438">
        <v>4</v>
      </c>
      <c r="AX116" s="438">
        <v>3</v>
      </c>
      <c r="AY116" s="438">
        <v>4</v>
      </c>
      <c r="AZ116" s="438">
        <v>3</v>
      </c>
      <c r="BA116" s="438">
        <v>3</v>
      </c>
      <c r="BB116" s="438">
        <v>3</v>
      </c>
      <c r="BC116" s="438">
        <v>4</v>
      </c>
      <c r="BD116" s="438">
        <v>4</v>
      </c>
      <c r="BE116" s="438">
        <v>4</v>
      </c>
      <c r="BF116" s="438">
        <v>3</v>
      </c>
      <c r="BG116" s="438">
        <v>3</v>
      </c>
      <c r="BH116" s="438">
        <v>3</v>
      </c>
      <c r="BI116" s="438">
        <v>5</v>
      </c>
      <c r="BJ116" s="438">
        <v>4</v>
      </c>
      <c r="BK116" s="438">
        <v>3</v>
      </c>
      <c r="BL116" s="438">
        <v>5</v>
      </c>
      <c r="BM116" s="438">
        <v>3</v>
      </c>
      <c r="BN116" s="422" t="s">
        <v>514</v>
      </c>
      <c r="BO116" s="438">
        <v>-23.75</v>
      </c>
      <c r="BP116" s="438">
        <v>-431.107142857143</v>
      </c>
      <c r="BQ116" s="422">
        <f t="shared" si="969"/>
        <v>-454.857142857143</v>
      </c>
      <c r="BR116" s="438" t="str">
        <f t="shared" si="970"/>
        <v/>
      </c>
      <c r="BS116" s="422">
        <v>-23.75</v>
      </c>
      <c r="BT116" s="438">
        <v>-319.03571428571399</v>
      </c>
      <c r="BU116" s="422">
        <f t="shared" si="971"/>
        <v>-342.78571428571399</v>
      </c>
      <c r="BV116" s="438" t="str">
        <f t="shared" si="972"/>
        <v/>
      </c>
      <c r="BW116" s="422">
        <v>-23.75</v>
      </c>
      <c r="BX116" s="422">
        <v>-307.892857142857</v>
      </c>
      <c r="BY116" s="422">
        <f t="shared" si="973"/>
        <v>-331.642857142857</v>
      </c>
      <c r="BZ116" s="438" t="str">
        <f t="shared" si="974"/>
        <v/>
      </c>
      <c r="CA116" s="422">
        <v>-23.75</v>
      </c>
      <c r="CB116" s="422">
        <v>-322.50000000000102</v>
      </c>
      <c r="CC116" s="422">
        <f t="shared" si="975"/>
        <v>-346.25000000000102</v>
      </c>
      <c r="CD116" s="438" t="str">
        <f t="shared" si="976"/>
        <v/>
      </c>
      <c r="CE116" s="422">
        <v>35</v>
      </c>
      <c r="CF116" s="422">
        <v>-310.857142857143</v>
      </c>
      <c r="CG116" s="422">
        <f t="shared" si="977"/>
        <v>-275.857142857143</v>
      </c>
      <c r="CH116" s="438" t="str">
        <f t="shared" si="978"/>
        <v/>
      </c>
      <c r="CI116" s="422">
        <v>-23.75</v>
      </c>
      <c r="CJ116" s="422">
        <v>-162.17857142857099</v>
      </c>
      <c r="CK116" s="422">
        <f t="shared" si="979"/>
        <v>-185.92857142857099</v>
      </c>
      <c r="CL116" s="438" t="str">
        <f t="shared" si="980"/>
        <v/>
      </c>
      <c r="CM116" s="422">
        <v>-23.75</v>
      </c>
      <c r="CN116" s="422"/>
      <c r="CO116" s="422"/>
      <c r="CP116" s="422">
        <f t="shared" si="981"/>
        <v>-23.75</v>
      </c>
      <c r="CQ116" s="422">
        <v>16.508620689655299</v>
      </c>
      <c r="CR116" s="422">
        <f t="shared" si="982"/>
        <v>-7.2413793103447013</v>
      </c>
      <c r="CS116" s="438" t="str">
        <f t="shared" si="983"/>
        <v/>
      </c>
      <c r="CT116" s="422">
        <v>-63.684210526315702</v>
      </c>
      <c r="CU116" s="422">
        <v>-354.73684210526397</v>
      </c>
      <c r="CV116" s="422">
        <f t="shared" si="984"/>
        <v>-418.4210526315797</v>
      </c>
      <c r="CW116" s="438" t="str">
        <f t="shared" si="985"/>
        <v/>
      </c>
      <c r="CX116" s="422">
        <v>-85.8333333333333</v>
      </c>
      <c r="CY116" s="422">
        <v>-322.50000000000102</v>
      </c>
      <c r="CZ116" s="422">
        <f t="shared" si="986"/>
        <v>-408.33333333333434</v>
      </c>
      <c r="DA116" s="438" t="str">
        <f t="shared" si="987"/>
        <v/>
      </c>
      <c r="DB116" s="422">
        <f t="shared" ref="DB116:DB120" si="1004">CX116</f>
        <v>-85.8333333333333</v>
      </c>
      <c r="DC116" s="422">
        <v>-258.75</v>
      </c>
      <c r="DD116" s="422">
        <f t="shared" si="988"/>
        <v>-344.58333333333331</v>
      </c>
      <c r="DE116" s="422" t="str">
        <f t="shared" si="989"/>
        <v/>
      </c>
      <c r="DF116" s="422">
        <f t="shared" si="990"/>
        <v>-85.8333333333333</v>
      </c>
      <c r="DG116" s="422">
        <v>-322.50000000000102</v>
      </c>
      <c r="DH116" s="422">
        <f t="shared" si="991"/>
        <v>-408.33333333333434</v>
      </c>
      <c r="DI116" s="422" t="str">
        <f t="shared" si="992"/>
        <v/>
      </c>
      <c r="DJ116" s="422">
        <f t="shared" ref="DJ116:DJ120" si="1005">DF116</f>
        <v>-85.8333333333333</v>
      </c>
      <c r="DK116" s="422">
        <v>27.464285714285701</v>
      </c>
      <c r="DL116" s="422">
        <f t="shared" si="993"/>
        <v>-58.369047619047599</v>
      </c>
      <c r="DM116" s="422" t="str">
        <f t="shared" si="994"/>
        <v/>
      </c>
      <c r="DN116" s="422">
        <f t="shared" ref="DN116:DN120" si="1006">DJ116</f>
        <v>-85.8333333333333</v>
      </c>
      <c r="DO116" s="422">
        <v>-20.964285714285701</v>
      </c>
      <c r="DP116" s="422">
        <f t="shared" si="995"/>
        <v>-106.79761904761901</v>
      </c>
      <c r="DQ116" s="438" t="str">
        <f t="shared" si="996"/>
        <v/>
      </c>
      <c r="DR116" s="422">
        <f t="shared" ref="DR116:DR120" si="1007">DN116</f>
        <v>-85.8333333333333</v>
      </c>
      <c r="DS116" s="422">
        <v>-257.392857142857</v>
      </c>
      <c r="DT116" s="422">
        <f t="shared" si="997"/>
        <v>-343.22619047619031</v>
      </c>
      <c r="DU116" s="438" t="str">
        <f t="shared" si="998"/>
        <v/>
      </c>
      <c r="DV116" s="422">
        <f t="shared" ref="DV116:DV120" si="1008">DR116</f>
        <v>-85.8333333333333</v>
      </c>
      <c r="DW116" s="422">
        <v>39.214285714285701</v>
      </c>
      <c r="DX116" s="422">
        <f t="shared" si="999"/>
        <v>-46.619047619047599</v>
      </c>
      <c r="DY116" s="438" t="str">
        <f t="shared" si="1000"/>
        <v/>
      </c>
      <c r="DZ116" s="422">
        <f t="shared" si="1001"/>
        <v>-85.8333333333333</v>
      </c>
      <c r="EA116" s="422">
        <v>-41.250000000000099</v>
      </c>
      <c r="EB116" s="422">
        <f t="shared" si="1002"/>
        <v>-127.0833333333334</v>
      </c>
      <c r="EC116" s="438" t="str">
        <f t="shared" si="1003"/>
        <v/>
      </c>
      <c r="ED116" s="422">
        <f t="shared" si="643"/>
        <v>-4206.329098608594</v>
      </c>
      <c r="EE116" s="422">
        <f t="shared" si="650"/>
        <v>-262.89556866303712</v>
      </c>
      <c r="EF116" s="438" t="str">
        <f t="shared" si="651"/>
        <v/>
      </c>
      <c r="EG116" s="422" t="str">
        <f t="shared" si="652"/>
        <v/>
      </c>
      <c r="EH116" s="439">
        <v>1</v>
      </c>
      <c r="EI116" s="422">
        <f t="shared" si="653"/>
        <v>-4206.329098608594</v>
      </c>
      <c r="EJ116" s="440">
        <f t="shared" si="654"/>
        <v>-2.6289556866303712</v>
      </c>
      <c r="EK116" s="438" t="s">
        <v>573</v>
      </c>
      <c r="EL116" s="438" t="s">
        <v>762</v>
      </c>
    </row>
    <row r="117" spans="1:142" ht="30">
      <c r="A117" s="690"/>
      <c r="B117" s="690"/>
      <c r="C117" s="690"/>
      <c r="D117" s="690"/>
      <c r="E117" s="690"/>
      <c r="F117" s="690"/>
      <c r="G117" s="690"/>
      <c r="H117" s="690"/>
      <c r="I117" s="690"/>
      <c r="J117" s="690"/>
      <c r="K117" s="690"/>
      <c r="L117" s="690"/>
      <c r="M117" s="690"/>
      <c r="N117" s="690"/>
      <c r="O117" s="690"/>
      <c r="P117" s="690"/>
      <c r="Q117" s="690"/>
      <c r="R117" s="690"/>
      <c r="S117" s="690"/>
      <c r="T117" s="690"/>
      <c r="U117" s="690"/>
      <c r="V117" s="690"/>
      <c r="W117" s="690"/>
      <c r="X117" s="690"/>
      <c r="Y117" s="690"/>
      <c r="Z117" s="690"/>
      <c r="AA117" s="420">
        <f t="shared" si="583"/>
        <v>116</v>
      </c>
      <c r="AB117" s="435" t="s">
        <v>60</v>
      </c>
      <c r="AC117" s="422" t="s">
        <v>394</v>
      </c>
      <c r="AD117" s="422" t="s">
        <v>326</v>
      </c>
      <c r="AE117" s="422">
        <v>30</v>
      </c>
      <c r="AF117" s="422">
        <f>'SSS1 ATTENDANCE '!FJ123</f>
        <v>0</v>
      </c>
      <c r="AG117" s="422">
        <f>'SSS1 ATTENDANCE '!FH123</f>
        <v>0</v>
      </c>
      <c r="AH117" s="422">
        <f>'SSS1 ATTENDANCE '!FI123</f>
        <v>0</v>
      </c>
      <c r="AI117" s="436" t="s">
        <v>689</v>
      </c>
      <c r="AJ117" s="437">
        <v>40900</v>
      </c>
      <c r="AK117" s="435" t="s">
        <v>396</v>
      </c>
      <c r="AL117" s="424">
        <v>25</v>
      </c>
      <c r="AM117" s="422">
        <v>86.285714285714306</v>
      </c>
      <c r="AN117" s="438">
        <v>4</v>
      </c>
      <c r="AO117" s="422" t="str">
        <f t="shared" si="644"/>
        <v>3</v>
      </c>
      <c r="AP117" s="438">
        <v>5</v>
      </c>
      <c r="AQ117" s="422">
        <v>4</v>
      </c>
      <c r="AR117" s="438">
        <v>4</v>
      </c>
      <c r="AS117" s="438">
        <v>4</v>
      </c>
      <c r="AT117" s="438">
        <v>4</v>
      </c>
      <c r="AU117" s="438">
        <v>3</v>
      </c>
      <c r="AV117" s="438">
        <v>4</v>
      </c>
      <c r="AW117" s="438">
        <v>4</v>
      </c>
      <c r="AX117" s="438">
        <v>3</v>
      </c>
      <c r="AY117" s="438">
        <v>4</v>
      </c>
      <c r="AZ117" s="438">
        <v>3</v>
      </c>
      <c r="BA117" s="438">
        <v>3</v>
      </c>
      <c r="BB117" s="438">
        <v>3</v>
      </c>
      <c r="BC117" s="438">
        <v>4</v>
      </c>
      <c r="BD117" s="438">
        <v>4</v>
      </c>
      <c r="BE117" s="438">
        <v>4</v>
      </c>
      <c r="BF117" s="438">
        <v>3</v>
      </c>
      <c r="BG117" s="438">
        <v>3</v>
      </c>
      <c r="BH117" s="438">
        <v>3</v>
      </c>
      <c r="BI117" s="438">
        <v>5</v>
      </c>
      <c r="BJ117" s="438">
        <v>4</v>
      </c>
      <c r="BK117" s="438">
        <v>3</v>
      </c>
      <c r="BL117" s="438">
        <v>5</v>
      </c>
      <c r="BM117" s="438">
        <v>3</v>
      </c>
      <c r="BN117" s="422" t="s">
        <v>515</v>
      </c>
      <c r="BO117" s="438">
        <v>-24.285714285714299</v>
      </c>
      <c r="BP117" s="438">
        <v>-435.28571428571399</v>
      </c>
      <c r="BQ117" s="422">
        <f t="shared" si="969"/>
        <v>-459.57142857142827</v>
      </c>
      <c r="BR117" s="438" t="str">
        <f t="shared" si="970"/>
        <v/>
      </c>
      <c r="BS117" s="422">
        <v>-24.285714285714299</v>
      </c>
      <c r="BT117" s="438">
        <v>-322.28571428571399</v>
      </c>
      <c r="BU117" s="422">
        <f t="shared" si="971"/>
        <v>-346.57142857142827</v>
      </c>
      <c r="BV117" s="438" t="str">
        <f t="shared" si="972"/>
        <v/>
      </c>
      <c r="BW117" s="422">
        <v>-24.285714285714299</v>
      </c>
      <c r="BX117" s="422">
        <v>-310.99999999999898</v>
      </c>
      <c r="BY117" s="422">
        <f t="shared" si="973"/>
        <v>-335.28571428571325</v>
      </c>
      <c r="BZ117" s="438" t="str">
        <f t="shared" si="974"/>
        <v/>
      </c>
      <c r="CA117" s="422">
        <v>-24.285714285714299</v>
      </c>
      <c r="CB117" s="422">
        <v>-325.71428571428601</v>
      </c>
      <c r="CC117" s="422">
        <f t="shared" si="975"/>
        <v>-350.00000000000028</v>
      </c>
      <c r="CD117" s="438" t="str">
        <f t="shared" si="976"/>
        <v/>
      </c>
      <c r="CE117" s="422">
        <v>35</v>
      </c>
      <c r="CF117" s="422">
        <v>-314</v>
      </c>
      <c r="CG117" s="422">
        <f t="shared" si="977"/>
        <v>-279</v>
      </c>
      <c r="CH117" s="438" t="str">
        <f t="shared" si="978"/>
        <v/>
      </c>
      <c r="CI117" s="422">
        <v>-24.285714285714299</v>
      </c>
      <c r="CJ117" s="422">
        <v>-164</v>
      </c>
      <c r="CK117" s="422">
        <f t="shared" si="979"/>
        <v>-188.28571428571431</v>
      </c>
      <c r="CL117" s="438" t="str">
        <f t="shared" si="980"/>
        <v/>
      </c>
      <c r="CM117" s="422">
        <v>-24.285714285714299</v>
      </c>
      <c r="CN117" s="422"/>
      <c r="CO117" s="422"/>
      <c r="CP117" s="422"/>
      <c r="CQ117" s="422">
        <v>16.224137931034601</v>
      </c>
      <c r="CR117" s="422">
        <f t="shared" si="982"/>
        <v>16.224137931034601</v>
      </c>
      <c r="CS117" s="438" t="str">
        <f t="shared" si="983"/>
        <v>F9</v>
      </c>
      <c r="CT117" s="422">
        <v>-64.736842105263705</v>
      </c>
      <c r="CU117" s="422">
        <v>-358.947368421053</v>
      </c>
      <c r="CV117" s="422">
        <f t="shared" si="984"/>
        <v>-423.68421052631669</v>
      </c>
      <c r="CW117" s="438" t="str">
        <f t="shared" si="985"/>
        <v/>
      </c>
      <c r="CX117" s="422">
        <f t="shared" ref="CX117" si="1009">CT117</f>
        <v>-64.736842105263705</v>
      </c>
      <c r="CY117" s="422">
        <v>-325.71428571428601</v>
      </c>
      <c r="CZ117" s="422">
        <f t="shared" si="986"/>
        <v>-390.4511278195497</v>
      </c>
      <c r="DA117" s="438" t="str">
        <f t="shared" si="987"/>
        <v/>
      </c>
      <c r="DB117" s="422">
        <f t="shared" si="1004"/>
        <v>-64.736842105263705</v>
      </c>
      <c r="DC117" s="422">
        <v>-261.42857142857099</v>
      </c>
      <c r="DD117" s="422">
        <f t="shared" si="988"/>
        <v>-326.16541353383468</v>
      </c>
      <c r="DE117" s="422" t="str">
        <f t="shared" si="989"/>
        <v/>
      </c>
      <c r="DF117" s="422">
        <f t="shared" si="990"/>
        <v>-64.736842105263705</v>
      </c>
      <c r="DG117" s="422">
        <v>-325.71428571428601</v>
      </c>
      <c r="DH117" s="422">
        <f t="shared" si="991"/>
        <v>-390.4511278195497</v>
      </c>
      <c r="DI117" s="422" t="str">
        <f t="shared" si="992"/>
        <v/>
      </c>
      <c r="DJ117" s="422">
        <f t="shared" si="1005"/>
        <v>-64.736842105263705</v>
      </c>
      <c r="DK117" s="422">
        <v>27.285714285714199</v>
      </c>
      <c r="DL117" s="422">
        <f t="shared" si="993"/>
        <v>-37.451127819549505</v>
      </c>
      <c r="DM117" s="422" t="str">
        <f t="shared" si="994"/>
        <v/>
      </c>
      <c r="DN117" s="422">
        <f t="shared" si="1006"/>
        <v>-64.736842105263705</v>
      </c>
      <c r="DO117" s="422">
        <v>-21.571428571428601</v>
      </c>
      <c r="DP117" s="422">
        <f t="shared" si="995"/>
        <v>-86.308270676692302</v>
      </c>
      <c r="DQ117" s="438" t="str">
        <f t="shared" si="996"/>
        <v/>
      </c>
      <c r="DR117" s="422">
        <f t="shared" si="1007"/>
        <v>-64.736842105263705</v>
      </c>
      <c r="DS117" s="422">
        <v>-260</v>
      </c>
      <c r="DT117" s="422">
        <f t="shared" si="997"/>
        <v>-324.73684210526369</v>
      </c>
      <c r="DU117" s="438" t="str">
        <f t="shared" si="998"/>
        <v/>
      </c>
      <c r="DV117" s="422">
        <f t="shared" si="1008"/>
        <v>-64.736842105263705</v>
      </c>
      <c r="DW117" s="422">
        <v>39.142857142857103</v>
      </c>
      <c r="DX117" s="422">
        <f t="shared" si="999"/>
        <v>-25.593984962406601</v>
      </c>
      <c r="DY117" s="438" t="str">
        <f t="shared" si="1000"/>
        <v/>
      </c>
      <c r="DZ117" s="422">
        <f t="shared" si="1001"/>
        <v>-64.736842105263705</v>
      </c>
      <c r="EA117" s="422">
        <v>-42.000000000000099</v>
      </c>
      <c r="EB117" s="422">
        <f t="shared" si="1002"/>
        <v>-106.7368421052638</v>
      </c>
      <c r="EC117" s="438" t="str">
        <f t="shared" si="1003"/>
        <v/>
      </c>
      <c r="ED117" s="422">
        <f t="shared" si="643"/>
        <v>-4054.0690951516758</v>
      </c>
      <c r="EE117" s="422">
        <f t="shared" si="650"/>
        <v>-253.37931844697974</v>
      </c>
      <c r="EF117" s="438" t="str">
        <f t="shared" si="651"/>
        <v/>
      </c>
      <c r="EG117" s="422" t="str">
        <f t="shared" si="652"/>
        <v/>
      </c>
      <c r="EH117" s="439">
        <v>1</v>
      </c>
      <c r="EI117" s="422">
        <f t="shared" si="653"/>
        <v>-4054.0690951516758</v>
      </c>
      <c r="EJ117" s="440">
        <f t="shared" si="654"/>
        <v>-2.5337931844697974</v>
      </c>
      <c r="EK117" s="438" t="s">
        <v>573</v>
      </c>
      <c r="EL117" s="438" t="s">
        <v>762</v>
      </c>
    </row>
    <row r="118" spans="1:142" ht="30">
      <c r="A118" s="690"/>
      <c r="B118" s="690"/>
      <c r="C118" s="690"/>
      <c r="D118" s="690"/>
      <c r="E118" s="690"/>
      <c r="F118" s="690"/>
      <c r="G118" s="690"/>
      <c r="H118" s="690"/>
      <c r="I118" s="690"/>
      <c r="J118" s="690"/>
      <c r="K118" s="690"/>
      <c r="L118" s="690"/>
      <c r="M118" s="690"/>
      <c r="N118" s="690"/>
      <c r="O118" s="690"/>
      <c r="P118" s="690"/>
      <c r="Q118" s="690"/>
      <c r="R118" s="690"/>
      <c r="S118" s="690"/>
      <c r="T118" s="690"/>
      <c r="U118" s="690"/>
      <c r="V118" s="690"/>
      <c r="W118" s="690"/>
      <c r="X118" s="690"/>
      <c r="Y118" s="690"/>
      <c r="Z118" s="690"/>
      <c r="AA118" s="420">
        <f t="shared" si="583"/>
        <v>117</v>
      </c>
      <c r="AB118" s="435" t="s">
        <v>61</v>
      </c>
      <c r="AC118" s="422" t="s">
        <v>394</v>
      </c>
      <c r="AD118" s="422" t="s">
        <v>326</v>
      </c>
      <c r="AE118" s="422">
        <v>30.142857142857199</v>
      </c>
      <c r="AF118" s="422">
        <f>'SSS1 ATTENDANCE '!FJ124</f>
        <v>0</v>
      </c>
      <c r="AG118" s="422">
        <f>'SSS1 ATTENDANCE '!FH124</f>
        <v>0</v>
      </c>
      <c r="AH118" s="422">
        <f>'SSS1 ATTENDANCE '!FI124</f>
        <v>0</v>
      </c>
      <c r="AI118" s="436" t="s">
        <v>690</v>
      </c>
      <c r="AJ118" s="437">
        <v>40368</v>
      </c>
      <c r="AK118" s="435" t="s">
        <v>396</v>
      </c>
      <c r="AL118" s="424">
        <v>25</v>
      </c>
      <c r="AM118" s="422">
        <v>86.821428571428498</v>
      </c>
      <c r="AN118" s="438">
        <v>4</v>
      </c>
      <c r="AO118" s="422" t="str">
        <f t="shared" si="644"/>
        <v>3</v>
      </c>
      <c r="AP118" s="438">
        <v>5</v>
      </c>
      <c r="AQ118" s="422">
        <v>4</v>
      </c>
      <c r="AR118" s="438">
        <v>4</v>
      </c>
      <c r="AS118" s="438">
        <v>4</v>
      </c>
      <c r="AT118" s="438">
        <v>4</v>
      </c>
      <c r="AU118" s="438">
        <v>3</v>
      </c>
      <c r="AV118" s="438">
        <v>4</v>
      </c>
      <c r="AW118" s="438">
        <v>4</v>
      </c>
      <c r="AX118" s="438">
        <v>3</v>
      </c>
      <c r="AY118" s="438">
        <v>4</v>
      </c>
      <c r="AZ118" s="438">
        <v>3</v>
      </c>
      <c r="BA118" s="438">
        <v>3</v>
      </c>
      <c r="BB118" s="438">
        <v>3</v>
      </c>
      <c r="BC118" s="438">
        <v>4</v>
      </c>
      <c r="BD118" s="438">
        <v>4</v>
      </c>
      <c r="BE118" s="438">
        <v>4</v>
      </c>
      <c r="BF118" s="438">
        <v>3</v>
      </c>
      <c r="BG118" s="438">
        <v>3</v>
      </c>
      <c r="BH118" s="438">
        <v>3</v>
      </c>
      <c r="BI118" s="438">
        <v>5</v>
      </c>
      <c r="BJ118" s="438">
        <v>4</v>
      </c>
      <c r="BK118" s="438">
        <v>3</v>
      </c>
      <c r="BL118" s="438">
        <v>5</v>
      </c>
      <c r="BM118" s="438">
        <v>3</v>
      </c>
      <c r="BN118" s="422" t="s">
        <v>516</v>
      </c>
      <c r="BO118" s="438">
        <v>-24.821428571428498</v>
      </c>
      <c r="BP118" s="438">
        <v>-439.46428571428601</v>
      </c>
      <c r="BQ118" s="422">
        <f t="shared" si="969"/>
        <v>-464.2857142857145</v>
      </c>
      <c r="BR118" s="438" t="str">
        <f t="shared" si="970"/>
        <v/>
      </c>
      <c r="BS118" s="422">
        <v>-24.821428571428498</v>
      </c>
      <c r="BT118" s="438">
        <v>-325.53571428571399</v>
      </c>
      <c r="BU118" s="422">
        <f t="shared" si="971"/>
        <v>-350.35714285714249</v>
      </c>
      <c r="BV118" s="438" t="str">
        <f t="shared" si="972"/>
        <v/>
      </c>
      <c r="BW118" s="422">
        <v>-24.821428571428498</v>
      </c>
      <c r="BX118" s="422">
        <v>-314.10714285714198</v>
      </c>
      <c r="BY118" s="422">
        <f t="shared" si="973"/>
        <v>-338.92857142857048</v>
      </c>
      <c r="BZ118" s="438" t="str">
        <f t="shared" si="974"/>
        <v/>
      </c>
      <c r="CA118" s="422">
        <v>-24.821428571428498</v>
      </c>
      <c r="CB118" s="422">
        <v>-328.92857142857201</v>
      </c>
      <c r="CC118" s="422">
        <f t="shared" si="975"/>
        <v>-353.75000000000051</v>
      </c>
      <c r="CD118" s="438" t="str">
        <f t="shared" si="976"/>
        <v/>
      </c>
      <c r="CE118" s="422">
        <v>35</v>
      </c>
      <c r="CF118" s="422">
        <v>-317.14285714285802</v>
      </c>
      <c r="CG118" s="422">
        <f t="shared" si="977"/>
        <v>-282.14285714285802</v>
      </c>
      <c r="CH118" s="438" t="str">
        <f t="shared" si="978"/>
        <v/>
      </c>
      <c r="CI118" s="422">
        <v>-24.821428571428498</v>
      </c>
      <c r="CJ118" s="422">
        <v>-165.82142857142799</v>
      </c>
      <c r="CK118" s="422">
        <f t="shared" si="979"/>
        <v>-190.64285714285649</v>
      </c>
      <c r="CL118" s="438" t="str">
        <f t="shared" si="980"/>
        <v/>
      </c>
      <c r="CM118" s="422">
        <v>-24.821428571428498</v>
      </c>
      <c r="CN118" s="422"/>
      <c r="CO118" s="422"/>
      <c r="CP118" s="422">
        <f t="shared" ref="CP118" si="1010">CM118</f>
        <v>-24.821428571428498</v>
      </c>
      <c r="CQ118" s="422">
        <v>15.9396551724139</v>
      </c>
      <c r="CR118" s="422">
        <f t="shared" si="982"/>
        <v>-8.8817733990145982</v>
      </c>
      <c r="CS118" s="438" t="str">
        <f t="shared" si="983"/>
        <v/>
      </c>
      <c r="CT118" s="422">
        <v>-65.789473684210705</v>
      </c>
      <c r="CU118" s="422">
        <v>-363.15789473684299</v>
      </c>
      <c r="CV118" s="422">
        <f t="shared" si="984"/>
        <v>-428.94736842105368</v>
      </c>
      <c r="CW118" s="438" t="str">
        <f t="shared" si="985"/>
        <v/>
      </c>
      <c r="CX118" s="422">
        <v>35</v>
      </c>
      <c r="CY118" s="422">
        <v>-328.92857142857201</v>
      </c>
      <c r="CZ118" s="422">
        <f t="shared" si="986"/>
        <v>-293.92857142857201</v>
      </c>
      <c r="DA118" s="438" t="str">
        <f t="shared" si="987"/>
        <v/>
      </c>
      <c r="DB118" s="422">
        <f t="shared" si="1004"/>
        <v>35</v>
      </c>
      <c r="DC118" s="422">
        <v>-264.107142857143</v>
      </c>
      <c r="DD118" s="422">
        <f t="shared" si="988"/>
        <v>-229.107142857143</v>
      </c>
      <c r="DE118" s="422" t="str">
        <f t="shared" si="989"/>
        <v/>
      </c>
      <c r="DF118" s="422">
        <f t="shared" si="990"/>
        <v>35</v>
      </c>
      <c r="DG118" s="422">
        <v>-328.92857142857201</v>
      </c>
      <c r="DH118" s="422">
        <f t="shared" si="991"/>
        <v>-293.92857142857201</v>
      </c>
      <c r="DI118" s="422" t="str">
        <f t="shared" si="992"/>
        <v/>
      </c>
      <c r="DJ118" s="422">
        <f t="shared" si="1005"/>
        <v>35</v>
      </c>
      <c r="DK118" s="422">
        <v>27.107142857142801</v>
      </c>
      <c r="DL118" s="422">
        <f t="shared" si="993"/>
        <v>62.107142857142804</v>
      </c>
      <c r="DM118" s="422" t="str">
        <f t="shared" si="994"/>
        <v>C4</v>
      </c>
      <c r="DN118" s="422">
        <f t="shared" si="1006"/>
        <v>35</v>
      </c>
      <c r="DO118" s="422">
        <v>-22.178571428571399</v>
      </c>
      <c r="DP118" s="422">
        <f t="shared" si="995"/>
        <v>12.821428571428601</v>
      </c>
      <c r="DQ118" s="438" t="str">
        <f t="shared" si="996"/>
        <v>F9</v>
      </c>
      <c r="DR118" s="422">
        <f t="shared" si="1007"/>
        <v>35</v>
      </c>
      <c r="DS118" s="422">
        <v>-262.60714285714198</v>
      </c>
      <c r="DT118" s="422">
        <f t="shared" si="997"/>
        <v>-227.60714285714198</v>
      </c>
      <c r="DU118" s="438" t="str">
        <f t="shared" si="998"/>
        <v/>
      </c>
      <c r="DV118" s="422">
        <f t="shared" si="1008"/>
        <v>35</v>
      </c>
      <c r="DW118" s="422">
        <v>39.071428571428498</v>
      </c>
      <c r="DX118" s="422">
        <f t="shared" si="999"/>
        <v>74.071428571428498</v>
      </c>
      <c r="DY118" s="438" t="str">
        <f t="shared" si="1000"/>
        <v>B2</v>
      </c>
      <c r="DZ118" s="422">
        <f t="shared" si="1001"/>
        <v>35</v>
      </c>
      <c r="EA118" s="422">
        <v>-42.750000000000099</v>
      </c>
      <c r="EB118" s="422">
        <f t="shared" si="1002"/>
        <v>-7.7500000000000995</v>
      </c>
      <c r="EC118" s="438" t="str">
        <f t="shared" si="1003"/>
        <v/>
      </c>
      <c r="ED118" s="422">
        <f t="shared" si="643"/>
        <v>-3321.2577132486404</v>
      </c>
      <c r="EE118" s="422">
        <f t="shared" si="650"/>
        <v>-207.57860707804002</v>
      </c>
      <c r="EF118" s="438" t="str">
        <f t="shared" si="651"/>
        <v/>
      </c>
      <c r="EG118" s="422" t="str">
        <f t="shared" si="652"/>
        <v/>
      </c>
      <c r="EH118" s="439">
        <v>1</v>
      </c>
      <c r="EI118" s="422">
        <f t="shared" si="653"/>
        <v>-3321.2577132486404</v>
      </c>
      <c r="EJ118" s="440">
        <f t="shared" si="654"/>
        <v>-2.0757860707804001</v>
      </c>
      <c r="EK118" s="438" t="s">
        <v>746</v>
      </c>
      <c r="EL118" s="438" t="s">
        <v>762</v>
      </c>
    </row>
    <row r="119" spans="1:142" ht="30">
      <c r="A119" s="690"/>
      <c r="B119" s="690"/>
      <c r="C119" s="690"/>
      <c r="D119" s="690"/>
      <c r="E119" s="690"/>
      <c r="F119" s="690"/>
      <c r="G119" s="690"/>
      <c r="H119" s="690"/>
      <c r="I119" s="690"/>
      <c r="J119" s="690"/>
      <c r="K119" s="690"/>
      <c r="L119" s="690"/>
      <c r="M119" s="690"/>
      <c r="N119" s="690"/>
      <c r="O119" s="690"/>
      <c r="P119" s="690"/>
      <c r="Q119" s="690"/>
      <c r="R119" s="690"/>
      <c r="S119" s="690"/>
      <c r="T119" s="690"/>
      <c r="U119" s="690"/>
      <c r="V119" s="690"/>
      <c r="W119" s="690"/>
      <c r="X119" s="690"/>
      <c r="Y119" s="690"/>
      <c r="Z119" s="690"/>
      <c r="AA119" s="420">
        <f t="shared" si="583"/>
        <v>118</v>
      </c>
      <c r="AB119" s="435" t="s">
        <v>62</v>
      </c>
      <c r="AC119" s="422" t="s">
        <v>394</v>
      </c>
      <c r="AD119" s="422" t="s">
        <v>326</v>
      </c>
      <c r="AE119" s="422">
        <v>30.285714285714299</v>
      </c>
      <c r="AF119" s="422">
        <f>'SSS1 ATTENDANCE '!FJ125</f>
        <v>0</v>
      </c>
      <c r="AG119" s="422">
        <f>'SSS1 ATTENDANCE '!FH125</f>
        <v>0</v>
      </c>
      <c r="AH119" s="422">
        <f>'SSS1 ATTENDANCE '!FI125</f>
        <v>0</v>
      </c>
      <c r="AI119" s="436" t="s">
        <v>691</v>
      </c>
      <c r="AJ119" s="437">
        <v>40852</v>
      </c>
      <c r="AK119" s="435" t="s">
        <v>396</v>
      </c>
      <c r="AL119" s="424">
        <v>25</v>
      </c>
      <c r="AM119" s="422">
        <v>87.357142857142804</v>
      </c>
      <c r="AN119" s="438">
        <v>4</v>
      </c>
      <c r="AO119" s="422" t="str">
        <f t="shared" si="644"/>
        <v>3</v>
      </c>
      <c r="AP119" s="438">
        <v>5</v>
      </c>
      <c r="AQ119" s="422">
        <v>4</v>
      </c>
      <c r="AR119" s="438">
        <v>4</v>
      </c>
      <c r="AS119" s="438">
        <v>4</v>
      </c>
      <c r="AT119" s="438">
        <v>4</v>
      </c>
      <c r="AU119" s="438">
        <v>3</v>
      </c>
      <c r="AV119" s="438">
        <v>4</v>
      </c>
      <c r="AW119" s="438">
        <v>4</v>
      </c>
      <c r="AX119" s="438">
        <v>3</v>
      </c>
      <c r="AY119" s="438">
        <v>4</v>
      </c>
      <c r="AZ119" s="438">
        <v>3</v>
      </c>
      <c r="BA119" s="438">
        <v>3</v>
      </c>
      <c r="BB119" s="438">
        <v>3</v>
      </c>
      <c r="BC119" s="438">
        <v>4</v>
      </c>
      <c r="BD119" s="438">
        <v>4</v>
      </c>
      <c r="BE119" s="438">
        <v>4</v>
      </c>
      <c r="BF119" s="438">
        <v>3</v>
      </c>
      <c r="BG119" s="438">
        <v>3</v>
      </c>
      <c r="BH119" s="438">
        <v>3</v>
      </c>
      <c r="BI119" s="438">
        <v>5</v>
      </c>
      <c r="BJ119" s="438">
        <v>4</v>
      </c>
      <c r="BK119" s="438">
        <v>3</v>
      </c>
      <c r="BL119" s="438">
        <v>5</v>
      </c>
      <c r="BM119" s="438">
        <v>3</v>
      </c>
      <c r="BN119" s="422" t="s">
        <v>517</v>
      </c>
      <c r="BO119" s="438">
        <v>-25.357142857142801</v>
      </c>
      <c r="BP119" s="438">
        <v>-443.642857142857</v>
      </c>
      <c r="BQ119" s="422">
        <f t="shared" si="969"/>
        <v>-468.99999999999977</v>
      </c>
      <c r="BR119" s="438" t="str">
        <f t="shared" si="970"/>
        <v/>
      </c>
      <c r="BS119" s="422">
        <v>-25.357142857142801</v>
      </c>
      <c r="BT119" s="438">
        <v>-328.78571428571399</v>
      </c>
      <c r="BU119" s="422">
        <f t="shared" si="971"/>
        <v>-354.14285714285677</v>
      </c>
      <c r="BV119" s="438" t="str">
        <f t="shared" si="972"/>
        <v/>
      </c>
      <c r="BW119" s="422">
        <v>-25.357142857142801</v>
      </c>
      <c r="BX119" s="422">
        <v>-317.21428571428498</v>
      </c>
      <c r="BY119" s="422">
        <f t="shared" si="973"/>
        <v>-342.57142857142776</v>
      </c>
      <c r="BZ119" s="438" t="str">
        <f t="shared" si="974"/>
        <v/>
      </c>
      <c r="CA119" s="422">
        <v>-25.357142857142801</v>
      </c>
      <c r="CB119" s="422">
        <v>-332.14285714285802</v>
      </c>
      <c r="CC119" s="422">
        <f t="shared" si="975"/>
        <v>-357.5000000000008</v>
      </c>
      <c r="CD119" s="438" t="str">
        <f t="shared" si="976"/>
        <v/>
      </c>
      <c r="CE119" s="422">
        <v>35</v>
      </c>
      <c r="CF119" s="422">
        <v>-320.28571428571502</v>
      </c>
      <c r="CG119" s="422">
        <f t="shared" si="977"/>
        <v>-285.28571428571502</v>
      </c>
      <c r="CH119" s="438" t="str">
        <f t="shared" si="978"/>
        <v/>
      </c>
      <c r="CI119" s="422">
        <v>-25.357142857142801</v>
      </c>
      <c r="CJ119" s="422">
        <v>-167.642857142857</v>
      </c>
      <c r="CK119" s="422">
        <f t="shared" si="979"/>
        <v>-192.9999999999998</v>
      </c>
      <c r="CL119" s="438" t="str">
        <f t="shared" si="980"/>
        <v/>
      </c>
      <c r="CM119" s="422">
        <v>-25.357142857142801</v>
      </c>
      <c r="CN119" s="422"/>
      <c r="CO119" s="422"/>
      <c r="CP119" s="422"/>
      <c r="CQ119" s="422">
        <v>15.655172413793199</v>
      </c>
      <c r="CR119" s="422">
        <f t="shared" si="982"/>
        <v>15.655172413793199</v>
      </c>
      <c r="CS119" s="438" t="str">
        <f t="shared" si="983"/>
        <v>F9</v>
      </c>
      <c r="CT119" s="422">
        <v>-66.842105263157706</v>
      </c>
      <c r="CU119" s="422">
        <v>-367.36842105263202</v>
      </c>
      <c r="CV119" s="422">
        <f t="shared" si="984"/>
        <v>-434.21052631578971</v>
      </c>
      <c r="CW119" s="438" t="str">
        <f t="shared" si="985"/>
        <v/>
      </c>
      <c r="CX119" s="422">
        <f t="shared" ref="CX119" si="1011">CT119</f>
        <v>-66.842105263157706</v>
      </c>
      <c r="CY119" s="422">
        <v>-332.14285714285802</v>
      </c>
      <c r="CZ119" s="422">
        <f t="shared" si="986"/>
        <v>-398.98496240601571</v>
      </c>
      <c r="DA119" s="438" t="str">
        <f t="shared" si="987"/>
        <v/>
      </c>
      <c r="DB119" s="422">
        <f t="shared" si="1004"/>
        <v>-66.842105263157706</v>
      </c>
      <c r="DC119" s="422">
        <v>-266.78571428571399</v>
      </c>
      <c r="DD119" s="422">
        <f t="shared" si="988"/>
        <v>-333.62781954887168</v>
      </c>
      <c r="DE119" s="422" t="str">
        <f t="shared" si="989"/>
        <v/>
      </c>
      <c r="DF119" s="422">
        <f t="shared" si="990"/>
        <v>-66.842105263157706</v>
      </c>
      <c r="DG119" s="422">
        <v>-332.14285714285802</v>
      </c>
      <c r="DH119" s="422">
        <f t="shared" si="991"/>
        <v>-398.98496240601571</v>
      </c>
      <c r="DI119" s="422" t="str">
        <f t="shared" si="992"/>
        <v/>
      </c>
      <c r="DJ119" s="422">
        <f t="shared" si="1005"/>
        <v>-66.842105263157706</v>
      </c>
      <c r="DK119" s="422">
        <v>26.928571428571399</v>
      </c>
      <c r="DL119" s="422">
        <f t="shared" si="993"/>
        <v>-39.913533834586303</v>
      </c>
      <c r="DM119" s="422" t="str">
        <f t="shared" si="994"/>
        <v/>
      </c>
      <c r="DN119" s="422">
        <f t="shared" si="1006"/>
        <v>-66.842105263157706</v>
      </c>
      <c r="DO119" s="422">
        <v>-22.785714285714299</v>
      </c>
      <c r="DP119" s="422">
        <f t="shared" si="995"/>
        <v>-89.627819548871997</v>
      </c>
      <c r="DQ119" s="438" t="str">
        <f t="shared" si="996"/>
        <v/>
      </c>
      <c r="DR119" s="422">
        <f t="shared" si="1007"/>
        <v>-66.842105263157706</v>
      </c>
      <c r="DS119" s="422">
        <v>-265.21428571428498</v>
      </c>
      <c r="DT119" s="422">
        <f t="shared" si="997"/>
        <v>-332.05639097744267</v>
      </c>
      <c r="DU119" s="438" t="str">
        <f t="shared" si="998"/>
        <v/>
      </c>
      <c r="DV119" s="422">
        <f t="shared" si="1008"/>
        <v>-66.842105263157706</v>
      </c>
      <c r="DW119" s="422">
        <v>38.999999999999901</v>
      </c>
      <c r="DX119" s="422">
        <f t="shared" si="999"/>
        <v>-27.842105263157805</v>
      </c>
      <c r="DY119" s="438" t="str">
        <f t="shared" si="1000"/>
        <v/>
      </c>
      <c r="DZ119" s="422">
        <f t="shared" si="1001"/>
        <v>-66.842105263157706</v>
      </c>
      <c r="EA119" s="422">
        <v>-43.500000000000099</v>
      </c>
      <c r="EB119" s="422">
        <f t="shared" si="1002"/>
        <v>-110.3421052631578</v>
      </c>
      <c r="EC119" s="438" t="str">
        <f t="shared" si="1003"/>
        <v/>
      </c>
      <c r="ED119" s="422">
        <f t="shared" si="643"/>
        <v>-4151.4350531501168</v>
      </c>
      <c r="EE119" s="422">
        <f t="shared" si="650"/>
        <v>-259.4646908218823</v>
      </c>
      <c r="EF119" s="438" t="str">
        <f t="shared" si="651"/>
        <v/>
      </c>
      <c r="EG119" s="422" t="str">
        <f t="shared" si="652"/>
        <v/>
      </c>
      <c r="EH119" s="439">
        <v>1</v>
      </c>
      <c r="EI119" s="422">
        <f t="shared" si="653"/>
        <v>-4151.4350531501168</v>
      </c>
      <c r="EJ119" s="440">
        <f t="shared" si="654"/>
        <v>-2.5946469082188228</v>
      </c>
      <c r="EK119" s="438" t="s">
        <v>747</v>
      </c>
      <c r="EL119" s="438" t="s">
        <v>762</v>
      </c>
    </row>
    <row r="120" spans="1:142" ht="30">
      <c r="A120" s="690"/>
      <c r="B120" s="690"/>
      <c r="C120" s="690"/>
      <c r="D120" s="690"/>
      <c r="E120" s="690"/>
      <c r="F120" s="690"/>
      <c r="G120" s="690"/>
      <c r="H120" s="690"/>
      <c r="I120" s="690"/>
      <c r="J120" s="690"/>
      <c r="K120" s="690"/>
      <c r="L120" s="690"/>
      <c r="M120" s="690"/>
      <c r="N120" s="690"/>
      <c r="O120" s="690"/>
      <c r="P120" s="690"/>
      <c r="Q120" s="690"/>
      <c r="R120" s="690"/>
      <c r="S120" s="690"/>
      <c r="T120" s="690"/>
      <c r="U120" s="690"/>
      <c r="V120" s="690"/>
      <c r="W120" s="690"/>
      <c r="X120" s="690"/>
      <c r="Y120" s="690"/>
      <c r="Z120" s="690"/>
      <c r="AA120" s="420">
        <f t="shared" si="583"/>
        <v>119</v>
      </c>
      <c r="AB120" s="435" t="s">
        <v>63</v>
      </c>
      <c r="AC120" s="422" t="s">
        <v>394</v>
      </c>
      <c r="AD120" s="422" t="s">
        <v>326</v>
      </c>
      <c r="AE120" s="422">
        <v>30.428571428571502</v>
      </c>
      <c r="AF120" s="422">
        <f>'SSS1 ATTENDANCE '!FJ126</f>
        <v>0</v>
      </c>
      <c r="AG120" s="422">
        <f>'SSS1 ATTENDANCE '!FH126</f>
        <v>0</v>
      </c>
      <c r="AH120" s="422">
        <f>'SSS1 ATTENDANCE '!FI126</f>
        <v>0</v>
      </c>
      <c r="AI120" s="436" t="s">
        <v>692</v>
      </c>
      <c r="AJ120" s="437">
        <v>40881</v>
      </c>
      <c r="AK120" s="435" t="s">
        <v>396</v>
      </c>
      <c r="AL120" s="424">
        <v>25</v>
      </c>
      <c r="AM120" s="422">
        <v>87.892857142857096</v>
      </c>
      <c r="AN120" s="438">
        <v>4</v>
      </c>
      <c r="AO120" s="422" t="str">
        <f t="shared" si="644"/>
        <v>3</v>
      </c>
      <c r="AP120" s="438">
        <v>5</v>
      </c>
      <c r="AQ120" s="422">
        <v>4</v>
      </c>
      <c r="AR120" s="438">
        <v>4</v>
      </c>
      <c r="AS120" s="438">
        <v>4</v>
      </c>
      <c r="AT120" s="438">
        <v>4</v>
      </c>
      <c r="AU120" s="438">
        <v>3</v>
      </c>
      <c r="AV120" s="438">
        <v>4</v>
      </c>
      <c r="AW120" s="438">
        <v>4</v>
      </c>
      <c r="AX120" s="438">
        <v>3</v>
      </c>
      <c r="AY120" s="438">
        <v>4</v>
      </c>
      <c r="AZ120" s="438">
        <v>3</v>
      </c>
      <c r="BA120" s="438">
        <v>3</v>
      </c>
      <c r="BB120" s="438">
        <v>3</v>
      </c>
      <c r="BC120" s="438">
        <v>4</v>
      </c>
      <c r="BD120" s="438">
        <v>4</v>
      </c>
      <c r="BE120" s="438">
        <v>4</v>
      </c>
      <c r="BF120" s="438">
        <v>3</v>
      </c>
      <c r="BG120" s="438">
        <v>3</v>
      </c>
      <c r="BH120" s="438">
        <v>3</v>
      </c>
      <c r="BI120" s="438">
        <v>5</v>
      </c>
      <c r="BJ120" s="438">
        <v>4</v>
      </c>
      <c r="BK120" s="438">
        <v>3</v>
      </c>
      <c r="BL120" s="438">
        <v>5</v>
      </c>
      <c r="BM120" s="438">
        <v>3</v>
      </c>
      <c r="BN120" s="422" t="s">
        <v>518</v>
      </c>
      <c r="BO120" s="438">
        <v>-25.8928571428571</v>
      </c>
      <c r="BP120" s="438">
        <v>-447.82142857142799</v>
      </c>
      <c r="BQ120" s="422">
        <f t="shared" si="969"/>
        <v>-473.7142857142851</v>
      </c>
      <c r="BR120" s="438" t="str">
        <f t="shared" si="970"/>
        <v/>
      </c>
      <c r="BS120" s="422">
        <v>-25.8928571428571</v>
      </c>
      <c r="BT120" s="438">
        <v>-332.03571428571399</v>
      </c>
      <c r="BU120" s="422">
        <f t="shared" si="971"/>
        <v>-357.9285714285711</v>
      </c>
      <c r="BV120" s="438" t="str">
        <f t="shared" si="972"/>
        <v/>
      </c>
      <c r="BW120" s="422">
        <v>-25.8928571428571</v>
      </c>
      <c r="BX120" s="422">
        <v>-320.32142857142799</v>
      </c>
      <c r="BY120" s="422">
        <f t="shared" si="973"/>
        <v>-346.2142857142851</v>
      </c>
      <c r="BZ120" s="438" t="str">
        <f t="shared" si="974"/>
        <v/>
      </c>
      <c r="CA120" s="422">
        <v>-25.8928571428571</v>
      </c>
      <c r="CB120" s="422">
        <v>-335.357142857143</v>
      </c>
      <c r="CC120" s="422">
        <f t="shared" si="975"/>
        <v>-361.25000000000011</v>
      </c>
      <c r="CD120" s="438" t="str">
        <f t="shared" si="976"/>
        <v/>
      </c>
      <c r="CE120" s="422">
        <v>35</v>
      </c>
      <c r="CF120" s="422">
        <v>-323.42857142857201</v>
      </c>
      <c r="CG120" s="422">
        <f t="shared" si="977"/>
        <v>-288.42857142857201</v>
      </c>
      <c r="CH120" s="438" t="str">
        <f t="shared" si="978"/>
        <v/>
      </c>
      <c r="CI120" s="422">
        <v>-25.8928571428571</v>
      </c>
      <c r="CJ120" s="422">
        <v>-169.46428571428501</v>
      </c>
      <c r="CK120" s="422">
        <f t="shared" si="979"/>
        <v>-195.35714285714212</v>
      </c>
      <c r="CL120" s="438" t="str">
        <f t="shared" si="980"/>
        <v/>
      </c>
      <c r="CM120" s="422">
        <v>-25.8928571428571</v>
      </c>
      <c r="CN120" s="422"/>
      <c r="CO120" s="422"/>
      <c r="CP120" s="422">
        <f t="shared" ref="CP120" si="1012">CM120</f>
        <v>-25.8928571428571</v>
      </c>
      <c r="CQ120" s="422">
        <v>15.3706896551725</v>
      </c>
      <c r="CR120" s="422">
        <f t="shared" si="982"/>
        <v>-10.5221674876846</v>
      </c>
      <c r="CS120" s="438" t="str">
        <f t="shared" si="983"/>
        <v/>
      </c>
      <c r="CT120" s="422"/>
      <c r="CU120" s="422"/>
      <c r="CV120" s="422">
        <f t="shared" si="984"/>
        <v>0</v>
      </c>
      <c r="CW120" s="438" t="str">
        <f t="shared" si="985"/>
        <v/>
      </c>
      <c r="CX120" s="422">
        <v>35</v>
      </c>
      <c r="CY120" s="422">
        <v>-335.357142857143</v>
      </c>
      <c r="CZ120" s="422">
        <f t="shared" si="986"/>
        <v>-300.357142857143</v>
      </c>
      <c r="DA120" s="438" t="str">
        <f t="shared" si="987"/>
        <v/>
      </c>
      <c r="DB120" s="422">
        <f t="shared" si="1004"/>
        <v>35</v>
      </c>
      <c r="DC120" s="422">
        <v>-269.46428571428601</v>
      </c>
      <c r="DD120" s="422">
        <f t="shared" si="988"/>
        <v>-234.46428571428601</v>
      </c>
      <c r="DE120" s="422" t="str">
        <f t="shared" si="989"/>
        <v/>
      </c>
      <c r="DF120" s="422">
        <f t="shared" si="990"/>
        <v>35</v>
      </c>
      <c r="DG120" s="422">
        <v>-335.357142857143</v>
      </c>
      <c r="DH120" s="422">
        <f t="shared" si="991"/>
        <v>-300.357142857143</v>
      </c>
      <c r="DI120" s="422" t="str">
        <f t="shared" si="992"/>
        <v/>
      </c>
      <c r="DJ120" s="422">
        <f t="shared" si="1005"/>
        <v>35</v>
      </c>
      <c r="DK120" s="422">
        <v>26.749999999999901</v>
      </c>
      <c r="DL120" s="422">
        <f t="shared" si="993"/>
        <v>61.749999999999901</v>
      </c>
      <c r="DM120" s="422" t="str">
        <f t="shared" si="994"/>
        <v>C4</v>
      </c>
      <c r="DN120" s="422">
        <f t="shared" si="1006"/>
        <v>35</v>
      </c>
      <c r="DO120" s="422">
        <v>-23.392857142857199</v>
      </c>
      <c r="DP120" s="422">
        <f t="shared" si="995"/>
        <v>11.607142857142801</v>
      </c>
      <c r="DQ120" s="438" t="str">
        <f t="shared" si="996"/>
        <v>F9</v>
      </c>
      <c r="DR120" s="422">
        <f t="shared" si="1007"/>
        <v>35</v>
      </c>
      <c r="DS120" s="422">
        <v>-267.82142857142799</v>
      </c>
      <c r="DT120" s="422">
        <f t="shared" si="997"/>
        <v>-232.82142857142799</v>
      </c>
      <c r="DU120" s="438" t="str">
        <f t="shared" si="998"/>
        <v/>
      </c>
      <c r="DV120" s="422">
        <f t="shared" si="1008"/>
        <v>35</v>
      </c>
      <c r="DW120" s="422">
        <v>38.928571428571402</v>
      </c>
      <c r="DX120" s="422">
        <f t="shared" si="999"/>
        <v>73.928571428571402</v>
      </c>
      <c r="DY120" s="438" t="str">
        <f t="shared" si="1000"/>
        <v>B2</v>
      </c>
      <c r="DZ120" s="422">
        <f t="shared" si="1001"/>
        <v>35</v>
      </c>
      <c r="EA120" s="422">
        <v>-44.250000000000099</v>
      </c>
      <c r="EB120" s="422">
        <f t="shared" si="1002"/>
        <v>-9.2500000000000995</v>
      </c>
      <c r="EC120" s="438" t="str">
        <f t="shared" si="1003"/>
        <v/>
      </c>
      <c r="ED120" s="422">
        <f t="shared" si="643"/>
        <v>-2963.3793103448261</v>
      </c>
      <c r="EE120" s="422">
        <f t="shared" si="650"/>
        <v>-185.21120689655163</v>
      </c>
      <c r="EF120" s="438" t="str">
        <f t="shared" si="651"/>
        <v/>
      </c>
      <c r="EG120" s="422" t="str">
        <f t="shared" si="652"/>
        <v/>
      </c>
      <c r="EH120" s="439">
        <v>1</v>
      </c>
      <c r="EI120" s="422">
        <f t="shared" si="653"/>
        <v>-2963.3793103448261</v>
      </c>
      <c r="EJ120" s="440">
        <f t="shared" si="654"/>
        <v>-1.8521120689655164</v>
      </c>
      <c r="EK120" s="438" t="s">
        <v>573</v>
      </c>
      <c r="EL120" s="438" t="s">
        <v>762</v>
      </c>
    </row>
    <row r="121" spans="1:142" ht="30">
      <c r="A121" s="690"/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0"/>
      <c r="N121" s="690"/>
      <c r="O121" s="690"/>
      <c r="P121" s="690"/>
      <c r="Q121" s="690"/>
      <c r="R121" s="690"/>
      <c r="S121" s="690"/>
      <c r="T121" s="690"/>
      <c r="U121" s="690"/>
      <c r="V121" s="690"/>
      <c r="W121" s="690"/>
      <c r="X121" s="690"/>
      <c r="Y121" s="690"/>
      <c r="Z121" s="690"/>
      <c r="AA121" s="420">
        <f t="shared" si="583"/>
        <v>120</v>
      </c>
      <c r="AB121" s="435" t="s">
        <v>57</v>
      </c>
      <c r="AC121" s="422" t="s">
        <v>394</v>
      </c>
      <c r="AD121" s="422" t="s">
        <v>326</v>
      </c>
      <c r="AE121" s="422">
        <v>30.571428571428601</v>
      </c>
      <c r="AF121" s="422">
        <f>'SSS1 ATTENDANCE '!FJ127</f>
        <v>0</v>
      </c>
      <c r="AG121" s="422">
        <f>'SSS1 ATTENDANCE '!FH127</f>
        <v>0</v>
      </c>
      <c r="AH121" s="422">
        <f>'SSS1 ATTENDANCE '!FI127</f>
        <v>0</v>
      </c>
      <c r="AI121" s="436" t="s">
        <v>693</v>
      </c>
      <c r="AJ121" s="437">
        <v>41122</v>
      </c>
      <c r="AK121" s="435" t="s">
        <v>396</v>
      </c>
      <c r="AL121" s="424">
        <v>25</v>
      </c>
      <c r="AM121" s="422">
        <v>88.428571428571402</v>
      </c>
      <c r="AN121" s="438">
        <v>4</v>
      </c>
      <c r="AO121" s="422" t="str">
        <f t="shared" si="644"/>
        <v>3</v>
      </c>
      <c r="AP121" s="438">
        <v>5</v>
      </c>
      <c r="AQ121" s="422">
        <v>4</v>
      </c>
      <c r="AR121" s="438">
        <v>4</v>
      </c>
      <c r="AS121" s="438">
        <v>4</v>
      </c>
      <c r="AT121" s="438">
        <v>4</v>
      </c>
      <c r="AU121" s="438">
        <v>3</v>
      </c>
      <c r="AV121" s="438">
        <v>4</v>
      </c>
      <c r="AW121" s="438">
        <v>4</v>
      </c>
      <c r="AX121" s="438">
        <v>3</v>
      </c>
      <c r="AY121" s="438">
        <v>4</v>
      </c>
      <c r="AZ121" s="438">
        <v>3</v>
      </c>
      <c r="BA121" s="438">
        <v>3</v>
      </c>
      <c r="BB121" s="438">
        <v>3</v>
      </c>
      <c r="BC121" s="438">
        <v>4</v>
      </c>
      <c r="BD121" s="438">
        <v>4</v>
      </c>
      <c r="BE121" s="438">
        <v>4</v>
      </c>
      <c r="BF121" s="438">
        <v>3</v>
      </c>
      <c r="BG121" s="438">
        <v>3</v>
      </c>
      <c r="BH121" s="438">
        <v>3</v>
      </c>
      <c r="BI121" s="438">
        <v>5</v>
      </c>
      <c r="BJ121" s="438">
        <v>4</v>
      </c>
      <c r="BK121" s="438">
        <v>3</v>
      </c>
      <c r="BL121" s="438">
        <v>5</v>
      </c>
      <c r="BM121" s="438">
        <v>3</v>
      </c>
      <c r="BN121" s="422" t="s">
        <v>519</v>
      </c>
      <c r="BO121" s="422">
        <v>-26.428571428571399</v>
      </c>
      <c r="BP121" s="422">
        <v>-452</v>
      </c>
      <c r="BQ121" s="422">
        <v>100</v>
      </c>
      <c r="BR121" s="438" t="s">
        <v>749</v>
      </c>
      <c r="BS121" s="422">
        <v>-26.428571428571399</v>
      </c>
      <c r="BT121" s="422">
        <v>-335.28571428571399</v>
      </c>
      <c r="BU121" s="422">
        <v>100</v>
      </c>
      <c r="BV121" s="438" t="s">
        <v>749</v>
      </c>
      <c r="BW121" s="422">
        <v>-26.428571428571399</v>
      </c>
      <c r="BX121" s="422">
        <v>-323.42857142857099</v>
      </c>
      <c r="BY121" s="422">
        <v>100</v>
      </c>
      <c r="BZ121" s="422" t="str">
        <f t="shared" ref="BZ121" si="1013">BV121</f>
        <v>Grades</v>
      </c>
      <c r="CA121" s="422">
        <v>-26.428571428571399</v>
      </c>
      <c r="CB121" s="422">
        <v>-338.57142857142901</v>
      </c>
      <c r="CC121" s="422">
        <v>100</v>
      </c>
      <c r="CD121" s="422" t="str">
        <f t="shared" ref="CD121" si="1014">BZ121</f>
        <v>Grades</v>
      </c>
      <c r="CE121" s="422">
        <f t="shared" ref="CE121" si="1015">CA121</f>
        <v>-26.428571428571399</v>
      </c>
      <c r="CF121" s="422">
        <v>-326.57142857142901</v>
      </c>
      <c r="CG121" s="422">
        <v>100</v>
      </c>
      <c r="CH121" s="422" t="str">
        <f t="shared" ref="CH121" si="1016">CD121</f>
        <v>Grades</v>
      </c>
      <c r="CI121" s="422">
        <v>-26.428571428571399</v>
      </c>
      <c r="CJ121" s="422">
        <v>-171.28571428571399</v>
      </c>
      <c r="CK121" s="422">
        <v>100</v>
      </c>
      <c r="CL121" s="422" t="str">
        <f t="shared" ref="CL121" si="1017">CH121</f>
        <v>Grades</v>
      </c>
      <c r="CM121" s="422">
        <v>-26.428571428571399</v>
      </c>
      <c r="CN121" s="422">
        <v>60</v>
      </c>
      <c r="CO121" s="422"/>
      <c r="CP121" s="422">
        <v>40</v>
      </c>
      <c r="CQ121" s="422">
        <v>15.086206896551801</v>
      </c>
      <c r="CR121" s="422">
        <v>100</v>
      </c>
      <c r="CS121" s="438" t="str">
        <f t="shared" ref="CS121" si="1018">CL121</f>
        <v>Grades</v>
      </c>
      <c r="CT121" s="422">
        <v>-67.894736842105701</v>
      </c>
      <c r="CU121" s="422">
        <v>-371.57894736842201</v>
      </c>
      <c r="CV121" s="422">
        <v>100</v>
      </c>
      <c r="CW121" s="438" t="str">
        <f t="shared" ref="CW121" si="1019">CS121</f>
        <v>Grades</v>
      </c>
      <c r="CX121" s="422">
        <v>-88.3333333333333</v>
      </c>
      <c r="CY121" s="422">
        <v>-338.57142857142901</v>
      </c>
      <c r="CZ121" s="422">
        <v>100</v>
      </c>
      <c r="DA121" s="438" t="str">
        <f t="shared" ref="DA121" si="1020">CW121</f>
        <v>Grades</v>
      </c>
      <c r="DB121" s="422">
        <v>-300</v>
      </c>
      <c r="DC121" s="422">
        <v>-272.142857142857</v>
      </c>
      <c r="DD121" s="422">
        <v>100</v>
      </c>
      <c r="DE121" s="422" t="str">
        <f t="shared" ref="DE121" si="1021">DA121</f>
        <v>Grades</v>
      </c>
      <c r="DF121" s="422">
        <v>40</v>
      </c>
      <c r="DG121" s="422">
        <v>-338.57142857142901</v>
      </c>
      <c r="DH121" s="422">
        <v>100</v>
      </c>
      <c r="DI121" s="422" t="str">
        <f t="shared" ref="DI121" si="1022">DE121</f>
        <v>Grades</v>
      </c>
      <c r="DJ121" s="422">
        <v>-130</v>
      </c>
      <c r="DK121" s="422">
        <v>26.571428571428498</v>
      </c>
      <c r="DL121" s="422">
        <v>100</v>
      </c>
      <c r="DM121" s="422" t="str">
        <f t="shared" ref="DM121" si="1023">DI121</f>
        <v>Grades</v>
      </c>
      <c r="DN121" s="422">
        <v>-130</v>
      </c>
      <c r="DO121" s="422">
        <v>-24</v>
      </c>
      <c r="DP121" s="422">
        <v>100</v>
      </c>
      <c r="DQ121" s="438" t="str">
        <f t="shared" ref="DQ121" si="1024">DM121</f>
        <v>Grades</v>
      </c>
      <c r="DR121" s="422">
        <v>-470</v>
      </c>
      <c r="DS121" s="422">
        <v>-270.42857142857099</v>
      </c>
      <c r="DT121" s="422">
        <v>100</v>
      </c>
      <c r="DU121" s="438" t="str">
        <f t="shared" ref="DU121" si="1025">DQ121</f>
        <v>Grades</v>
      </c>
      <c r="DV121" s="422">
        <v>-130</v>
      </c>
      <c r="DW121" s="422">
        <v>38.857142857142797</v>
      </c>
      <c r="DX121" s="422">
        <v>100</v>
      </c>
      <c r="DY121" s="438" t="str">
        <f t="shared" ref="DY121" si="1026">DU121</f>
        <v>Grades</v>
      </c>
      <c r="DZ121" s="422">
        <v>40</v>
      </c>
      <c r="EA121" s="422">
        <v>-45.000000000000099</v>
      </c>
      <c r="EB121" s="422">
        <v>100</v>
      </c>
      <c r="EC121" s="438" t="str">
        <f t="shared" ref="EC121" si="1027">DY121</f>
        <v>Grades</v>
      </c>
      <c r="ED121" s="422">
        <f t="shared" si="643"/>
        <v>1600</v>
      </c>
      <c r="EE121" s="422">
        <f t="shared" si="650"/>
        <v>100</v>
      </c>
      <c r="EF121" s="438" t="str">
        <f t="shared" si="651"/>
        <v>A1</v>
      </c>
      <c r="EG121" s="422" t="str">
        <f t="shared" si="652"/>
        <v>DISTINTION</v>
      </c>
      <c r="EH121" s="439">
        <v>1</v>
      </c>
      <c r="EI121" s="422">
        <f t="shared" si="653"/>
        <v>1600</v>
      </c>
      <c r="EJ121" s="440">
        <f t="shared" si="654"/>
        <v>1</v>
      </c>
      <c r="EK121" s="438" t="s">
        <v>573</v>
      </c>
      <c r="EL121" s="438" t="s">
        <v>762</v>
      </c>
    </row>
    <row r="122" spans="1:142" ht="30">
      <c r="A122" s="690"/>
      <c r="B122" s="690"/>
      <c r="C122" s="690"/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0"/>
      <c r="P122" s="690"/>
      <c r="Q122" s="690"/>
      <c r="R122" s="690"/>
      <c r="S122" s="690"/>
      <c r="T122" s="690"/>
      <c r="U122" s="690"/>
      <c r="V122" s="690"/>
      <c r="W122" s="690"/>
      <c r="X122" s="690"/>
      <c r="Y122" s="690"/>
      <c r="Z122" s="690"/>
      <c r="AA122" s="420">
        <f t="shared" si="583"/>
        <v>121</v>
      </c>
      <c r="AB122" s="435" t="s">
        <v>58</v>
      </c>
      <c r="AC122" s="422" t="s">
        <v>394</v>
      </c>
      <c r="AD122" s="422" t="s">
        <v>326</v>
      </c>
      <c r="AE122" s="422">
        <v>30.714285714285701</v>
      </c>
      <c r="AF122" s="422">
        <f>'SSS1 ATTENDANCE '!FJ128</f>
        <v>0</v>
      </c>
      <c r="AG122" s="422">
        <f>'SSS1 ATTENDANCE '!FH128</f>
        <v>0</v>
      </c>
      <c r="AH122" s="422">
        <f>'SSS1 ATTENDANCE '!FI128</f>
        <v>0</v>
      </c>
      <c r="AI122" s="436" t="s">
        <v>694</v>
      </c>
      <c r="AJ122" s="437">
        <v>40844</v>
      </c>
      <c r="AK122" s="435" t="s">
        <v>396</v>
      </c>
      <c r="AL122" s="424">
        <v>25</v>
      </c>
      <c r="AM122" s="422">
        <v>88.964285714285694</v>
      </c>
      <c r="AN122" s="438">
        <v>4</v>
      </c>
      <c r="AO122" s="422" t="str">
        <f t="shared" si="644"/>
        <v>3</v>
      </c>
      <c r="AP122" s="438">
        <v>5</v>
      </c>
      <c r="AQ122" s="422">
        <v>4</v>
      </c>
      <c r="AR122" s="438">
        <v>4</v>
      </c>
      <c r="AS122" s="438">
        <v>4</v>
      </c>
      <c r="AT122" s="438">
        <v>4</v>
      </c>
      <c r="AU122" s="438">
        <v>3</v>
      </c>
      <c r="AV122" s="438">
        <v>4</v>
      </c>
      <c r="AW122" s="438">
        <v>4</v>
      </c>
      <c r="AX122" s="438">
        <v>3</v>
      </c>
      <c r="AY122" s="438">
        <v>4</v>
      </c>
      <c r="AZ122" s="438">
        <v>3</v>
      </c>
      <c r="BA122" s="438">
        <v>3</v>
      </c>
      <c r="BB122" s="438">
        <v>3</v>
      </c>
      <c r="BC122" s="438">
        <v>4</v>
      </c>
      <c r="BD122" s="438">
        <v>4</v>
      </c>
      <c r="BE122" s="438">
        <v>4</v>
      </c>
      <c r="BF122" s="438">
        <v>3</v>
      </c>
      <c r="BG122" s="438">
        <v>3</v>
      </c>
      <c r="BH122" s="438">
        <v>3</v>
      </c>
      <c r="BI122" s="438">
        <v>5</v>
      </c>
      <c r="BJ122" s="438">
        <v>4</v>
      </c>
      <c r="BK122" s="438">
        <v>3</v>
      </c>
      <c r="BL122" s="438">
        <v>5</v>
      </c>
      <c r="BM122" s="438">
        <v>3</v>
      </c>
      <c r="BN122" s="422" t="s">
        <v>520</v>
      </c>
      <c r="BO122" s="438">
        <v>-26.964285714285701</v>
      </c>
      <c r="BP122" s="438">
        <v>-456.17857142857099</v>
      </c>
      <c r="BQ122" s="422">
        <f t="shared" ref="BQ122:BQ127" si="1028">SUM(BO122:BP122)</f>
        <v>-483.14285714285671</v>
      </c>
      <c r="BR122" s="438" t="str">
        <f t="shared" ref="BR122:BR127" si="1029">IF(BQ122&gt;=80,"A1",
IF(BQ122&gt;=75,"A",
IF(BQ122&gt;=70,"B2",
IF(BQ122&gt;=65,"B3",
IF(BQ122&gt;=60,"C4",
IF(BQ122&gt;=55,"C5",
IF(BQ122&gt;=50,"C6",
IF(BQ122&gt;=45,"D7",
IF(BQ122&gt;=40,"E8",
IF(BQ122&gt;=1,"F9",""))))))))))</f>
        <v/>
      </c>
      <c r="BS122" s="422">
        <v>-26.964285714285701</v>
      </c>
      <c r="BT122" s="438">
        <v>-338.53571428571399</v>
      </c>
      <c r="BU122" s="422">
        <f t="shared" ref="BU122:BU127" si="1030">SUM(BS122:BT122)</f>
        <v>-365.49999999999972</v>
      </c>
      <c r="BV122" s="438" t="str">
        <f t="shared" ref="BV122:BV127" si="1031">IF(BU122&gt;=80,"A1",
IF(BU122&gt;=75,"A",
IF(BU122&gt;=70,"B2",
IF(BU122&gt;=65,"B3",
IF(BU122&gt;=60,"C4",
IF(BU122&gt;=55,"C5",
IF(BU122&gt;=50,"C6",
IF(BU122&gt;=45,"D7",
IF(BU122&gt;=40,"E8",
IF(BU122&gt;=1,"F9",""))))))))))</f>
        <v/>
      </c>
      <c r="BW122" s="422">
        <v>-26.964285714285701</v>
      </c>
      <c r="BX122" s="422">
        <v>-326.53571428571399</v>
      </c>
      <c r="BY122" s="422">
        <f t="shared" ref="BY122:BY127" si="1032">SUM(BW122:BX122)</f>
        <v>-353.49999999999972</v>
      </c>
      <c r="BZ122" s="438" t="str">
        <f t="shared" ref="BZ122:BZ127" si="1033">IF(BY122&gt;=80,"A1",
IF(BY122&gt;=75,"A",
IF(BY122&gt;=70,"B2",
IF(BY122&gt;=65,"B3",
IF(BY122&gt;=60,"C4",
IF(BY122&gt;=55,"C5",
IF(BY122&gt;=50,"C6",
IF(BY122&gt;=45,"D7",
IF(BY122&gt;=40,"E8",
IF(BY122&gt;=1,"F9",""))))))))))</f>
        <v/>
      </c>
      <c r="CA122" s="422">
        <v>-26.964285714285701</v>
      </c>
      <c r="CB122" s="422">
        <v>-341.78571428571502</v>
      </c>
      <c r="CC122" s="422">
        <f t="shared" ref="CC122:CC127" si="1034">SUM(CA122:CB122)</f>
        <v>-368.75000000000074</v>
      </c>
      <c r="CD122" s="438" t="str">
        <f t="shared" ref="CD122:CD127" si="1035">IF(CC122&gt;=80,"A1",
IF(CC122&gt;=75,"A",
IF(CC122&gt;=70,"B2",
IF(CC122&gt;=65,"B3",
IF(CC122&gt;=60,"C4",
IF(CC122&gt;=55,"C5",
IF(CC122&gt;=50,"C6",
IF(CC122&gt;=45,"D7",
IF(CC122&gt;=40,"E8",
IF(CC122&gt;=1,"F9",""))))))))))</f>
        <v/>
      </c>
      <c r="CE122" s="422">
        <v>35</v>
      </c>
      <c r="CF122" s="422">
        <v>-329.71428571428601</v>
      </c>
      <c r="CG122" s="422">
        <f t="shared" ref="CG122:CG127" si="1036">SUM(CE122:CF122)</f>
        <v>-294.71428571428601</v>
      </c>
      <c r="CH122" s="438" t="str">
        <f t="shared" ref="CH122:CH127" si="1037">IF(CG122&gt;=80,"A1",
IF(CG122&gt;=75,"A",
IF(CG122&gt;=70,"B2",
IF(CG122&gt;=65,"B3",
IF(CG122&gt;=60,"C4",
IF(CG122&gt;=55,"C5",
IF(CG122&gt;=50,"C6",
IF(CG122&gt;=45,"D7",
IF(CG122&gt;=40,"E8",
IF(CG122&gt;=1,"F9",""))))))))))</f>
        <v/>
      </c>
      <c r="CI122" s="422">
        <v>-26.964285714285701</v>
      </c>
      <c r="CJ122" s="422">
        <v>-173.107142857143</v>
      </c>
      <c r="CK122" s="422">
        <f t="shared" ref="CK122:CK127" si="1038">SUM(CI122:CJ122)</f>
        <v>-200.0714285714287</v>
      </c>
      <c r="CL122" s="438" t="str">
        <f t="shared" ref="CL122:CL127" si="1039">IF(CK122&gt;=80,"A1",
IF(CK122&gt;=75,"A",
IF(CK122&gt;=70,"B2",
IF(CK122&gt;=65,"B3",
IF(CK122&gt;=60,"C4",
IF(CK122&gt;=55,"C5",
IF(CK122&gt;=50,"C6",
IF(CK122&gt;=45,"D7",
IF(CK122&gt;=40,"E8",
IF(CK122&gt;=1,"F9",""))))))))))</f>
        <v/>
      </c>
      <c r="CM122" s="422">
        <v>-26.964285714285701</v>
      </c>
      <c r="CN122" s="422"/>
      <c r="CO122" s="422"/>
      <c r="CP122" s="422">
        <f t="shared" ref="CP122:CP123" si="1040">CM122</f>
        <v>-26.964285714285701</v>
      </c>
      <c r="CQ122" s="422">
        <v>14.801724137931201</v>
      </c>
      <c r="CR122" s="422">
        <f t="shared" ref="CR122:CR127" si="1041">SUM(CP122:CQ122)</f>
        <v>-12.1625615763545</v>
      </c>
      <c r="CS122" s="438" t="str">
        <f t="shared" ref="CS122:CS127" si="1042">IF(CR122&gt;=80,"A1",
IF(CR122&gt;=75,"A",
IF(CR122&gt;=70,"B2",
IF(CR122&gt;=65,"B3",
IF(CR122&gt;=60,"C4",
IF(CR122&gt;=55,"C5",
IF(CR122&gt;=50,"C6",
IF(CR122&gt;=45,"D7",
IF(CR122&gt;=40,"E8",
IF(CR122&gt;=1,"F9",""))))))))))</f>
        <v/>
      </c>
      <c r="CT122" s="422">
        <v>-68.947368421052701</v>
      </c>
      <c r="CU122" s="422">
        <v>-375.78947368421098</v>
      </c>
      <c r="CV122" s="422">
        <f t="shared" ref="CV122:CV127" si="1043">SUM(CT122:CU122)</f>
        <v>-444.73684210526369</v>
      </c>
      <c r="CW122" s="438" t="str">
        <f t="shared" ref="CW122:CW127" si="1044">IF(CV122&gt;=80,"A1",
IF(CV122&gt;=75,"A",
IF(CV122&gt;=70,"B2",
IF(CV122&gt;=65,"B3",
IF(CV122&gt;=60,"C4",
IF(CV122&gt;=55,"C5",
IF(CV122&gt;=50,"C6",
IF(CV122&gt;=45,"D7",
IF(CV122&gt;=40,"E8",
IF(CV122&gt;=1,"F9",""))))))))))</f>
        <v/>
      </c>
      <c r="CX122" s="422">
        <v>-90.8333333333333</v>
      </c>
      <c r="CY122" s="422">
        <v>-341.78571428571502</v>
      </c>
      <c r="CZ122" s="422">
        <f t="shared" ref="CZ122:CZ127" si="1045">SUM(CX122:CY122)</f>
        <v>-432.61904761904833</v>
      </c>
      <c r="DA122" s="438" t="str">
        <f t="shared" ref="DA122:DA127" si="1046">IF(CZ122&gt;=80,"A1",
IF(CZ122&gt;=75,"A",
IF(CZ122&gt;=70,"B2",
IF(CZ122&gt;=65,"B3",
IF(CZ122&gt;=60,"C4",
IF(CZ122&gt;=55,"C5",
IF(CZ122&gt;=50,"C6",
IF(CZ122&gt;=45,"D7",
IF(CZ122&gt;=40,"E8",
IF(CZ122&gt;=1,"F9",""))))))))))</f>
        <v/>
      </c>
      <c r="DB122" s="422">
        <v>-310</v>
      </c>
      <c r="DC122" s="422">
        <v>-274.82142857142901</v>
      </c>
      <c r="DD122" s="422">
        <f t="shared" ref="DD122:DD127" si="1047">SUM(DB122:DC122)</f>
        <v>-584.82142857142901</v>
      </c>
      <c r="DE122" s="422" t="str">
        <f t="shared" ref="DE122:DE127" si="1048">IF(DD122&gt;=80,"A1",
IF(DD122&gt;=75,"A",
IF(DD122&gt;=70,"B2",
IF(DD122&gt;=65,"B3",
IF(DD122&gt;=60,"C4",
IF(DD122&gt;=55,"C5",
IF(DD122&gt;=50,"C6",
IF(DD122&gt;=45,"D7",
IF(DD122&gt;=40,"E8",
IF(DD122&gt;=1,"F9",""))))))))))</f>
        <v/>
      </c>
      <c r="DF122" s="422">
        <f t="shared" ref="DF122:DF127" si="1049">DB122</f>
        <v>-310</v>
      </c>
      <c r="DG122" s="422">
        <v>-341.78571428571502</v>
      </c>
      <c r="DH122" s="422">
        <f t="shared" ref="DH122:DH127" si="1050">SUM(DF122:DG122)</f>
        <v>-651.78571428571502</v>
      </c>
      <c r="DI122" s="422" t="str">
        <f t="shared" ref="DI122:DI127" si="1051">IF(DH122&gt;=80,"A1",
IF(DH122&gt;=75,"A",
IF(DH122&gt;=70,"B2",
IF(DH122&gt;=65,"B3",
IF(DH122&gt;=60,"C4",
IF(DH122&gt;=55,"C5",
IF(DH122&gt;=50,"C6",
IF(DH122&gt;=45,"D7",
IF(DH122&gt;=40,"E8",
IF(DH122&gt;=1,"F9",""))))))))))</f>
        <v/>
      </c>
      <c r="DJ122" s="422">
        <v>-135</v>
      </c>
      <c r="DK122" s="422">
        <v>26.3928571428571</v>
      </c>
      <c r="DL122" s="422">
        <f t="shared" ref="DL122:DL127" si="1052">SUM(DJ122:DK122)</f>
        <v>-108.6071428571429</v>
      </c>
      <c r="DM122" s="422" t="str">
        <f t="shared" ref="DM122:DM127" si="1053">IF(DL122&gt;=80,"A1",
IF(DL122&gt;=75,"A",
IF(DL122&gt;=70,"B2",
IF(DL122&gt;=65,"B3",
IF(DL122&gt;=60,"C4",
IF(DL122&gt;=55,"C5",
IF(DL122&gt;=50,"C6",
IF(DL122&gt;=45,"D7",
IF(DL122&gt;=40,"E8",
IF(DL122&gt;=1,"F9",""))))))))))</f>
        <v/>
      </c>
      <c r="DN122" s="422">
        <v>-135</v>
      </c>
      <c r="DO122" s="422">
        <v>-24.6071428571429</v>
      </c>
      <c r="DP122" s="422">
        <f t="shared" ref="DP122:DP127" si="1054">SUM(DN122:DO122)</f>
        <v>-159.60714285714289</v>
      </c>
      <c r="DQ122" s="438" t="str">
        <f t="shared" ref="DQ122:DQ127" si="1055">IF(DP122&gt;=80,"A1",
IF(DP122&gt;=75,"A",
IF(DP122&gt;=70,"B2",
IF(DP122&gt;=65,"B3",
IF(DP122&gt;=60,"C4",
IF(DP122&gt;=55,"C5",
IF(DP122&gt;=50,"C6",
IF(DP122&gt;=45,"D7",
IF(DP122&gt;=40,"E8",
IF(DP122&gt;=1,"F9",""))))))))))</f>
        <v/>
      </c>
      <c r="DR122" s="422">
        <v>-485</v>
      </c>
      <c r="DS122" s="422">
        <v>-273.03571428571399</v>
      </c>
      <c r="DT122" s="422">
        <f t="shared" ref="DT122:DT127" si="1056">SUM(DR122:DS122)</f>
        <v>-758.03571428571399</v>
      </c>
      <c r="DU122" s="438" t="str">
        <f t="shared" ref="DU122:DU127" si="1057">IF(DT122&gt;=80,"A1",
IF(DT122&gt;=75,"A",
IF(DT122&gt;=70,"B2",
IF(DT122&gt;=65,"B3",
IF(DT122&gt;=60,"C4",
IF(DT122&gt;=55,"C5",
IF(DT122&gt;=50,"C6",
IF(DT122&gt;=45,"D7",
IF(DT122&gt;=40,"E8",
IF(DT122&gt;=1,"F9",""))))))))))</f>
        <v/>
      </c>
      <c r="DV122" s="422">
        <v>-135</v>
      </c>
      <c r="DW122" s="422">
        <v>38.785714285714199</v>
      </c>
      <c r="DX122" s="422">
        <f t="shared" ref="DX122:DX127" si="1058">SUM(DV122:DW122)</f>
        <v>-96.214285714285808</v>
      </c>
      <c r="DY122" s="438" t="str">
        <f t="shared" ref="DY122:DY127" si="1059">IF(DX122&gt;=80,"A1",
IF(DX122&gt;=75,"A",
IF(DX122&gt;=70,"B2",
IF(DX122&gt;=65,"B3",
IF(DX122&gt;=60,"C4",
IF(DX122&gt;=55,"C5",
IF(DX122&gt;=50,"C6",
IF(DX122&gt;=45,"D7",
IF(DX122&gt;=40,"E8",
IF(DX122&gt;=1,"F9",""))))))))))</f>
        <v/>
      </c>
      <c r="DZ122" s="422">
        <f t="shared" ref="DZ122:DZ127" si="1060">DV122</f>
        <v>-135</v>
      </c>
      <c r="EA122" s="422">
        <v>-45.750000000000099</v>
      </c>
      <c r="EB122" s="422">
        <f t="shared" ref="EB122:EB127" si="1061">SUM(DZ122:EA122)</f>
        <v>-180.75000000000011</v>
      </c>
      <c r="EC122" s="438" t="str">
        <f t="shared" ref="EC122:EC127" si="1062">IF(EB122&gt;=80,"A1",
IF(EB122&gt;=75,"A",
IF(EB122&gt;=70,"B2",
IF(EB122&gt;=65,"B3",
IF(EB122&gt;=60,"C4",
IF(EB122&gt;=55,"C5",
IF(EB122&gt;=50,"C6",
IF(EB122&gt;=45,"D7",
IF(EB122&gt;=40,"E8",
IF(EB122&gt;=1,"F9",""))))))))))</f>
        <v/>
      </c>
      <c r="ED122" s="422">
        <f t="shared" si="643"/>
        <v>-5495.0184513006679</v>
      </c>
      <c r="EE122" s="422">
        <f t="shared" si="650"/>
        <v>-343.43865320629175</v>
      </c>
      <c r="EF122" s="438" t="str">
        <f t="shared" si="651"/>
        <v/>
      </c>
      <c r="EG122" s="422" t="str">
        <f t="shared" si="652"/>
        <v/>
      </c>
      <c r="EH122" s="439">
        <v>1</v>
      </c>
      <c r="EI122" s="422">
        <f t="shared" si="653"/>
        <v>-5495.0184513006679</v>
      </c>
      <c r="EJ122" s="440">
        <f t="shared" si="654"/>
        <v>-3.4343865320629177</v>
      </c>
      <c r="EK122" s="438" t="s">
        <v>573</v>
      </c>
      <c r="EL122" s="438" t="s">
        <v>762</v>
      </c>
    </row>
    <row r="123" spans="1:142" ht="30">
      <c r="A123" s="690"/>
      <c r="B123" s="690"/>
      <c r="C123" s="690"/>
      <c r="D123" s="690"/>
      <c r="E123" s="690"/>
      <c r="F123" s="690"/>
      <c r="G123" s="690"/>
      <c r="H123" s="690"/>
      <c r="I123" s="690"/>
      <c r="J123" s="690"/>
      <c r="K123" s="690"/>
      <c r="L123" s="690"/>
      <c r="M123" s="690"/>
      <c r="N123" s="690"/>
      <c r="O123" s="690"/>
      <c r="P123" s="690"/>
      <c r="Q123" s="690"/>
      <c r="R123" s="690"/>
      <c r="S123" s="690"/>
      <c r="T123" s="690"/>
      <c r="U123" s="690"/>
      <c r="V123" s="690"/>
      <c r="W123" s="690"/>
      <c r="X123" s="690"/>
      <c r="Y123" s="690"/>
      <c r="Z123" s="690"/>
      <c r="AA123" s="420">
        <f t="shared" si="583"/>
        <v>122</v>
      </c>
      <c r="AB123" s="435" t="s">
        <v>59</v>
      </c>
      <c r="AC123" s="422" t="s">
        <v>394</v>
      </c>
      <c r="AD123" s="422" t="s">
        <v>326</v>
      </c>
      <c r="AE123" s="422">
        <v>30.8571428571429</v>
      </c>
      <c r="AF123" s="422">
        <f>'SSS1 ATTENDANCE '!FJ129</f>
        <v>0</v>
      </c>
      <c r="AG123" s="422">
        <f>'SSS1 ATTENDANCE '!FH129</f>
        <v>0</v>
      </c>
      <c r="AH123" s="422">
        <f>'SSS1 ATTENDANCE '!FI129</f>
        <v>0</v>
      </c>
      <c r="AI123" s="436" t="s">
        <v>695</v>
      </c>
      <c r="AJ123" s="437">
        <v>40754</v>
      </c>
      <c r="AK123" s="435" t="s">
        <v>396</v>
      </c>
      <c r="AL123" s="424">
        <v>25</v>
      </c>
      <c r="AM123" s="422">
        <v>89.5</v>
      </c>
      <c r="AN123" s="438">
        <v>4</v>
      </c>
      <c r="AO123" s="422" t="str">
        <f t="shared" si="644"/>
        <v>3</v>
      </c>
      <c r="AP123" s="438">
        <v>5</v>
      </c>
      <c r="AQ123" s="422">
        <v>4</v>
      </c>
      <c r="AR123" s="438">
        <v>4</v>
      </c>
      <c r="AS123" s="438">
        <v>4</v>
      </c>
      <c r="AT123" s="438">
        <v>4</v>
      </c>
      <c r="AU123" s="438">
        <v>3</v>
      </c>
      <c r="AV123" s="438">
        <v>4</v>
      </c>
      <c r="AW123" s="438">
        <v>4</v>
      </c>
      <c r="AX123" s="438">
        <v>3</v>
      </c>
      <c r="AY123" s="438">
        <v>4</v>
      </c>
      <c r="AZ123" s="438">
        <v>3</v>
      </c>
      <c r="BA123" s="438">
        <v>3</v>
      </c>
      <c r="BB123" s="438">
        <v>3</v>
      </c>
      <c r="BC123" s="438">
        <v>4</v>
      </c>
      <c r="BD123" s="438">
        <v>4</v>
      </c>
      <c r="BE123" s="438">
        <v>4</v>
      </c>
      <c r="BF123" s="438">
        <v>3</v>
      </c>
      <c r="BG123" s="438">
        <v>3</v>
      </c>
      <c r="BH123" s="438">
        <v>3</v>
      </c>
      <c r="BI123" s="438">
        <v>5</v>
      </c>
      <c r="BJ123" s="438">
        <v>4</v>
      </c>
      <c r="BK123" s="438">
        <v>3</v>
      </c>
      <c r="BL123" s="438">
        <v>5</v>
      </c>
      <c r="BM123" s="438">
        <v>3</v>
      </c>
      <c r="BN123" s="422" t="s">
        <v>521</v>
      </c>
      <c r="BO123" s="438">
        <v>-27.5</v>
      </c>
      <c r="BP123" s="438">
        <v>-460.357142857143</v>
      </c>
      <c r="BQ123" s="422">
        <f t="shared" si="1028"/>
        <v>-487.857142857143</v>
      </c>
      <c r="BR123" s="438" t="str">
        <f t="shared" si="1029"/>
        <v/>
      </c>
      <c r="BS123" s="422">
        <v>-27.5</v>
      </c>
      <c r="BT123" s="438">
        <v>-341.78571428571399</v>
      </c>
      <c r="BU123" s="422">
        <f t="shared" si="1030"/>
        <v>-369.28571428571399</v>
      </c>
      <c r="BV123" s="438" t="str">
        <f t="shared" si="1031"/>
        <v/>
      </c>
      <c r="BW123" s="422">
        <v>-27.5</v>
      </c>
      <c r="BX123" s="422">
        <v>-329.642857142857</v>
      </c>
      <c r="BY123" s="422">
        <f t="shared" si="1032"/>
        <v>-357.142857142857</v>
      </c>
      <c r="BZ123" s="438" t="str">
        <f t="shared" si="1033"/>
        <v/>
      </c>
      <c r="CA123" s="422">
        <v>-27.5</v>
      </c>
      <c r="CB123" s="422">
        <v>-345.00000000000102</v>
      </c>
      <c r="CC123" s="422">
        <f t="shared" si="1034"/>
        <v>-372.50000000000102</v>
      </c>
      <c r="CD123" s="438" t="str">
        <f t="shared" si="1035"/>
        <v/>
      </c>
      <c r="CE123" s="422">
        <v>35</v>
      </c>
      <c r="CF123" s="422">
        <v>-332.857142857143</v>
      </c>
      <c r="CG123" s="422">
        <f t="shared" si="1036"/>
        <v>-297.857142857143</v>
      </c>
      <c r="CH123" s="438" t="str">
        <f t="shared" si="1037"/>
        <v/>
      </c>
      <c r="CI123" s="422">
        <v>-27.5</v>
      </c>
      <c r="CJ123" s="422">
        <v>-174.92857142857099</v>
      </c>
      <c r="CK123" s="422">
        <f t="shared" si="1038"/>
        <v>-202.42857142857099</v>
      </c>
      <c r="CL123" s="438" t="str">
        <f t="shared" si="1039"/>
        <v/>
      </c>
      <c r="CM123" s="422">
        <v>-27.5</v>
      </c>
      <c r="CN123" s="422"/>
      <c r="CO123" s="422"/>
      <c r="CP123" s="422">
        <f t="shared" si="1040"/>
        <v>-27.5</v>
      </c>
      <c r="CQ123" s="422">
        <v>14.5172413793105</v>
      </c>
      <c r="CR123" s="422">
        <f t="shared" si="1041"/>
        <v>-12.9827586206895</v>
      </c>
      <c r="CS123" s="438" t="str">
        <f t="shared" si="1042"/>
        <v/>
      </c>
      <c r="CT123" s="422">
        <v>-69.999999999999702</v>
      </c>
      <c r="CU123" s="422">
        <v>-380.00000000000102</v>
      </c>
      <c r="CV123" s="422">
        <f t="shared" si="1043"/>
        <v>-450.00000000000074</v>
      </c>
      <c r="CW123" s="438" t="str">
        <f t="shared" si="1044"/>
        <v/>
      </c>
      <c r="CX123" s="422">
        <v>-93.3333333333333</v>
      </c>
      <c r="CY123" s="422">
        <v>-345.00000000000102</v>
      </c>
      <c r="CZ123" s="422">
        <f t="shared" si="1045"/>
        <v>-438.33333333333434</v>
      </c>
      <c r="DA123" s="438" t="str">
        <f t="shared" si="1046"/>
        <v/>
      </c>
      <c r="DB123" s="422">
        <f t="shared" ref="DB123:DB127" si="1063">CX123</f>
        <v>-93.3333333333333</v>
      </c>
      <c r="DC123" s="422">
        <v>-277.5</v>
      </c>
      <c r="DD123" s="422">
        <f t="shared" si="1047"/>
        <v>-370.83333333333331</v>
      </c>
      <c r="DE123" s="422" t="str">
        <f t="shared" si="1048"/>
        <v/>
      </c>
      <c r="DF123" s="422">
        <f t="shared" si="1049"/>
        <v>-93.3333333333333</v>
      </c>
      <c r="DG123" s="422">
        <v>-345.00000000000102</v>
      </c>
      <c r="DH123" s="422">
        <f t="shared" si="1050"/>
        <v>-438.33333333333434</v>
      </c>
      <c r="DI123" s="422" t="str">
        <f t="shared" si="1051"/>
        <v/>
      </c>
      <c r="DJ123" s="422">
        <f t="shared" ref="DJ123:DJ127" si="1064">DF123</f>
        <v>-93.3333333333333</v>
      </c>
      <c r="DK123" s="422">
        <v>26.214285714285701</v>
      </c>
      <c r="DL123" s="422">
        <f t="shared" si="1052"/>
        <v>-67.119047619047592</v>
      </c>
      <c r="DM123" s="422" t="str">
        <f t="shared" si="1053"/>
        <v/>
      </c>
      <c r="DN123" s="422">
        <f t="shared" ref="DN123:DN127" si="1065">DJ123</f>
        <v>-93.3333333333333</v>
      </c>
      <c r="DO123" s="422">
        <v>-25.214285714285701</v>
      </c>
      <c r="DP123" s="422">
        <f t="shared" si="1054"/>
        <v>-118.54761904761901</v>
      </c>
      <c r="DQ123" s="438" t="str">
        <f t="shared" si="1055"/>
        <v/>
      </c>
      <c r="DR123" s="422">
        <f t="shared" ref="DR123:DR127" si="1066">DN123</f>
        <v>-93.3333333333333</v>
      </c>
      <c r="DS123" s="422">
        <v>-275.642857142857</v>
      </c>
      <c r="DT123" s="422">
        <f t="shared" si="1056"/>
        <v>-368.97619047619031</v>
      </c>
      <c r="DU123" s="438" t="str">
        <f t="shared" si="1057"/>
        <v/>
      </c>
      <c r="DV123" s="422">
        <f t="shared" ref="DV123:DV127" si="1067">DR123</f>
        <v>-93.3333333333333</v>
      </c>
      <c r="DW123" s="422">
        <v>38.714285714285602</v>
      </c>
      <c r="DX123" s="422">
        <f t="shared" si="1058"/>
        <v>-54.619047619047699</v>
      </c>
      <c r="DY123" s="438" t="str">
        <f t="shared" si="1059"/>
        <v/>
      </c>
      <c r="DZ123" s="422">
        <f t="shared" si="1060"/>
        <v>-93.3333333333333</v>
      </c>
      <c r="EA123" s="422">
        <v>-46.500000000000099</v>
      </c>
      <c r="EB123" s="422">
        <f t="shared" si="1061"/>
        <v>-139.8333333333334</v>
      </c>
      <c r="EC123" s="438" t="str">
        <f t="shared" si="1062"/>
        <v/>
      </c>
      <c r="ED123" s="422">
        <f t="shared" si="643"/>
        <v>-4546.649425287359</v>
      </c>
      <c r="EE123" s="422">
        <f t="shared" si="650"/>
        <v>-284.16558908045994</v>
      </c>
      <c r="EF123" s="438" t="str">
        <f t="shared" si="651"/>
        <v/>
      </c>
      <c r="EG123" s="422" t="str">
        <f t="shared" si="652"/>
        <v/>
      </c>
      <c r="EH123" s="439">
        <v>1</v>
      </c>
      <c r="EI123" s="422">
        <f t="shared" si="653"/>
        <v>-4546.649425287359</v>
      </c>
      <c r="EJ123" s="440">
        <f t="shared" si="654"/>
        <v>-2.8416558908045992</v>
      </c>
      <c r="EK123" s="438" t="s">
        <v>573</v>
      </c>
      <c r="EL123" s="438" t="s">
        <v>762</v>
      </c>
    </row>
    <row r="124" spans="1:142" ht="30">
      <c r="A124" s="690"/>
      <c r="B124" s="690"/>
      <c r="C124" s="690"/>
      <c r="D124" s="690"/>
      <c r="E124" s="690"/>
      <c r="F124" s="690"/>
      <c r="G124" s="690"/>
      <c r="H124" s="690"/>
      <c r="I124" s="690"/>
      <c r="J124" s="690"/>
      <c r="K124" s="690"/>
      <c r="L124" s="690"/>
      <c r="M124" s="690"/>
      <c r="N124" s="690"/>
      <c r="O124" s="690"/>
      <c r="P124" s="690"/>
      <c r="Q124" s="690"/>
      <c r="R124" s="690"/>
      <c r="S124" s="690"/>
      <c r="T124" s="690"/>
      <c r="U124" s="690"/>
      <c r="V124" s="690"/>
      <c r="W124" s="690"/>
      <c r="X124" s="690"/>
      <c r="Y124" s="690"/>
      <c r="Z124" s="690"/>
      <c r="AA124" s="420">
        <f t="shared" si="583"/>
        <v>123</v>
      </c>
      <c r="AB124" s="435" t="s">
        <v>60</v>
      </c>
      <c r="AC124" s="422" t="s">
        <v>394</v>
      </c>
      <c r="AD124" s="422" t="s">
        <v>326</v>
      </c>
      <c r="AE124" s="422">
        <v>31</v>
      </c>
      <c r="AF124" s="422">
        <f>'SSS1 ATTENDANCE '!FJ130</f>
        <v>0</v>
      </c>
      <c r="AG124" s="422">
        <f>'SSS1 ATTENDANCE '!FH130</f>
        <v>0</v>
      </c>
      <c r="AH124" s="422">
        <f>'SSS1 ATTENDANCE '!FI130</f>
        <v>0</v>
      </c>
      <c r="AI124" s="436" t="s">
        <v>696</v>
      </c>
      <c r="AJ124" s="437">
        <v>40900</v>
      </c>
      <c r="AK124" s="435" t="s">
        <v>396</v>
      </c>
      <c r="AL124" s="424">
        <v>25</v>
      </c>
      <c r="AM124" s="422">
        <v>90.035714285714306</v>
      </c>
      <c r="AN124" s="438">
        <v>4</v>
      </c>
      <c r="AO124" s="422" t="str">
        <f t="shared" si="644"/>
        <v>3</v>
      </c>
      <c r="AP124" s="438">
        <v>5</v>
      </c>
      <c r="AQ124" s="422">
        <v>4</v>
      </c>
      <c r="AR124" s="438">
        <v>4</v>
      </c>
      <c r="AS124" s="438">
        <v>4</v>
      </c>
      <c r="AT124" s="438">
        <v>4</v>
      </c>
      <c r="AU124" s="438">
        <v>3</v>
      </c>
      <c r="AV124" s="438">
        <v>4</v>
      </c>
      <c r="AW124" s="438">
        <v>4</v>
      </c>
      <c r="AX124" s="438">
        <v>3</v>
      </c>
      <c r="AY124" s="438">
        <v>4</v>
      </c>
      <c r="AZ124" s="438">
        <v>3</v>
      </c>
      <c r="BA124" s="438">
        <v>3</v>
      </c>
      <c r="BB124" s="438">
        <v>3</v>
      </c>
      <c r="BC124" s="438">
        <v>4</v>
      </c>
      <c r="BD124" s="438">
        <v>4</v>
      </c>
      <c r="BE124" s="438">
        <v>4</v>
      </c>
      <c r="BF124" s="438">
        <v>3</v>
      </c>
      <c r="BG124" s="438">
        <v>3</v>
      </c>
      <c r="BH124" s="438">
        <v>3</v>
      </c>
      <c r="BI124" s="438">
        <v>5</v>
      </c>
      <c r="BJ124" s="438">
        <v>4</v>
      </c>
      <c r="BK124" s="438">
        <v>3</v>
      </c>
      <c r="BL124" s="438">
        <v>5</v>
      </c>
      <c r="BM124" s="438">
        <v>3</v>
      </c>
      <c r="BN124" s="422" t="s">
        <v>522</v>
      </c>
      <c r="BO124" s="438">
        <v>-28.035714285714299</v>
      </c>
      <c r="BP124" s="438">
        <v>-464.53571428571399</v>
      </c>
      <c r="BQ124" s="422">
        <f t="shared" si="1028"/>
        <v>-492.57142857142827</v>
      </c>
      <c r="BR124" s="438" t="str">
        <f t="shared" si="1029"/>
        <v/>
      </c>
      <c r="BS124" s="422">
        <v>-28.035714285714299</v>
      </c>
      <c r="BT124" s="438">
        <v>-345.03571428571399</v>
      </c>
      <c r="BU124" s="422">
        <f t="shared" si="1030"/>
        <v>-373.07142857142827</v>
      </c>
      <c r="BV124" s="438" t="str">
        <f t="shared" si="1031"/>
        <v/>
      </c>
      <c r="BW124" s="422">
        <v>-28.035714285714299</v>
      </c>
      <c r="BX124" s="422">
        <v>-332.74999999999898</v>
      </c>
      <c r="BY124" s="422">
        <f t="shared" si="1032"/>
        <v>-360.78571428571325</v>
      </c>
      <c r="BZ124" s="438" t="str">
        <f t="shared" si="1033"/>
        <v/>
      </c>
      <c r="CA124" s="422">
        <v>-28.035714285714299</v>
      </c>
      <c r="CB124" s="422">
        <v>-348.21428571428601</v>
      </c>
      <c r="CC124" s="422">
        <f t="shared" si="1034"/>
        <v>-376.25000000000028</v>
      </c>
      <c r="CD124" s="438" t="str">
        <f t="shared" si="1035"/>
        <v/>
      </c>
      <c r="CE124" s="422">
        <v>35</v>
      </c>
      <c r="CF124" s="422">
        <v>-336.00000000000102</v>
      </c>
      <c r="CG124" s="422">
        <f t="shared" si="1036"/>
        <v>-301.00000000000102</v>
      </c>
      <c r="CH124" s="438" t="str">
        <f t="shared" si="1037"/>
        <v/>
      </c>
      <c r="CI124" s="422">
        <v>-28.035714285714299</v>
      </c>
      <c r="CJ124" s="422">
        <v>-176.75</v>
      </c>
      <c r="CK124" s="422">
        <f t="shared" si="1038"/>
        <v>-204.78571428571431</v>
      </c>
      <c r="CL124" s="438" t="str">
        <f t="shared" si="1039"/>
        <v/>
      </c>
      <c r="CM124" s="422">
        <v>-28.035714285714299</v>
      </c>
      <c r="CN124" s="422"/>
      <c r="CO124" s="422"/>
      <c r="CP124" s="422"/>
      <c r="CQ124" s="422">
        <v>14.2327586206898</v>
      </c>
      <c r="CR124" s="422">
        <f t="shared" si="1041"/>
        <v>14.2327586206898</v>
      </c>
      <c r="CS124" s="438" t="str">
        <f t="shared" si="1042"/>
        <v>F9</v>
      </c>
      <c r="CT124" s="422">
        <v>-71.052631578947697</v>
      </c>
      <c r="CU124" s="422">
        <v>-384.21052631578999</v>
      </c>
      <c r="CV124" s="422">
        <f t="shared" si="1043"/>
        <v>-455.26315789473767</v>
      </c>
      <c r="CW124" s="438" t="str">
        <f t="shared" si="1044"/>
        <v/>
      </c>
      <c r="CX124" s="422">
        <f t="shared" ref="CX124" si="1068">CT124</f>
        <v>-71.052631578947697</v>
      </c>
      <c r="CY124" s="422">
        <v>-348.21428571428601</v>
      </c>
      <c r="CZ124" s="422">
        <f t="shared" si="1045"/>
        <v>-419.26691729323369</v>
      </c>
      <c r="DA124" s="438" t="str">
        <f t="shared" si="1046"/>
        <v/>
      </c>
      <c r="DB124" s="422">
        <f t="shared" si="1063"/>
        <v>-71.052631578947697</v>
      </c>
      <c r="DC124" s="422">
        <v>-280.17857142857099</v>
      </c>
      <c r="DD124" s="422">
        <f t="shared" si="1047"/>
        <v>-351.23120300751867</v>
      </c>
      <c r="DE124" s="422" t="str">
        <f t="shared" si="1048"/>
        <v/>
      </c>
      <c r="DF124" s="422">
        <f t="shared" si="1049"/>
        <v>-71.052631578947697</v>
      </c>
      <c r="DG124" s="422">
        <v>-348.21428571428601</v>
      </c>
      <c r="DH124" s="422">
        <f t="shared" si="1050"/>
        <v>-419.26691729323369</v>
      </c>
      <c r="DI124" s="422" t="str">
        <f t="shared" si="1051"/>
        <v/>
      </c>
      <c r="DJ124" s="422">
        <f t="shared" si="1064"/>
        <v>-71.052631578947697</v>
      </c>
      <c r="DK124" s="422">
        <v>26.035714285714199</v>
      </c>
      <c r="DL124" s="422">
        <f t="shared" si="1052"/>
        <v>-45.016917293233497</v>
      </c>
      <c r="DM124" s="422" t="str">
        <f t="shared" si="1053"/>
        <v/>
      </c>
      <c r="DN124" s="422">
        <f t="shared" si="1065"/>
        <v>-71.052631578947697</v>
      </c>
      <c r="DO124" s="422">
        <v>-25.821428571428601</v>
      </c>
      <c r="DP124" s="422">
        <f t="shared" si="1054"/>
        <v>-96.874060150376295</v>
      </c>
      <c r="DQ124" s="438" t="str">
        <f t="shared" si="1055"/>
        <v/>
      </c>
      <c r="DR124" s="422">
        <f t="shared" si="1066"/>
        <v>-71.052631578947697</v>
      </c>
      <c r="DS124" s="422">
        <v>-278.25</v>
      </c>
      <c r="DT124" s="422">
        <f t="shared" si="1056"/>
        <v>-349.30263157894768</v>
      </c>
      <c r="DU124" s="438" t="str">
        <f t="shared" si="1057"/>
        <v/>
      </c>
      <c r="DV124" s="422">
        <f t="shared" si="1067"/>
        <v>-71.052631578947697</v>
      </c>
      <c r="DW124" s="422">
        <v>38.642857142857103</v>
      </c>
      <c r="DX124" s="422">
        <f t="shared" si="1058"/>
        <v>-32.409774436090593</v>
      </c>
      <c r="DY124" s="438" t="str">
        <f t="shared" si="1059"/>
        <v/>
      </c>
      <c r="DZ124" s="422">
        <f t="shared" si="1060"/>
        <v>-71.052631578947697</v>
      </c>
      <c r="EA124" s="422">
        <v>-47.250000000000099</v>
      </c>
      <c r="EB124" s="422">
        <f t="shared" si="1061"/>
        <v>-118.3026315789478</v>
      </c>
      <c r="EC124" s="438" t="str">
        <f t="shared" si="1062"/>
        <v/>
      </c>
      <c r="ED124" s="422">
        <f t="shared" si="643"/>
        <v>-4381.1657376199146</v>
      </c>
      <c r="EE124" s="422">
        <f t="shared" si="650"/>
        <v>-273.82285860124466</v>
      </c>
      <c r="EF124" s="438" t="str">
        <f t="shared" si="651"/>
        <v/>
      </c>
      <c r="EG124" s="422" t="str">
        <f t="shared" si="652"/>
        <v/>
      </c>
      <c r="EH124" s="439">
        <v>1</v>
      </c>
      <c r="EI124" s="422">
        <f t="shared" si="653"/>
        <v>-4381.1657376199146</v>
      </c>
      <c r="EJ124" s="440">
        <f t="shared" si="654"/>
        <v>-2.7382285860124465</v>
      </c>
      <c r="EK124" s="438" t="s">
        <v>573</v>
      </c>
      <c r="EL124" s="438" t="s">
        <v>762</v>
      </c>
    </row>
    <row r="125" spans="1:142" ht="30">
      <c r="A125" s="690"/>
      <c r="B125" s="690"/>
      <c r="C125" s="690"/>
      <c r="D125" s="690"/>
      <c r="E125" s="690"/>
      <c r="F125" s="690"/>
      <c r="G125" s="690"/>
      <c r="H125" s="690"/>
      <c r="I125" s="690"/>
      <c r="J125" s="690"/>
      <c r="K125" s="690"/>
      <c r="L125" s="690"/>
      <c r="M125" s="690"/>
      <c r="N125" s="690"/>
      <c r="O125" s="690"/>
      <c r="P125" s="690"/>
      <c r="Q125" s="690"/>
      <c r="R125" s="690"/>
      <c r="S125" s="690"/>
      <c r="T125" s="690"/>
      <c r="U125" s="690"/>
      <c r="V125" s="690"/>
      <c r="W125" s="690"/>
      <c r="X125" s="690"/>
      <c r="Y125" s="690"/>
      <c r="Z125" s="690"/>
      <c r="AA125" s="420">
        <f t="shared" si="583"/>
        <v>124</v>
      </c>
      <c r="AB125" s="435" t="s">
        <v>61</v>
      </c>
      <c r="AC125" s="422" t="s">
        <v>394</v>
      </c>
      <c r="AD125" s="422" t="s">
        <v>326</v>
      </c>
      <c r="AE125" s="422">
        <v>31.142857142857199</v>
      </c>
      <c r="AF125" s="422">
        <f>'SSS1 ATTENDANCE '!FJ131</f>
        <v>0</v>
      </c>
      <c r="AG125" s="422">
        <f>'SSS1 ATTENDANCE '!FH131</f>
        <v>0</v>
      </c>
      <c r="AH125" s="422">
        <f>'SSS1 ATTENDANCE '!FI131</f>
        <v>0</v>
      </c>
      <c r="AI125" s="436" t="s">
        <v>697</v>
      </c>
      <c r="AJ125" s="437">
        <v>40368</v>
      </c>
      <c r="AK125" s="435" t="s">
        <v>396</v>
      </c>
      <c r="AL125" s="424">
        <v>25</v>
      </c>
      <c r="AM125" s="422">
        <v>90.571428571428498</v>
      </c>
      <c r="AN125" s="438">
        <v>4</v>
      </c>
      <c r="AO125" s="422" t="str">
        <f t="shared" si="644"/>
        <v>3</v>
      </c>
      <c r="AP125" s="438">
        <v>5</v>
      </c>
      <c r="AQ125" s="422">
        <v>4</v>
      </c>
      <c r="AR125" s="438">
        <v>4</v>
      </c>
      <c r="AS125" s="438">
        <v>4</v>
      </c>
      <c r="AT125" s="438">
        <v>4</v>
      </c>
      <c r="AU125" s="438">
        <v>3</v>
      </c>
      <c r="AV125" s="438">
        <v>4</v>
      </c>
      <c r="AW125" s="438">
        <v>4</v>
      </c>
      <c r="AX125" s="438">
        <v>3</v>
      </c>
      <c r="AY125" s="438">
        <v>4</v>
      </c>
      <c r="AZ125" s="438">
        <v>3</v>
      </c>
      <c r="BA125" s="438">
        <v>3</v>
      </c>
      <c r="BB125" s="438">
        <v>3</v>
      </c>
      <c r="BC125" s="438">
        <v>4</v>
      </c>
      <c r="BD125" s="438">
        <v>4</v>
      </c>
      <c r="BE125" s="438">
        <v>4</v>
      </c>
      <c r="BF125" s="438">
        <v>3</v>
      </c>
      <c r="BG125" s="438">
        <v>3</v>
      </c>
      <c r="BH125" s="438">
        <v>3</v>
      </c>
      <c r="BI125" s="438">
        <v>5</v>
      </c>
      <c r="BJ125" s="438">
        <v>4</v>
      </c>
      <c r="BK125" s="438">
        <v>3</v>
      </c>
      <c r="BL125" s="438">
        <v>5</v>
      </c>
      <c r="BM125" s="438">
        <v>3</v>
      </c>
      <c r="BN125" s="422" t="s">
        <v>523</v>
      </c>
      <c r="BO125" s="438">
        <v>-28.571428571428498</v>
      </c>
      <c r="BP125" s="438">
        <v>-468.71428571428601</v>
      </c>
      <c r="BQ125" s="422">
        <f t="shared" si="1028"/>
        <v>-497.2857142857145</v>
      </c>
      <c r="BR125" s="438" t="str">
        <f t="shared" si="1029"/>
        <v/>
      </c>
      <c r="BS125" s="422">
        <v>-28.571428571428498</v>
      </c>
      <c r="BT125" s="438">
        <v>-348.28571428571399</v>
      </c>
      <c r="BU125" s="422">
        <f t="shared" si="1030"/>
        <v>-376.85714285714249</v>
      </c>
      <c r="BV125" s="438" t="str">
        <f t="shared" si="1031"/>
        <v/>
      </c>
      <c r="BW125" s="422">
        <v>-28.571428571428498</v>
      </c>
      <c r="BX125" s="422">
        <v>-335.85714285714198</v>
      </c>
      <c r="BY125" s="422">
        <f t="shared" si="1032"/>
        <v>-364.42857142857048</v>
      </c>
      <c r="BZ125" s="438" t="str">
        <f t="shared" si="1033"/>
        <v/>
      </c>
      <c r="CA125" s="422">
        <v>-28.571428571428498</v>
      </c>
      <c r="CB125" s="422">
        <v>-351.42857142857201</v>
      </c>
      <c r="CC125" s="422">
        <f t="shared" si="1034"/>
        <v>-380.00000000000051</v>
      </c>
      <c r="CD125" s="438" t="str">
        <f t="shared" si="1035"/>
        <v/>
      </c>
      <c r="CE125" s="422">
        <v>35</v>
      </c>
      <c r="CF125" s="422">
        <v>-339.14285714285802</v>
      </c>
      <c r="CG125" s="422">
        <f t="shared" si="1036"/>
        <v>-304.14285714285802</v>
      </c>
      <c r="CH125" s="438" t="str">
        <f t="shared" si="1037"/>
        <v/>
      </c>
      <c r="CI125" s="422">
        <v>-28.571428571428498</v>
      </c>
      <c r="CJ125" s="422">
        <v>-178.57142857142799</v>
      </c>
      <c r="CK125" s="422">
        <f t="shared" si="1038"/>
        <v>-207.14285714285649</v>
      </c>
      <c r="CL125" s="438" t="str">
        <f t="shared" si="1039"/>
        <v/>
      </c>
      <c r="CM125" s="422">
        <v>-28.571428571428498</v>
      </c>
      <c r="CN125" s="422"/>
      <c r="CO125" s="422"/>
      <c r="CP125" s="422">
        <f t="shared" ref="CP125" si="1069">CM125</f>
        <v>-28.571428571428498</v>
      </c>
      <c r="CQ125" s="422">
        <v>13.948275862069099</v>
      </c>
      <c r="CR125" s="422">
        <f t="shared" si="1041"/>
        <v>-14.623152709359399</v>
      </c>
      <c r="CS125" s="438" t="str">
        <f t="shared" si="1042"/>
        <v/>
      </c>
      <c r="CT125" s="422">
        <v>-72.105263157894697</v>
      </c>
      <c r="CU125" s="422">
        <v>-388.42105263157902</v>
      </c>
      <c r="CV125" s="422">
        <f t="shared" si="1043"/>
        <v>-460.5263157894737</v>
      </c>
      <c r="CW125" s="438" t="str">
        <f t="shared" si="1044"/>
        <v/>
      </c>
      <c r="CX125" s="422">
        <v>35</v>
      </c>
      <c r="CY125" s="422">
        <v>-351.42857142857201</v>
      </c>
      <c r="CZ125" s="422">
        <f t="shared" si="1045"/>
        <v>-316.42857142857201</v>
      </c>
      <c r="DA125" s="438" t="str">
        <f t="shared" si="1046"/>
        <v/>
      </c>
      <c r="DB125" s="422">
        <f t="shared" si="1063"/>
        <v>35</v>
      </c>
      <c r="DC125" s="422">
        <v>-282.857142857143</v>
      </c>
      <c r="DD125" s="422">
        <f t="shared" si="1047"/>
        <v>-247.857142857143</v>
      </c>
      <c r="DE125" s="422" t="str">
        <f t="shared" si="1048"/>
        <v/>
      </c>
      <c r="DF125" s="422">
        <f t="shared" si="1049"/>
        <v>35</v>
      </c>
      <c r="DG125" s="422">
        <v>-351.42857142857201</v>
      </c>
      <c r="DH125" s="422">
        <f t="shared" si="1050"/>
        <v>-316.42857142857201</v>
      </c>
      <c r="DI125" s="422" t="str">
        <f t="shared" si="1051"/>
        <v/>
      </c>
      <c r="DJ125" s="422">
        <f t="shared" si="1064"/>
        <v>35</v>
      </c>
      <c r="DK125" s="422">
        <v>25.857142857142801</v>
      </c>
      <c r="DL125" s="422">
        <f t="shared" si="1052"/>
        <v>60.857142857142804</v>
      </c>
      <c r="DM125" s="422" t="str">
        <f t="shared" si="1053"/>
        <v>C4</v>
      </c>
      <c r="DN125" s="422">
        <f t="shared" si="1065"/>
        <v>35</v>
      </c>
      <c r="DO125" s="422">
        <v>-26.428571428571399</v>
      </c>
      <c r="DP125" s="422">
        <f t="shared" si="1054"/>
        <v>8.5714285714286014</v>
      </c>
      <c r="DQ125" s="438" t="str">
        <f t="shared" si="1055"/>
        <v>F9</v>
      </c>
      <c r="DR125" s="422">
        <f t="shared" si="1066"/>
        <v>35</v>
      </c>
      <c r="DS125" s="422">
        <v>-280.85714285714198</v>
      </c>
      <c r="DT125" s="422">
        <f t="shared" si="1056"/>
        <v>-245.85714285714198</v>
      </c>
      <c r="DU125" s="438" t="str">
        <f t="shared" si="1057"/>
        <v/>
      </c>
      <c r="DV125" s="422">
        <f t="shared" si="1067"/>
        <v>35</v>
      </c>
      <c r="DW125" s="422">
        <v>38.571428571428498</v>
      </c>
      <c r="DX125" s="422">
        <f t="shared" si="1058"/>
        <v>73.571428571428498</v>
      </c>
      <c r="DY125" s="438" t="str">
        <f t="shared" si="1059"/>
        <v>B2</v>
      </c>
      <c r="DZ125" s="422">
        <f t="shared" si="1060"/>
        <v>35</v>
      </c>
      <c r="EA125" s="422">
        <v>-48.000000000000099</v>
      </c>
      <c r="EB125" s="422">
        <f t="shared" si="1061"/>
        <v>-13.000000000000099</v>
      </c>
      <c r="EC125" s="438" t="str">
        <f t="shared" si="1062"/>
        <v/>
      </c>
      <c r="ED125" s="422">
        <f t="shared" si="643"/>
        <v>-3601.5780399274054</v>
      </c>
      <c r="EE125" s="422">
        <f t="shared" si="650"/>
        <v>-225.09862749546284</v>
      </c>
      <c r="EF125" s="438" t="str">
        <f t="shared" si="651"/>
        <v/>
      </c>
      <c r="EG125" s="422" t="str">
        <f t="shared" si="652"/>
        <v/>
      </c>
      <c r="EH125" s="439">
        <v>1</v>
      </c>
      <c r="EI125" s="422">
        <f t="shared" si="653"/>
        <v>-3601.5780399274054</v>
      </c>
      <c r="EJ125" s="440">
        <f t="shared" si="654"/>
        <v>-2.2509862749546286</v>
      </c>
      <c r="EK125" s="438" t="s">
        <v>746</v>
      </c>
      <c r="EL125" s="438" t="s">
        <v>762</v>
      </c>
    </row>
    <row r="126" spans="1:142" ht="30">
      <c r="A126" s="690"/>
      <c r="B126" s="690"/>
      <c r="C126" s="690"/>
      <c r="D126" s="690"/>
      <c r="E126" s="690"/>
      <c r="F126" s="690"/>
      <c r="G126" s="690"/>
      <c r="H126" s="690"/>
      <c r="I126" s="690"/>
      <c r="J126" s="690"/>
      <c r="K126" s="690"/>
      <c r="L126" s="690"/>
      <c r="M126" s="690"/>
      <c r="N126" s="690"/>
      <c r="O126" s="690"/>
      <c r="P126" s="690"/>
      <c r="Q126" s="690"/>
      <c r="R126" s="690"/>
      <c r="S126" s="690"/>
      <c r="T126" s="690"/>
      <c r="U126" s="690"/>
      <c r="V126" s="690"/>
      <c r="W126" s="690"/>
      <c r="X126" s="690"/>
      <c r="Y126" s="690"/>
      <c r="Z126" s="690"/>
      <c r="AA126" s="420">
        <f t="shared" si="583"/>
        <v>125</v>
      </c>
      <c r="AB126" s="435" t="s">
        <v>62</v>
      </c>
      <c r="AC126" s="422" t="s">
        <v>394</v>
      </c>
      <c r="AD126" s="422" t="s">
        <v>326</v>
      </c>
      <c r="AE126" s="422">
        <v>31.285714285714299</v>
      </c>
      <c r="AF126" s="422">
        <f>'SSS1 ATTENDANCE '!FJ132</f>
        <v>0</v>
      </c>
      <c r="AG126" s="422">
        <f>'SSS1 ATTENDANCE '!FH132</f>
        <v>0</v>
      </c>
      <c r="AH126" s="422">
        <f>'SSS1 ATTENDANCE '!FI132</f>
        <v>0</v>
      </c>
      <c r="AI126" s="436" t="s">
        <v>698</v>
      </c>
      <c r="AJ126" s="437">
        <v>40852</v>
      </c>
      <c r="AK126" s="435" t="s">
        <v>396</v>
      </c>
      <c r="AL126" s="424">
        <v>25</v>
      </c>
      <c r="AM126" s="422">
        <v>91.107142857142804</v>
      </c>
      <c r="AN126" s="438">
        <v>4</v>
      </c>
      <c r="AO126" s="422" t="str">
        <f t="shared" si="644"/>
        <v>3</v>
      </c>
      <c r="AP126" s="438">
        <v>5</v>
      </c>
      <c r="AQ126" s="422">
        <v>4</v>
      </c>
      <c r="AR126" s="438">
        <v>4</v>
      </c>
      <c r="AS126" s="438">
        <v>4</v>
      </c>
      <c r="AT126" s="438">
        <v>4</v>
      </c>
      <c r="AU126" s="438">
        <v>3</v>
      </c>
      <c r="AV126" s="438">
        <v>4</v>
      </c>
      <c r="AW126" s="438">
        <v>4</v>
      </c>
      <c r="AX126" s="438">
        <v>3</v>
      </c>
      <c r="AY126" s="438">
        <v>4</v>
      </c>
      <c r="AZ126" s="438">
        <v>3</v>
      </c>
      <c r="BA126" s="438">
        <v>3</v>
      </c>
      <c r="BB126" s="438">
        <v>3</v>
      </c>
      <c r="BC126" s="438">
        <v>4</v>
      </c>
      <c r="BD126" s="438">
        <v>4</v>
      </c>
      <c r="BE126" s="438">
        <v>4</v>
      </c>
      <c r="BF126" s="438">
        <v>3</v>
      </c>
      <c r="BG126" s="438">
        <v>3</v>
      </c>
      <c r="BH126" s="438">
        <v>3</v>
      </c>
      <c r="BI126" s="438">
        <v>5</v>
      </c>
      <c r="BJ126" s="438">
        <v>4</v>
      </c>
      <c r="BK126" s="438">
        <v>3</v>
      </c>
      <c r="BL126" s="438">
        <v>5</v>
      </c>
      <c r="BM126" s="438">
        <v>3</v>
      </c>
      <c r="BN126" s="422" t="s">
        <v>524</v>
      </c>
      <c r="BO126" s="438">
        <v>-29.107142857142801</v>
      </c>
      <c r="BP126" s="438">
        <v>-472.892857142857</v>
      </c>
      <c r="BQ126" s="422">
        <f t="shared" si="1028"/>
        <v>-501.99999999999977</v>
      </c>
      <c r="BR126" s="438" t="str">
        <f t="shared" si="1029"/>
        <v/>
      </c>
      <c r="BS126" s="422">
        <v>-29.107142857142801</v>
      </c>
      <c r="BT126" s="438">
        <v>-351.53571428571399</v>
      </c>
      <c r="BU126" s="422">
        <f t="shared" si="1030"/>
        <v>-380.64285714285677</v>
      </c>
      <c r="BV126" s="438" t="str">
        <f t="shared" si="1031"/>
        <v/>
      </c>
      <c r="BW126" s="422">
        <v>-29.107142857142801</v>
      </c>
      <c r="BX126" s="422">
        <v>-338.96428571428498</v>
      </c>
      <c r="BY126" s="422">
        <f t="shared" si="1032"/>
        <v>-368.07142857142776</v>
      </c>
      <c r="BZ126" s="438" t="str">
        <f t="shared" si="1033"/>
        <v/>
      </c>
      <c r="CA126" s="422">
        <v>-29.107142857142801</v>
      </c>
      <c r="CB126" s="422">
        <v>-354.64285714285802</v>
      </c>
      <c r="CC126" s="422">
        <f t="shared" si="1034"/>
        <v>-383.7500000000008</v>
      </c>
      <c r="CD126" s="438" t="str">
        <f t="shared" si="1035"/>
        <v/>
      </c>
      <c r="CE126" s="422">
        <v>35</v>
      </c>
      <c r="CF126" s="422">
        <v>-342.28571428571502</v>
      </c>
      <c r="CG126" s="422">
        <f t="shared" si="1036"/>
        <v>-307.28571428571502</v>
      </c>
      <c r="CH126" s="438" t="str">
        <f t="shared" si="1037"/>
        <v/>
      </c>
      <c r="CI126" s="422">
        <v>-29.107142857142801</v>
      </c>
      <c r="CJ126" s="422">
        <v>-180.392857142857</v>
      </c>
      <c r="CK126" s="422">
        <f t="shared" si="1038"/>
        <v>-209.4999999999998</v>
      </c>
      <c r="CL126" s="438" t="str">
        <f t="shared" si="1039"/>
        <v/>
      </c>
      <c r="CM126" s="422">
        <v>-29.107142857142801</v>
      </c>
      <c r="CN126" s="422"/>
      <c r="CO126" s="422"/>
      <c r="CP126" s="422"/>
      <c r="CQ126" s="422">
        <v>13.6637931034484</v>
      </c>
      <c r="CR126" s="422">
        <f t="shared" si="1041"/>
        <v>13.6637931034484</v>
      </c>
      <c r="CS126" s="438" t="str">
        <f t="shared" si="1042"/>
        <v>F9</v>
      </c>
      <c r="CT126" s="422">
        <v>-73.157894736841698</v>
      </c>
      <c r="CU126" s="422">
        <v>-392.63157894736901</v>
      </c>
      <c r="CV126" s="422">
        <f t="shared" si="1043"/>
        <v>-465.78947368421069</v>
      </c>
      <c r="CW126" s="438" t="str">
        <f t="shared" si="1044"/>
        <v/>
      </c>
      <c r="CX126" s="422">
        <f t="shared" ref="CX126" si="1070">CT126</f>
        <v>-73.157894736841698</v>
      </c>
      <c r="CY126" s="422">
        <v>-354.64285714285802</v>
      </c>
      <c r="CZ126" s="422">
        <f t="shared" si="1045"/>
        <v>-427.8007518796997</v>
      </c>
      <c r="DA126" s="438" t="str">
        <f t="shared" si="1046"/>
        <v/>
      </c>
      <c r="DB126" s="422">
        <f t="shared" si="1063"/>
        <v>-73.157894736841698</v>
      </c>
      <c r="DC126" s="422">
        <v>-285.53571428571399</v>
      </c>
      <c r="DD126" s="422">
        <f t="shared" si="1047"/>
        <v>-358.69360902255568</v>
      </c>
      <c r="DE126" s="422" t="str">
        <f t="shared" si="1048"/>
        <v/>
      </c>
      <c r="DF126" s="422">
        <f t="shared" si="1049"/>
        <v>-73.157894736841698</v>
      </c>
      <c r="DG126" s="422">
        <v>-354.64285714285802</v>
      </c>
      <c r="DH126" s="422">
        <f t="shared" si="1050"/>
        <v>-427.8007518796997</v>
      </c>
      <c r="DI126" s="422" t="str">
        <f t="shared" si="1051"/>
        <v/>
      </c>
      <c r="DJ126" s="422">
        <f t="shared" si="1064"/>
        <v>-73.157894736841698</v>
      </c>
      <c r="DK126" s="422">
        <v>25.678571428571399</v>
      </c>
      <c r="DL126" s="422">
        <f t="shared" si="1052"/>
        <v>-47.479323308270295</v>
      </c>
      <c r="DM126" s="422" t="str">
        <f t="shared" si="1053"/>
        <v/>
      </c>
      <c r="DN126" s="422">
        <f t="shared" si="1065"/>
        <v>-73.157894736841698</v>
      </c>
      <c r="DO126" s="422">
        <v>-27.035714285714299</v>
      </c>
      <c r="DP126" s="422">
        <f t="shared" si="1054"/>
        <v>-100.19360902255599</v>
      </c>
      <c r="DQ126" s="438" t="str">
        <f t="shared" si="1055"/>
        <v/>
      </c>
      <c r="DR126" s="422">
        <f t="shared" si="1066"/>
        <v>-73.157894736841698</v>
      </c>
      <c r="DS126" s="422">
        <v>-283.46428571428498</v>
      </c>
      <c r="DT126" s="422">
        <f t="shared" si="1056"/>
        <v>-356.62218045112667</v>
      </c>
      <c r="DU126" s="438" t="str">
        <f t="shared" si="1057"/>
        <v/>
      </c>
      <c r="DV126" s="422">
        <f t="shared" si="1067"/>
        <v>-73.157894736841698</v>
      </c>
      <c r="DW126" s="422">
        <v>38.499999999999901</v>
      </c>
      <c r="DX126" s="422">
        <f t="shared" si="1058"/>
        <v>-34.657894736841797</v>
      </c>
      <c r="DY126" s="438" t="str">
        <f t="shared" si="1059"/>
        <v/>
      </c>
      <c r="DZ126" s="422">
        <f t="shared" si="1060"/>
        <v>-73.157894736841698</v>
      </c>
      <c r="EA126" s="422">
        <v>-48.750000000000099</v>
      </c>
      <c r="EB126" s="422">
        <f t="shared" si="1061"/>
        <v>-121.9078947368418</v>
      </c>
      <c r="EC126" s="438" t="str">
        <f t="shared" si="1062"/>
        <v/>
      </c>
      <c r="ED126" s="422">
        <f t="shared" si="643"/>
        <v>-4478.5316956183542</v>
      </c>
      <c r="EE126" s="422">
        <f t="shared" si="650"/>
        <v>-279.90823097614714</v>
      </c>
      <c r="EF126" s="438" t="str">
        <f t="shared" si="651"/>
        <v/>
      </c>
      <c r="EG126" s="422" t="str">
        <f t="shared" si="652"/>
        <v/>
      </c>
      <c r="EH126" s="439">
        <v>1</v>
      </c>
      <c r="EI126" s="422">
        <f t="shared" si="653"/>
        <v>-4478.5316956183542</v>
      </c>
      <c r="EJ126" s="440">
        <f t="shared" si="654"/>
        <v>-2.7990823097614714</v>
      </c>
      <c r="EK126" s="438" t="s">
        <v>747</v>
      </c>
      <c r="EL126" s="438" t="s">
        <v>762</v>
      </c>
    </row>
    <row r="127" spans="1:142" ht="30">
      <c r="A127" s="690"/>
      <c r="B127" s="690"/>
      <c r="C127" s="690"/>
      <c r="D127" s="690"/>
      <c r="E127" s="690"/>
      <c r="F127" s="690"/>
      <c r="G127" s="690"/>
      <c r="H127" s="690"/>
      <c r="I127" s="690"/>
      <c r="J127" s="690"/>
      <c r="K127" s="690"/>
      <c r="L127" s="690"/>
      <c r="M127" s="690"/>
      <c r="N127" s="690"/>
      <c r="O127" s="690"/>
      <c r="P127" s="690"/>
      <c r="Q127" s="690"/>
      <c r="R127" s="690"/>
      <c r="S127" s="690"/>
      <c r="T127" s="690"/>
      <c r="U127" s="690"/>
      <c r="V127" s="690"/>
      <c r="W127" s="690"/>
      <c r="X127" s="690"/>
      <c r="Y127" s="690"/>
      <c r="Z127" s="690"/>
      <c r="AA127" s="420">
        <f t="shared" si="583"/>
        <v>126</v>
      </c>
      <c r="AB127" s="435" t="s">
        <v>63</v>
      </c>
      <c r="AC127" s="422" t="s">
        <v>394</v>
      </c>
      <c r="AD127" s="422" t="s">
        <v>326</v>
      </c>
      <c r="AE127" s="422">
        <v>31.428571428571502</v>
      </c>
      <c r="AF127" s="422">
        <f>'SSS1 ATTENDANCE '!FJ133</f>
        <v>0</v>
      </c>
      <c r="AG127" s="422">
        <f>'SSS1 ATTENDANCE '!FH133</f>
        <v>0</v>
      </c>
      <c r="AH127" s="422">
        <f>'SSS1 ATTENDANCE '!FI133</f>
        <v>0</v>
      </c>
      <c r="AI127" s="436" t="s">
        <v>699</v>
      </c>
      <c r="AJ127" s="437">
        <v>40881</v>
      </c>
      <c r="AK127" s="435" t="s">
        <v>396</v>
      </c>
      <c r="AL127" s="424">
        <v>25</v>
      </c>
      <c r="AM127" s="422">
        <v>91.642857142857096</v>
      </c>
      <c r="AN127" s="438">
        <v>4</v>
      </c>
      <c r="AO127" s="422" t="str">
        <f t="shared" si="644"/>
        <v>3</v>
      </c>
      <c r="AP127" s="438">
        <v>5</v>
      </c>
      <c r="AQ127" s="422">
        <v>4</v>
      </c>
      <c r="AR127" s="438">
        <v>4</v>
      </c>
      <c r="AS127" s="438">
        <v>4</v>
      </c>
      <c r="AT127" s="438">
        <v>4</v>
      </c>
      <c r="AU127" s="438">
        <v>3</v>
      </c>
      <c r="AV127" s="438">
        <v>4</v>
      </c>
      <c r="AW127" s="438">
        <v>4</v>
      </c>
      <c r="AX127" s="438">
        <v>3</v>
      </c>
      <c r="AY127" s="438">
        <v>4</v>
      </c>
      <c r="AZ127" s="438">
        <v>3</v>
      </c>
      <c r="BA127" s="438">
        <v>3</v>
      </c>
      <c r="BB127" s="438">
        <v>3</v>
      </c>
      <c r="BC127" s="438">
        <v>4</v>
      </c>
      <c r="BD127" s="438">
        <v>4</v>
      </c>
      <c r="BE127" s="438">
        <v>4</v>
      </c>
      <c r="BF127" s="438">
        <v>3</v>
      </c>
      <c r="BG127" s="438">
        <v>3</v>
      </c>
      <c r="BH127" s="438">
        <v>3</v>
      </c>
      <c r="BI127" s="438">
        <v>5</v>
      </c>
      <c r="BJ127" s="438">
        <v>4</v>
      </c>
      <c r="BK127" s="438">
        <v>3</v>
      </c>
      <c r="BL127" s="438">
        <v>5</v>
      </c>
      <c r="BM127" s="438">
        <v>3</v>
      </c>
      <c r="BN127" s="422" t="s">
        <v>525</v>
      </c>
      <c r="BO127" s="438">
        <v>-29.6428571428571</v>
      </c>
      <c r="BP127" s="438">
        <v>-477.07142857142799</v>
      </c>
      <c r="BQ127" s="422">
        <f t="shared" si="1028"/>
        <v>-506.7142857142851</v>
      </c>
      <c r="BR127" s="438" t="str">
        <f t="shared" si="1029"/>
        <v/>
      </c>
      <c r="BS127" s="422">
        <v>-29.6428571428571</v>
      </c>
      <c r="BT127" s="438">
        <v>-354.78571428571399</v>
      </c>
      <c r="BU127" s="422">
        <f t="shared" si="1030"/>
        <v>-384.4285714285711</v>
      </c>
      <c r="BV127" s="438" t="str">
        <f t="shared" si="1031"/>
        <v/>
      </c>
      <c r="BW127" s="422">
        <v>-29.6428571428571</v>
      </c>
      <c r="BX127" s="422">
        <v>-342.07142857142799</v>
      </c>
      <c r="BY127" s="422">
        <f t="shared" si="1032"/>
        <v>-371.7142857142851</v>
      </c>
      <c r="BZ127" s="438" t="str">
        <f t="shared" si="1033"/>
        <v/>
      </c>
      <c r="CA127" s="422">
        <v>-29.6428571428571</v>
      </c>
      <c r="CB127" s="422">
        <v>-357.857142857143</v>
      </c>
      <c r="CC127" s="422">
        <f t="shared" si="1034"/>
        <v>-387.50000000000011</v>
      </c>
      <c r="CD127" s="438" t="str">
        <f t="shared" si="1035"/>
        <v/>
      </c>
      <c r="CE127" s="422">
        <v>35</v>
      </c>
      <c r="CF127" s="422">
        <v>-345.42857142857201</v>
      </c>
      <c r="CG127" s="422">
        <f t="shared" si="1036"/>
        <v>-310.42857142857201</v>
      </c>
      <c r="CH127" s="438" t="str">
        <f t="shared" si="1037"/>
        <v/>
      </c>
      <c r="CI127" s="422">
        <v>-29.6428571428571</v>
      </c>
      <c r="CJ127" s="422">
        <v>-182.21428571428501</v>
      </c>
      <c r="CK127" s="422">
        <f t="shared" si="1038"/>
        <v>-211.85714285714212</v>
      </c>
      <c r="CL127" s="438" t="str">
        <f t="shared" si="1039"/>
        <v/>
      </c>
      <c r="CM127" s="422">
        <v>-29.6428571428571</v>
      </c>
      <c r="CN127" s="422"/>
      <c r="CO127" s="422"/>
      <c r="CP127" s="422">
        <f t="shared" ref="CP127" si="1071">CM127</f>
        <v>-29.6428571428571</v>
      </c>
      <c r="CQ127" s="422">
        <v>13.379310344827701</v>
      </c>
      <c r="CR127" s="422">
        <f t="shared" si="1041"/>
        <v>-16.263546798029399</v>
      </c>
      <c r="CS127" s="438" t="str">
        <f t="shared" si="1042"/>
        <v/>
      </c>
      <c r="CT127" s="422"/>
      <c r="CU127" s="422"/>
      <c r="CV127" s="422">
        <f t="shared" si="1043"/>
        <v>0</v>
      </c>
      <c r="CW127" s="438" t="str">
        <f t="shared" si="1044"/>
        <v/>
      </c>
      <c r="CX127" s="422">
        <v>35</v>
      </c>
      <c r="CY127" s="422">
        <v>-357.857142857143</v>
      </c>
      <c r="CZ127" s="422">
        <f t="shared" si="1045"/>
        <v>-322.857142857143</v>
      </c>
      <c r="DA127" s="438" t="str">
        <f t="shared" si="1046"/>
        <v/>
      </c>
      <c r="DB127" s="422">
        <f t="shared" si="1063"/>
        <v>35</v>
      </c>
      <c r="DC127" s="422">
        <v>-288.21428571428601</v>
      </c>
      <c r="DD127" s="422">
        <f t="shared" si="1047"/>
        <v>-253.21428571428601</v>
      </c>
      <c r="DE127" s="422" t="str">
        <f t="shared" si="1048"/>
        <v/>
      </c>
      <c r="DF127" s="422">
        <f t="shared" si="1049"/>
        <v>35</v>
      </c>
      <c r="DG127" s="422">
        <v>-357.857142857143</v>
      </c>
      <c r="DH127" s="422">
        <f t="shared" si="1050"/>
        <v>-322.857142857143</v>
      </c>
      <c r="DI127" s="422" t="str">
        <f t="shared" si="1051"/>
        <v/>
      </c>
      <c r="DJ127" s="422">
        <f t="shared" si="1064"/>
        <v>35</v>
      </c>
      <c r="DK127" s="422">
        <v>25.499999999999901</v>
      </c>
      <c r="DL127" s="422">
        <f t="shared" si="1052"/>
        <v>60.499999999999901</v>
      </c>
      <c r="DM127" s="422" t="str">
        <f t="shared" si="1053"/>
        <v>C4</v>
      </c>
      <c r="DN127" s="422">
        <f t="shared" si="1065"/>
        <v>35</v>
      </c>
      <c r="DO127" s="422">
        <v>-27.642857142857199</v>
      </c>
      <c r="DP127" s="422">
        <f t="shared" si="1054"/>
        <v>7.3571428571428008</v>
      </c>
      <c r="DQ127" s="438" t="str">
        <f t="shared" si="1055"/>
        <v>F9</v>
      </c>
      <c r="DR127" s="422">
        <f t="shared" si="1066"/>
        <v>35</v>
      </c>
      <c r="DS127" s="422">
        <v>-286.07142857142799</v>
      </c>
      <c r="DT127" s="422">
        <f t="shared" si="1056"/>
        <v>-251.07142857142799</v>
      </c>
      <c r="DU127" s="438" t="str">
        <f t="shared" si="1057"/>
        <v/>
      </c>
      <c r="DV127" s="422">
        <f t="shared" si="1067"/>
        <v>35</v>
      </c>
      <c r="DW127" s="422">
        <v>38.428571428571402</v>
      </c>
      <c r="DX127" s="422">
        <f t="shared" si="1058"/>
        <v>73.428571428571402</v>
      </c>
      <c r="DY127" s="438" t="str">
        <f t="shared" si="1059"/>
        <v>B2</v>
      </c>
      <c r="DZ127" s="422">
        <f t="shared" si="1060"/>
        <v>35</v>
      </c>
      <c r="EA127" s="422">
        <v>-49.500000000000099</v>
      </c>
      <c r="EB127" s="422">
        <f t="shared" si="1061"/>
        <v>-14.500000000000099</v>
      </c>
      <c r="EC127" s="438" t="str">
        <f t="shared" si="1062"/>
        <v/>
      </c>
      <c r="ED127" s="422">
        <f t="shared" si="643"/>
        <v>-3212.1206896551712</v>
      </c>
      <c r="EE127" s="422">
        <f t="shared" si="650"/>
        <v>-200.7575431034482</v>
      </c>
      <c r="EF127" s="438" t="str">
        <f t="shared" si="651"/>
        <v/>
      </c>
      <c r="EG127" s="422" t="str">
        <f t="shared" si="652"/>
        <v/>
      </c>
      <c r="EH127" s="439">
        <v>1</v>
      </c>
      <c r="EI127" s="422">
        <f t="shared" si="653"/>
        <v>-3212.1206896551712</v>
      </c>
      <c r="EJ127" s="440">
        <f t="shared" si="654"/>
        <v>-2.007575431034482</v>
      </c>
      <c r="EK127" s="438" t="s">
        <v>573</v>
      </c>
      <c r="EL127" s="438" t="s">
        <v>762</v>
      </c>
    </row>
    <row r="128" spans="1:142" ht="30">
      <c r="A128" s="690"/>
      <c r="B128" s="690"/>
      <c r="C128" s="690"/>
      <c r="D128" s="690"/>
      <c r="E128" s="690"/>
      <c r="F128" s="690"/>
      <c r="G128" s="690"/>
      <c r="H128" s="690"/>
      <c r="I128" s="690"/>
      <c r="J128" s="690"/>
      <c r="K128" s="690"/>
      <c r="L128" s="690"/>
      <c r="M128" s="690"/>
      <c r="N128" s="690"/>
      <c r="O128" s="690"/>
      <c r="P128" s="690"/>
      <c r="Q128" s="690"/>
      <c r="R128" s="690"/>
      <c r="S128" s="690"/>
      <c r="T128" s="690"/>
      <c r="U128" s="690"/>
      <c r="V128" s="690"/>
      <c r="W128" s="690"/>
      <c r="X128" s="690"/>
      <c r="Y128" s="690"/>
      <c r="Z128" s="690"/>
      <c r="AA128" s="420">
        <f t="shared" si="583"/>
        <v>127</v>
      </c>
      <c r="AB128" s="435" t="s">
        <v>57</v>
      </c>
      <c r="AC128" s="422" t="s">
        <v>394</v>
      </c>
      <c r="AD128" s="422" t="s">
        <v>326</v>
      </c>
      <c r="AE128" s="422">
        <v>31.571428571428601</v>
      </c>
      <c r="AF128" s="422">
        <f>'SSS1 ATTENDANCE '!FJ134</f>
        <v>0</v>
      </c>
      <c r="AG128" s="422">
        <f>'SSS1 ATTENDANCE '!FH134</f>
        <v>0</v>
      </c>
      <c r="AH128" s="422">
        <f>'SSS1 ATTENDANCE '!FI134</f>
        <v>0</v>
      </c>
      <c r="AI128" s="436" t="s">
        <v>700</v>
      </c>
      <c r="AJ128" s="437">
        <v>41122</v>
      </c>
      <c r="AK128" s="435" t="s">
        <v>396</v>
      </c>
      <c r="AL128" s="424">
        <v>25</v>
      </c>
      <c r="AM128" s="422">
        <v>92.178571428571402</v>
      </c>
      <c r="AN128" s="438">
        <v>4</v>
      </c>
      <c r="AO128" s="422" t="str">
        <f t="shared" si="644"/>
        <v>3</v>
      </c>
      <c r="AP128" s="438">
        <v>5</v>
      </c>
      <c r="AQ128" s="422">
        <v>4</v>
      </c>
      <c r="AR128" s="438">
        <v>4</v>
      </c>
      <c r="AS128" s="438">
        <v>4</v>
      </c>
      <c r="AT128" s="438">
        <v>4</v>
      </c>
      <c r="AU128" s="438">
        <v>3</v>
      </c>
      <c r="AV128" s="438">
        <v>4</v>
      </c>
      <c r="AW128" s="438">
        <v>4</v>
      </c>
      <c r="AX128" s="438">
        <v>3</v>
      </c>
      <c r="AY128" s="438">
        <v>4</v>
      </c>
      <c r="AZ128" s="438">
        <v>3</v>
      </c>
      <c r="BA128" s="438">
        <v>3</v>
      </c>
      <c r="BB128" s="438">
        <v>3</v>
      </c>
      <c r="BC128" s="438">
        <v>4</v>
      </c>
      <c r="BD128" s="438">
        <v>4</v>
      </c>
      <c r="BE128" s="438">
        <v>4</v>
      </c>
      <c r="BF128" s="438">
        <v>3</v>
      </c>
      <c r="BG128" s="438">
        <v>3</v>
      </c>
      <c r="BH128" s="438">
        <v>3</v>
      </c>
      <c r="BI128" s="438">
        <v>5</v>
      </c>
      <c r="BJ128" s="438">
        <v>4</v>
      </c>
      <c r="BK128" s="438">
        <v>3</v>
      </c>
      <c r="BL128" s="438">
        <v>5</v>
      </c>
      <c r="BM128" s="438">
        <v>3</v>
      </c>
      <c r="BN128" s="422" t="s">
        <v>526</v>
      </c>
      <c r="BO128" s="422">
        <v>-30.178571428571399</v>
      </c>
      <c r="BP128" s="422">
        <v>-481.25</v>
      </c>
      <c r="BQ128" s="422">
        <v>100</v>
      </c>
      <c r="BR128" s="438" t="s">
        <v>749</v>
      </c>
      <c r="BS128" s="422">
        <v>-30.178571428571399</v>
      </c>
      <c r="BT128" s="422">
        <v>-358.03571428571399</v>
      </c>
      <c r="BU128" s="422">
        <v>100</v>
      </c>
      <c r="BV128" s="438" t="s">
        <v>749</v>
      </c>
      <c r="BW128" s="422">
        <v>-30.178571428571399</v>
      </c>
      <c r="BX128" s="422">
        <v>-345.17857142857099</v>
      </c>
      <c r="BY128" s="422">
        <v>100</v>
      </c>
      <c r="BZ128" s="422" t="str">
        <f t="shared" ref="BZ128" si="1072">BV128</f>
        <v>Grades</v>
      </c>
      <c r="CA128" s="422">
        <v>-30.178571428571399</v>
      </c>
      <c r="CB128" s="422">
        <v>-361.07142857142901</v>
      </c>
      <c r="CC128" s="422">
        <v>100</v>
      </c>
      <c r="CD128" s="422" t="str">
        <f t="shared" ref="CD128" si="1073">BZ128</f>
        <v>Grades</v>
      </c>
      <c r="CE128" s="422">
        <f t="shared" ref="CE128" si="1074">CA128</f>
        <v>-30.178571428571399</v>
      </c>
      <c r="CF128" s="422">
        <v>-348.57142857142901</v>
      </c>
      <c r="CG128" s="422">
        <v>100</v>
      </c>
      <c r="CH128" s="422" t="str">
        <f t="shared" ref="CH128" si="1075">CD128</f>
        <v>Grades</v>
      </c>
      <c r="CI128" s="422">
        <v>-30.178571428571399</v>
      </c>
      <c r="CJ128" s="422">
        <v>-184.03571428571399</v>
      </c>
      <c r="CK128" s="422">
        <v>100</v>
      </c>
      <c r="CL128" s="422" t="str">
        <f t="shared" ref="CL128" si="1076">CH128</f>
        <v>Grades</v>
      </c>
      <c r="CM128" s="422">
        <v>-30.178571428571399</v>
      </c>
      <c r="CN128" s="422">
        <v>60</v>
      </c>
      <c r="CO128" s="422"/>
      <c r="CP128" s="422">
        <v>40</v>
      </c>
      <c r="CQ128" s="422">
        <v>13.094827586207</v>
      </c>
      <c r="CR128" s="422">
        <v>100</v>
      </c>
      <c r="CS128" s="438" t="str">
        <f t="shared" ref="CS128" si="1077">CL128</f>
        <v>Grades</v>
      </c>
      <c r="CT128" s="422">
        <v>-74.210526315789707</v>
      </c>
      <c r="CU128" s="422">
        <v>-396.84210526315798</v>
      </c>
      <c r="CV128" s="422">
        <v>100</v>
      </c>
      <c r="CW128" s="438" t="str">
        <f t="shared" ref="CW128" si="1078">CS128</f>
        <v>Grades</v>
      </c>
      <c r="CX128" s="422">
        <v>-95.8333333333333</v>
      </c>
      <c r="CY128" s="422">
        <v>-361.07142857142901</v>
      </c>
      <c r="CZ128" s="422">
        <v>100</v>
      </c>
      <c r="DA128" s="438" t="str">
        <f t="shared" ref="DA128" si="1079">CW128</f>
        <v>Grades</v>
      </c>
      <c r="DB128" s="422">
        <v>-320</v>
      </c>
      <c r="DC128" s="422">
        <v>-290.892857142857</v>
      </c>
      <c r="DD128" s="422">
        <v>100</v>
      </c>
      <c r="DE128" s="422" t="str">
        <f t="shared" ref="DE128" si="1080">DA128</f>
        <v>Grades</v>
      </c>
      <c r="DF128" s="422">
        <v>40</v>
      </c>
      <c r="DG128" s="422">
        <v>-361.07142857142901</v>
      </c>
      <c r="DH128" s="422">
        <v>100</v>
      </c>
      <c r="DI128" s="422" t="str">
        <f t="shared" ref="DI128" si="1081">DE128</f>
        <v>Grades</v>
      </c>
      <c r="DJ128" s="422">
        <v>-140</v>
      </c>
      <c r="DK128" s="422">
        <v>25.321428571428498</v>
      </c>
      <c r="DL128" s="422">
        <v>100</v>
      </c>
      <c r="DM128" s="422" t="str">
        <f t="shared" ref="DM128" si="1082">DI128</f>
        <v>Grades</v>
      </c>
      <c r="DN128" s="422">
        <v>-140</v>
      </c>
      <c r="DO128" s="422">
        <v>-28.25</v>
      </c>
      <c r="DP128" s="422">
        <v>100</v>
      </c>
      <c r="DQ128" s="438" t="str">
        <f t="shared" ref="DQ128" si="1083">DM128</f>
        <v>Grades</v>
      </c>
      <c r="DR128" s="422">
        <v>-500</v>
      </c>
      <c r="DS128" s="422">
        <v>-288.67857142857099</v>
      </c>
      <c r="DT128" s="422">
        <v>100</v>
      </c>
      <c r="DU128" s="438" t="str">
        <f t="shared" ref="DU128" si="1084">DQ128</f>
        <v>Grades</v>
      </c>
      <c r="DV128" s="422">
        <v>-140</v>
      </c>
      <c r="DW128" s="422">
        <v>38.357142857142797</v>
      </c>
      <c r="DX128" s="422">
        <v>100</v>
      </c>
      <c r="DY128" s="438" t="str">
        <f t="shared" ref="DY128" si="1085">DU128</f>
        <v>Grades</v>
      </c>
      <c r="DZ128" s="422">
        <v>40</v>
      </c>
      <c r="EA128" s="422">
        <v>-50.250000000000099</v>
      </c>
      <c r="EB128" s="422">
        <v>100</v>
      </c>
      <c r="EC128" s="438" t="str">
        <f t="shared" ref="EC128" si="1086">DY128</f>
        <v>Grades</v>
      </c>
      <c r="ED128" s="422">
        <f t="shared" si="643"/>
        <v>1600</v>
      </c>
      <c r="EE128" s="422">
        <f t="shared" si="650"/>
        <v>100</v>
      </c>
      <c r="EF128" s="438" t="str">
        <f t="shared" si="651"/>
        <v>A1</v>
      </c>
      <c r="EG128" s="422" t="str">
        <f t="shared" si="652"/>
        <v>DISTINTION</v>
      </c>
      <c r="EH128" s="439">
        <v>1</v>
      </c>
      <c r="EI128" s="422">
        <f t="shared" si="653"/>
        <v>1600</v>
      </c>
      <c r="EJ128" s="440">
        <f t="shared" si="654"/>
        <v>1</v>
      </c>
      <c r="EK128" s="438" t="s">
        <v>573</v>
      </c>
      <c r="EL128" s="438" t="s">
        <v>762</v>
      </c>
    </row>
    <row r="129" spans="1:142" ht="30">
      <c r="A129" s="690"/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0"/>
      <c r="P129" s="690"/>
      <c r="Q129" s="690"/>
      <c r="R129" s="690"/>
      <c r="S129" s="690"/>
      <c r="T129" s="690"/>
      <c r="U129" s="690"/>
      <c r="V129" s="690"/>
      <c r="W129" s="690"/>
      <c r="X129" s="690"/>
      <c r="Y129" s="690"/>
      <c r="Z129" s="690"/>
      <c r="AA129" s="420">
        <f t="shared" si="583"/>
        <v>128</v>
      </c>
      <c r="AB129" s="435" t="s">
        <v>58</v>
      </c>
      <c r="AC129" s="422" t="s">
        <v>394</v>
      </c>
      <c r="AD129" s="422" t="s">
        <v>326</v>
      </c>
      <c r="AE129" s="422">
        <v>31.714285714285701</v>
      </c>
      <c r="AF129" s="422">
        <f>'SSS1 ATTENDANCE '!FJ135</f>
        <v>0</v>
      </c>
      <c r="AG129" s="422">
        <f>'SSS1 ATTENDANCE '!FH135</f>
        <v>0</v>
      </c>
      <c r="AH129" s="422">
        <f>'SSS1 ATTENDANCE '!FI135</f>
        <v>0</v>
      </c>
      <c r="AI129" s="436" t="s">
        <v>701</v>
      </c>
      <c r="AJ129" s="437">
        <v>40844</v>
      </c>
      <c r="AK129" s="435" t="s">
        <v>396</v>
      </c>
      <c r="AL129" s="424">
        <v>25</v>
      </c>
      <c r="AM129" s="422">
        <v>92.714285714285694</v>
      </c>
      <c r="AN129" s="438">
        <v>4</v>
      </c>
      <c r="AO129" s="422" t="str">
        <f t="shared" si="644"/>
        <v>3</v>
      </c>
      <c r="AP129" s="438">
        <v>5</v>
      </c>
      <c r="AQ129" s="422">
        <v>4</v>
      </c>
      <c r="AR129" s="438">
        <v>4</v>
      </c>
      <c r="AS129" s="438">
        <v>4</v>
      </c>
      <c r="AT129" s="438">
        <v>4</v>
      </c>
      <c r="AU129" s="438">
        <v>3</v>
      </c>
      <c r="AV129" s="438">
        <v>4</v>
      </c>
      <c r="AW129" s="438">
        <v>4</v>
      </c>
      <c r="AX129" s="438">
        <v>3</v>
      </c>
      <c r="AY129" s="438">
        <v>4</v>
      </c>
      <c r="AZ129" s="438">
        <v>3</v>
      </c>
      <c r="BA129" s="438">
        <v>3</v>
      </c>
      <c r="BB129" s="438">
        <v>3</v>
      </c>
      <c r="BC129" s="438">
        <v>4</v>
      </c>
      <c r="BD129" s="438">
        <v>4</v>
      </c>
      <c r="BE129" s="438">
        <v>4</v>
      </c>
      <c r="BF129" s="438">
        <v>3</v>
      </c>
      <c r="BG129" s="438">
        <v>3</v>
      </c>
      <c r="BH129" s="438">
        <v>3</v>
      </c>
      <c r="BI129" s="438">
        <v>5</v>
      </c>
      <c r="BJ129" s="438">
        <v>4</v>
      </c>
      <c r="BK129" s="438">
        <v>3</v>
      </c>
      <c r="BL129" s="438">
        <v>5</v>
      </c>
      <c r="BM129" s="438">
        <v>3</v>
      </c>
      <c r="BN129" s="422" t="s">
        <v>527</v>
      </c>
      <c r="BO129" s="438">
        <v>-30.714285714285701</v>
      </c>
      <c r="BP129" s="438">
        <v>-485.42857142857099</v>
      </c>
      <c r="BQ129" s="422">
        <f t="shared" ref="BQ129:BQ134" si="1087">SUM(BO129:BP129)</f>
        <v>-516.14285714285666</v>
      </c>
      <c r="BR129" s="438" t="str">
        <f t="shared" ref="BR129:BR134" si="1088">IF(BQ129&gt;=80,"A1",
IF(BQ129&gt;=75,"A",
IF(BQ129&gt;=70,"B2",
IF(BQ129&gt;=65,"B3",
IF(BQ129&gt;=60,"C4",
IF(BQ129&gt;=55,"C5",
IF(BQ129&gt;=50,"C6",
IF(BQ129&gt;=45,"D7",
IF(BQ129&gt;=40,"E8",
IF(BQ129&gt;=1,"F9",""))))))))))</f>
        <v/>
      </c>
      <c r="BS129" s="422">
        <v>-30.714285714285701</v>
      </c>
      <c r="BT129" s="438">
        <v>-361.28571428571399</v>
      </c>
      <c r="BU129" s="422">
        <f t="shared" ref="BU129:BU134" si="1089">SUM(BS129:BT129)</f>
        <v>-391.99999999999972</v>
      </c>
      <c r="BV129" s="438" t="str">
        <f t="shared" ref="BV129:BV134" si="1090">IF(BU129&gt;=80,"A1",
IF(BU129&gt;=75,"A",
IF(BU129&gt;=70,"B2",
IF(BU129&gt;=65,"B3",
IF(BU129&gt;=60,"C4",
IF(BU129&gt;=55,"C5",
IF(BU129&gt;=50,"C6",
IF(BU129&gt;=45,"D7",
IF(BU129&gt;=40,"E8",
IF(BU129&gt;=1,"F9",""))))))))))</f>
        <v/>
      </c>
      <c r="BW129" s="422">
        <v>-30.714285714285701</v>
      </c>
      <c r="BX129" s="422">
        <v>-348.28571428571399</v>
      </c>
      <c r="BY129" s="422">
        <f t="shared" ref="BY129:BY134" si="1091">SUM(BW129:BX129)</f>
        <v>-378.99999999999972</v>
      </c>
      <c r="BZ129" s="438" t="str">
        <f t="shared" ref="BZ129:BZ134" si="1092">IF(BY129&gt;=80,"A1",
IF(BY129&gt;=75,"A",
IF(BY129&gt;=70,"B2",
IF(BY129&gt;=65,"B3",
IF(BY129&gt;=60,"C4",
IF(BY129&gt;=55,"C5",
IF(BY129&gt;=50,"C6",
IF(BY129&gt;=45,"D7",
IF(BY129&gt;=40,"E8",
IF(BY129&gt;=1,"F9",""))))))))))</f>
        <v/>
      </c>
      <c r="CA129" s="422">
        <v>-30.714285714285701</v>
      </c>
      <c r="CB129" s="422">
        <v>-364.28571428571502</v>
      </c>
      <c r="CC129" s="422">
        <f t="shared" ref="CC129:CC134" si="1093">SUM(CA129:CB129)</f>
        <v>-395.00000000000074</v>
      </c>
      <c r="CD129" s="438" t="str">
        <f t="shared" ref="CD129:CD134" si="1094">IF(CC129&gt;=80,"A1",
IF(CC129&gt;=75,"A",
IF(CC129&gt;=70,"B2",
IF(CC129&gt;=65,"B3",
IF(CC129&gt;=60,"C4",
IF(CC129&gt;=55,"C5",
IF(CC129&gt;=50,"C6",
IF(CC129&gt;=45,"D7",
IF(CC129&gt;=40,"E8",
IF(CC129&gt;=1,"F9",""))))))))))</f>
        <v/>
      </c>
      <c r="CE129" s="422">
        <v>35</v>
      </c>
      <c r="CF129" s="422">
        <v>-351.71428571428601</v>
      </c>
      <c r="CG129" s="422">
        <f t="shared" ref="CG129:CG134" si="1095">SUM(CE129:CF129)</f>
        <v>-316.71428571428601</v>
      </c>
      <c r="CH129" s="438" t="str">
        <f t="shared" ref="CH129:CH134" si="1096">IF(CG129&gt;=80,"A1",
IF(CG129&gt;=75,"A",
IF(CG129&gt;=70,"B2",
IF(CG129&gt;=65,"B3",
IF(CG129&gt;=60,"C4",
IF(CG129&gt;=55,"C5",
IF(CG129&gt;=50,"C6",
IF(CG129&gt;=45,"D7",
IF(CG129&gt;=40,"E8",
IF(CG129&gt;=1,"F9",""))))))))))</f>
        <v/>
      </c>
      <c r="CI129" s="422">
        <v>-30.714285714285701</v>
      </c>
      <c r="CJ129" s="422">
        <v>-185.857142857143</v>
      </c>
      <c r="CK129" s="422">
        <f t="shared" ref="CK129:CK134" si="1097">SUM(CI129:CJ129)</f>
        <v>-216.5714285714287</v>
      </c>
      <c r="CL129" s="438" t="str">
        <f t="shared" ref="CL129:CL134" si="1098">IF(CK129&gt;=80,"A1",
IF(CK129&gt;=75,"A",
IF(CK129&gt;=70,"B2",
IF(CK129&gt;=65,"B3",
IF(CK129&gt;=60,"C4",
IF(CK129&gt;=55,"C5",
IF(CK129&gt;=50,"C6",
IF(CK129&gt;=45,"D7",
IF(CK129&gt;=40,"E8",
IF(CK129&gt;=1,"F9",""))))))))))</f>
        <v/>
      </c>
      <c r="CM129" s="422">
        <v>-30.714285714285701</v>
      </c>
      <c r="CN129" s="422"/>
      <c r="CO129" s="422"/>
      <c r="CP129" s="422">
        <f t="shared" ref="CP129:CP130" si="1099">CM129</f>
        <v>-30.714285714285701</v>
      </c>
      <c r="CQ129" s="422">
        <v>12.810344827586301</v>
      </c>
      <c r="CR129" s="422">
        <f t="shared" ref="CR129:CR134" si="1100">SUM(CP129:CQ129)</f>
        <v>-17.903940886699402</v>
      </c>
      <c r="CS129" s="438" t="str">
        <f t="shared" ref="CS129:CS134" si="1101">IF(CR129&gt;=80,"A1",
IF(CR129&gt;=75,"A",
IF(CR129&gt;=70,"B2",
IF(CR129&gt;=65,"B3",
IF(CR129&gt;=60,"C4",
IF(CR129&gt;=55,"C5",
IF(CR129&gt;=50,"C6",
IF(CR129&gt;=45,"D7",
IF(CR129&gt;=40,"E8",
IF(CR129&gt;=1,"F9",""))))))))))</f>
        <v/>
      </c>
      <c r="CT129" s="422">
        <v>-75.263157894736693</v>
      </c>
      <c r="CU129" s="422">
        <v>-401.05263157894802</v>
      </c>
      <c r="CV129" s="422">
        <f t="shared" ref="CV129:CV134" si="1102">SUM(CT129:CU129)</f>
        <v>-476.31578947368473</v>
      </c>
      <c r="CW129" s="438" t="str">
        <f t="shared" ref="CW129:CW134" si="1103">IF(CV129&gt;=80,"A1",
IF(CV129&gt;=75,"A",
IF(CV129&gt;=70,"B2",
IF(CV129&gt;=65,"B3",
IF(CV129&gt;=60,"C4",
IF(CV129&gt;=55,"C5",
IF(CV129&gt;=50,"C6",
IF(CV129&gt;=45,"D7",
IF(CV129&gt;=40,"E8",
IF(CV129&gt;=1,"F9",""))))))))))</f>
        <v/>
      </c>
      <c r="CX129" s="422">
        <v>-98.3333333333333</v>
      </c>
      <c r="CY129" s="422">
        <v>-364.28571428571502</v>
      </c>
      <c r="CZ129" s="422">
        <f t="shared" ref="CZ129:CZ134" si="1104">SUM(CX129:CY129)</f>
        <v>-462.61904761904833</v>
      </c>
      <c r="DA129" s="438" t="str">
        <f t="shared" ref="DA129:DA134" si="1105">IF(CZ129&gt;=80,"A1",
IF(CZ129&gt;=75,"A",
IF(CZ129&gt;=70,"B2",
IF(CZ129&gt;=65,"B3",
IF(CZ129&gt;=60,"C4",
IF(CZ129&gt;=55,"C5",
IF(CZ129&gt;=50,"C6",
IF(CZ129&gt;=45,"D7",
IF(CZ129&gt;=40,"E8",
IF(CZ129&gt;=1,"F9",""))))))))))</f>
        <v/>
      </c>
      <c r="DB129" s="422">
        <v>-330</v>
      </c>
      <c r="DC129" s="422">
        <v>-293.57142857142901</v>
      </c>
      <c r="DD129" s="422">
        <f t="shared" ref="DD129:DD134" si="1106">SUM(DB129:DC129)</f>
        <v>-623.57142857142901</v>
      </c>
      <c r="DE129" s="422" t="str">
        <f t="shared" ref="DE129:DE134" si="1107">IF(DD129&gt;=80,"A1",
IF(DD129&gt;=75,"A",
IF(DD129&gt;=70,"B2",
IF(DD129&gt;=65,"B3",
IF(DD129&gt;=60,"C4",
IF(DD129&gt;=55,"C5",
IF(DD129&gt;=50,"C6",
IF(DD129&gt;=45,"D7",
IF(DD129&gt;=40,"E8",
IF(DD129&gt;=1,"F9",""))))))))))</f>
        <v/>
      </c>
      <c r="DF129" s="422">
        <f t="shared" ref="DF129:DF134" si="1108">DB129</f>
        <v>-330</v>
      </c>
      <c r="DG129" s="422">
        <v>-364.28571428571502</v>
      </c>
      <c r="DH129" s="422">
        <f t="shared" ref="DH129:DH134" si="1109">SUM(DF129:DG129)</f>
        <v>-694.28571428571502</v>
      </c>
      <c r="DI129" s="422" t="str">
        <f t="shared" ref="DI129:DI134" si="1110">IF(DH129&gt;=80,"A1",
IF(DH129&gt;=75,"A",
IF(DH129&gt;=70,"B2",
IF(DH129&gt;=65,"B3",
IF(DH129&gt;=60,"C4",
IF(DH129&gt;=55,"C5",
IF(DH129&gt;=50,"C6",
IF(DH129&gt;=45,"D7",
IF(DH129&gt;=40,"E8",
IF(DH129&gt;=1,"F9",""))))))))))</f>
        <v/>
      </c>
      <c r="DJ129" s="422">
        <v>-145</v>
      </c>
      <c r="DK129" s="422">
        <v>25.1428571428571</v>
      </c>
      <c r="DL129" s="422">
        <f t="shared" ref="DL129:DL134" si="1111">SUM(DJ129:DK129)</f>
        <v>-119.8571428571429</v>
      </c>
      <c r="DM129" s="422" t="str">
        <f t="shared" ref="DM129:DM134" si="1112">IF(DL129&gt;=80,"A1",
IF(DL129&gt;=75,"A",
IF(DL129&gt;=70,"B2",
IF(DL129&gt;=65,"B3",
IF(DL129&gt;=60,"C4",
IF(DL129&gt;=55,"C5",
IF(DL129&gt;=50,"C6",
IF(DL129&gt;=45,"D7",
IF(DL129&gt;=40,"E8",
IF(DL129&gt;=1,"F9",""))))))))))</f>
        <v/>
      </c>
      <c r="DN129" s="422">
        <v>-145</v>
      </c>
      <c r="DO129" s="422">
        <v>-28.8571428571429</v>
      </c>
      <c r="DP129" s="422">
        <f t="shared" ref="DP129:DP134" si="1113">SUM(DN129:DO129)</f>
        <v>-173.85714285714289</v>
      </c>
      <c r="DQ129" s="438" t="str">
        <f t="shared" ref="DQ129:DQ134" si="1114">IF(DP129&gt;=80,"A1",
IF(DP129&gt;=75,"A",
IF(DP129&gt;=70,"B2",
IF(DP129&gt;=65,"B3",
IF(DP129&gt;=60,"C4",
IF(DP129&gt;=55,"C5",
IF(DP129&gt;=50,"C6",
IF(DP129&gt;=45,"D7",
IF(DP129&gt;=40,"E8",
IF(DP129&gt;=1,"F9",""))))))))))</f>
        <v/>
      </c>
      <c r="DR129" s="422">
        <v>-515</v>
      </c>
      <c r="DS129" s="422">
        <v>-291.28571428571399</v>
      </c>
      <c r="DT129" s="422">
        <f t="shared" ref="DT129:DT134" si="1115">SUM(DR129:DS129)</f>
        <v>-806.28571428571399</v>
      </c>
      <c r="DU129" s="438" t="str">
        <f t="shared" ref="DU129:DU134" si="1116">IF(DT129&gt;=80,"A1",
IF(DT129&gt;=75,"A",
IF(DT129&gt;=70,"B2",
IF(DT129&gt;=65,"B3",
IF(DT129&gt;=60,"C4",
IF(DT129&gt;=55,"C5",
IF(DT129&gt;=50,"C6",
IF(DT129&gt;=45,"D7",
IF(DT129&gt;=40,"E8",
IF(DT129&gt;=1,"F9",""))))))))))</f>
        <v/>
      </c>
      <c r="DV129" s="422">
        <v>-145</v>
      </c>
      <c r="DW129" s="422">
        <v>38.285714285714199</v>
      </c>
      <c r="DX129" s="422">
        <f t="shared" ref="DX129:DX134" si="1117">SUM(DV129:DW129)</f>
        <v>-106.71428571428581</v>
      </c>
      <c r="DY129" s="438" t="str">
        <f t="shared" ref="DY129:DY134" si="1118">IF(DX129&gt;=80,"A1",
IF(DX129&gt;=75,"A",
IF(DX129&gt;=70,"B2",
IF(DX129&gt;=65,"B3",
IF(DX129&gt;=60,"C4",
IF(DX129&gt;=55,"C5",
IF(DX129&gt;=50,"C6",
IF(DX129&gt;=45,"D7",
IF(DX129&gt;=40,"E8",
IF(DX129&gt;=1,"F9",""))))))))))</f>
        <v/>
      </c>
      <c r="DZ129" s="422">
        <f t="shared" ref="DZ129:DZ134" si="1119">DV129</f>
        <v>-145</v>
      </c>
      <c r="EA129" s="422">
        <v>-51.000000000000099</v>
      </c>
      <c r="EB129" s="422">
        <f t="shared" ref="EB129:EB134" si="1120">SUM(DZ129:EA129)</f>
        <v>-196.00000000000011</v>
      </c>
      <c r="EC129" s="438" t="str">
        <f t="shared" ref="EC129:EC134" si="1121">IF(EB129&gt;=80,"A1",
IF(EB129&gt;=75,"A",
IF(EB129&gt;=70,"B2",
IF(EB129&gt;=65,"B3",
IF(EB129&gt;=60,"C4",
IF(EB129&gt;=55,"C5",
IF(EB129&gt;=50,"C6",
IF(EB129&gt;=45,"D7",
IF(EB129&gt;=40,"E8",
IF(EB129&gt;=1,"F9",""))))))))))</f>
        <v/>
      </c>
      <c r="ED129" s="422">
        <f t="shared" si="643"/>
        <v>-5892.8387779794339</v>
      </c>
      <c r="EE129" s="422">
        <f t="shared" si="650"/>
        <v>-368.30242362371462</v>
      </c>
      <c r="EF129" s="438" t="str">
        <f t="shared" si="651"/>
        <v/>
      </c>
      <c r="EG129" s="422" t="str">
        <f t="shared" si="652"/>
        <v/>
      </c>
      <c r="EH129" s="439">
        <v>1</v>
      </c>
      <c r="EI129" s="422">
        <f t="shared" si="653"/>
        <v>-5892.8387779794339</v>
      </c>
      <c r="EJ129" s="440">
        <f t="shared" si="654"/>
        <v>-3.6830242362371464</v>
      </c>
      <c r="EK129" s="438" t="s">
        <v>573</v>
      </c>
      <c r="EL129" s="438" t="s">
        <v>762</v>
      </c>
    </row>
    <row r="130" spans="1:142" ht="30">
      <c r="A130" s="690"/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420">
        <f t="shared" si="583"/>
        <v>129</v>
      </c>
      <c r="AB130" s="435" t="s">
        <v>59</v>
      </c>
      <c r="AC130" s="422" t="s">
        <v>394</v>
      </c>
      <c r="AD130" s="422" t="s">
        <v>326</v>
      </c>
      <c r="AE130" s="422">
        <v>31.8571428571429</v>
      </c>
      <c r="AF130" s="422">
        <f>'SSS1 ATTENDANCE '!FJ136</f>
        <v>0</v>
      </c>
      <c r="AG130" s="422">
        <f>'SSS1 ATTENDANCE '!FH136</f>
        <v>0</v>
      </c>
      <c r="AH130" s="422">
        <f>'SSS1 ATTENDANCE '!FI136</f>
        <v>0</v>
      </c>
      <c r="AI130" s="436" t="s">
        <v>702</v>
      </c>
      <c r="AJ130" s="437">
        <v>40754</v>
      </c>
      <c r="AK130" s="435" t="s">
        <v>396</v>
      </c>
      <c r="AL130" s="424">
        <v>25</v>
      </c>
      <c r="AM130" s="422">
        <v>93.25</v>
      </c>
      <c r="AN130" s="438">
        <v>4</v>
      </c>
      <c r="AO130" s="422" t="str">
        <f t="shared" si="644"/>
        <v>3</v>
      </c>
      <c r="AP130" s="438">
        <v>5</v>
      </c>
      <c r="AQ130" s="422">
        <v>4</v>
      </c>
      <c r="AR130" s="438">
        <v>4</v>
      </c>
      <c r="AS130" s="438">
        <v>4</v>
      </c>
      <c r="AT130" s="438">
        <v>4</v>
      </c>
      <c r="AU130" s="438">
        <v>3</v>
      </c>
      <c r="AV130" s="438">
        <v>4</v>
      </c>
      <c r="AW130" s="438">
        <v>4</v>
      </c>
      <c r="AX130" s="438">
        <v>3</v>
      </c>
      <c r="AY130" s="438">
        <v>4</v>
      </c>
      <c r="AZ130" s="438">
        <v>3</v>
      </c>
      <c r="BA130" s="438">
        <v>3</v>
      </c>
      <c r="BB130" s="438">
        <v>3</v>
      </c>
      <c r="BC130" s="438">
        <v>4</v>
      </c>
      <c r="BD130" s="438">
        <v>4</v>
      </c>
      <c r="BE130" s="438">
        <v>4</v>
      </c>
      <c r="BF130" s="438">
        <v>3</v>
      </c>
      <c r="BG130" s="438">
        <v>3</v>
      </c>
      <c r="BH130" s="438">
        <v>3</v>
      </c>
      <c r="BI130" s="438">
        <v>5</v>
      </c>
      <c r="BJ130" s="438">
        <v>4</v>
      </c>
      <c r="BK130" s="438">
        <v>3</v>
      </c>
      <c r="BL130" s="438">
        <v>5</v>
      </c>
      <c r="BM130" s="438">
        <v>3</v>
      </c>
      <c r="BN130" s="422" t="s">
        <v>528</v>
      </c>
      <c r="BO130" s="438">
        <v>-31.25</v>
      </c>
      <c r="BP130" s="438">
        <v>-489.607142857143</v>
      </c>
      <c r="BQ130" s="422">
        <f t="shared" si="1087"/>
        <v>-520.857142857143</v>
      </c>
      <c r="BR130" s="438" t="str">
        <f t="shared" si="1088"/>
        <v/>
      </c>
      <c r="BS130" s="422">
        <v>-31.25</v>
      </c>
      <c r="BT130" s="438">
        <v>-364.53571428571399</v>
      </c>
      <c r="BU130" s="422">
        <f t="shared" si="1089"/>
        <v>-395.78571428571399</v>
      </c>
      <c r="BV130" s="438" t="str">
        <f t="shared" si="1090"/>
        <v/>
      </c>
      <c r="BW130" s="422">
        <v>-31.25</v>
      </c>
      <c r="BX130" s="422">
        <v>-351.392857142857</v>
      </c>
      <c r="BY130" s="422">
        <f t="shared" si="1091"/>
        <v>-382.642857142857</v>
      </c>
      <c r="BZ130" s="438" t="str">
        <f t="shared" si="1092"/>
        <v/>
      </c>
      <c r="CA130" s="422">
        <v>-31.25</v>
      </c>
      <c r="CB130" s="422">
        <v>-367.50000000000102</v>
      </c>
      <c r="CC130" s="422">
        <f t="shared" si="1093"/>
        <v>-398.75000000000102</v>
      </c>
      <c r="CD130" s="438" t="str">
        <f t="shared" si="1094"/>
        <v/>
      </c>
      <c r="CE130" s="422">
        <v>35</v>
      </c>
      <c r="CF130" s="422">
        <v>-354.857142857143</v>
      </c>
      <c r="CG130" s="422">
        <f t="shared" si="1095"/>
        <v>-319.857142857143</v>
      </c>
      <c r="CH130" s="438" t="str">
        <f t="shared" si="1096"/>
        <v/>
      </c>
      <c r="CI130" s="422">
        <v>-31.25</v>
      </c>
      <c r="CJ130" s="422">
        <v>-187.67857142857099</v>
      </c>
      <c r="CK130" s="422">
        <f t="shared" si="1097"/>
        <v>-218.92857142857099</v>
      </c>
      <c r="CL130" s="438" t="str">
        <f t="shared" si="1098"/>
        <v/>
      </c>
      <c r="CM130" s="422">
        <v>-31.25</v>
      </c>
      <c r="CN130" s="422"/>
      <c r="CO130" s="422"/>
      <c r="CP130" s="422">
        <f t="shared" si="1099"/>
        <v>-31.25</v>
      </c>
      <c r="CQ130" s="422">
        <v>12.5258620689656</v>
      </c>
      <c r="CR130" s="422">
        <f t="shared" si="1100"/>
        <v>-18.724137931034399</v>
      </c>
      <c r="CS130" s="438" t="str">
        <f t="shared" si="1101"/>
        <v/>
      </c>
      <c r="CT130" s="422">
        <v>-76.315789473684703</v>
      </c>
      <c r="CU130" s="422">
        <v>-405.26315789473699</v>
      </c>
      <c r="CV130" s="422">
        <f t="shared" si="1102"/>
        <v>-481.57894736842172</v>
      </c>
      <c r="CW130" s="438" t="str">
        <f t="shared" si="1103"/>
        <v/>
      </c>
      <c r="CX130" s="422">
        <v>-100.833333333333</v>
      </c>
      <c r="CY130" s="422">
        <v>-367.50000000000102</v>
      </c>
      <c r="CZ130" s="422">
        <f t="shared" si="1104"/>
        <v>-468.33333333333405</v>
      </c>
      <c r="DA130" s="438" t="str">
        <f t="shared" si="1105"/>
        <v/>
      </c>
      <c r="DB130" s="422">
        <f t="shared" ref="DB130:DB134" si="1122">CX130</f>
        <v>-100.833333333333</v>
      </c>
      <c r="DC130" s="422">
        <v>-296.25</v>
      </c>
      <c r="DD130" s="422">
        <f t="shared" si="1106"/>
        <v>-397.08333333333303</v>
      </c>
      <c r="DE130" s="422" t="str">
        <f t="shared" si="1107"/>
        <v/>
      </c>
      <c r="DF130" s="422">
        <f t="shared" si="1108"/>
        <v>-100.833333333333</v>
      </c>
      <c r="DG130" s="422">
        <v>-367.50000000000102</v>
      </c>
      <c r="DH130" s="422">
        <f t="shared" si="1109"/>
        <v>-468.33333333333405</v>
      </c>
      <c r="DI130" s="422" t="str">
        <f t="shared" si="1110"/>
        <v/>
      </c>
      <c r="DJ130" s="422">
        <f t="shared" ref="DJ130:DJ134" si="1123">DF130</f>
        <v>-100.833333333333</v>
      </c>
      <c r="DK130" s="422">
        <v>24.964285714285701</v>
      </c>
      <c r="DL130" s="422">
        <f t="shared" si="1111"/>
        <v>-75.869047619047308</v>
      </c>
      <c r="DM130" s="422" t="str">
        <f t="shared" si="1112"/>
        <v/>
      </c>
      <c r="DN130" s="422">
        <f t="shared" ref="DN130:DN134" si="1124">DJ130</f>
        <v>-100.833333333333</v>
      </c>
      <c r="DO130" s="422">
        <v>-29.464285714285701</v>
      </c>
      <c r="DP130" s="422">
        <f t="shared" si="1113"/>
        <v>-130.2976190476187</v>
      </c>
      <c r="DQ130" s="438" t="str">
        <f t="shared" si="1114"/>
        <v/>
      </c>
      <c r="DR130" s="422">
        <f t="shared" ref="DR130:DR134" si="1125">DN130</f>
        <v>-100.833333333333</v>
      </c>
      <c r="DS130" s="422">
        <v>-293.892857142857</v>
      </c>
      <c r="DT130" s="422">
        <f t="shared" si="1115"/>
        <v>-394.72619047619003</v>
      </c>
      <c r="DU130" s="438" t="str">
        <f t="shared" si="1116"/>
        <v/>
      </c>
      <c r="DV130" s="422">
        <f t="shared" ref="DV130:DV134" si="1126">DR130</f>
        <v>-100.833333333333</v>
      </c>
      <c r="DW130" s="422">
        <v>38.214285714285602</v>
      </c>
      <c r="DX130" s="422">
        <f t="shared" si="1117"/>
        <v>-62.6190476190474</v>
      </c>
      <c r="DY130" s="438" t="str">
        <f t="shared" si="1118"/>
        <v/>
      </c>
      <c r="DZ130" s="422">
        <f t="shared" si="1119"/>
        <v>-100.833333333333</v>
      </c>
      <c r="EA130" s="422">
        <v>-51.750000000000099</v>
      </c>
      <c r="EB130" s="422">
        <f t="shared" si="1120"/>
        <v>-152.58333333333309</v>
      </c>
      <c r="EC130" s="438" t="str">
        <f t="shared" si="1121"/>
        <v/>
      </c>
      <c r="ED130" s="422">
        <f t="shared" si="643"/>
        <v>-4886.9697519661231</v>
      </c>
      <c r="EE130" s="422">
        <f t="shared" si="650"/>
        <v>-305.43560949788269</v>
      </c>
      <c r="EF130" s="438" t="str">
        <f t="shared" si="651"/>
        <v/>
      </c>
      <c r="EG130" s="422" t="str">
        <f t="shared" si="652"/>
        <v/>
      </c>
      <c r="EH130" s="439">
        <v>1</v>
      </c>
      <c r="EI130" s="422">
        <f t="shared" si="653"/>
        <v>-4886.9697519661231</v>
      </c>
      <c r="EJ130" s="440">
        <f t="shared" si="654"/>
        <v>-3.0543560949788269</v>
      </c>
      <c r="EK130" s="438" t="s">
        <v>573</v>
      </c>
      <c r="EL130" s="438" t="s">
        <v>762</v>
      </c>
    </row>
    <row r="131" spans="1:142" ht="30">
      <c r="A131" s="690"/>
      <c r="B131" s="690"/>
      <c r="C131" s="690"/>
      <c r="D131" s="690"/>
      <c r="E131" s="690"/>
      <c r="F131" s="690"/>
      <c r="G131" s="690"/>
      <c r="H131" s="690"/>
      <c r="I131" s="690"/>
      <c r="J131" s="690"/>
      <c r="K131" s="690"/>
      <c r="L131" s="690"/>
      <c r="M131" s="690"/>
      <c r="N131" s="690"/>
      <c r="O131" s="690"/>
      <c r="P131" s="690"/>
      <c r="Q131" s="690"/>
      <c r="R131" s="690"/>
      <c r="S131" s="690"/>
      <c r="T131" s="690"/>
      <c r="U131" s="690"/>
      <c r="V131" s="690"/>
      <c r="W131" s="690"/>
      <c r="X131" s="690"/>
      <c r="Y131" s="690"/>
      <c r="Z131" s="690"/>
      <c r="AA131" s="420">
        <f t="shared" ref="AA131:AA173" si="1127">ROW(D130)</f>
        <v>130</v>
      </c>
      <c r="AB131" s="435" t="s">
        <v>60</v>
      </c>
      <c r="AC131" s="422" t="s">
        <v>394</v>
      </c>
      <c r="AD131" s="422" t="s">
        <v>326</v>
      </c>
      <c r="AE131" s="422">
        <v>32</v>
      </c>
      <c r="AF131" s="422">
        <f>'SSS1 ATTENDANCE '!FJ137</f>
        <v>0</v>
      </c>
      <c r="AG131" s="422">
        <f>'SSS1 ATTENDANCE '!FH137</f>
        <v>0</v>
      </c>
      <c r="AH131" s="422">
        <f>'SSS1 ATTENDANCE '!FI137</f>
        <v>0</v>
      </c>
      <c r="AI131" s="436" t="s">
        <v>703</v>
      </c>
      <c r="AJ131" s="437">
        <v>40900</v>
      </c>
      <c r="AK131" s="435" t="s">
        <v>396</v>
      </c>
      <c r="AL131" s="424">
        <v>25</v>
      </c>
      <c r="AM131" s="422">
        <v>93.785714285714306</v>
      </c>
      <c r="AN131" s="438">
        <v>4</v>
      </c>
      <c r="AO131" s="422" t="str">
        <f t="shared" si="644"/>
        <v>3</v>
      </c>
      <c r="AP131" s="438">
        <v>5</v>
      </c>
      <c r="AQ131" s="422">
        <v>4</v>
      </c>
      <c r="AR131" s="438">
        <v>4</v>
      </c>
      <c r="AS131" s="438">
        <v>4</v>
      </c>
      <c r="AT131" s="438">
        <v>4</v>
      </c>
      <c r="AU131" s="438">
        <v>3</v>
      </c>
      <c r="AV131" s="438">
        <v>4</v>
      </c>
      <c r="AW131" s="438">
        <v>4</v>
      </c>
      <c r="AX131" s="438">
        <v>3</v>
      </c>
      <c r="AY131" s="438">
        <v>4</v>
      </c>
      <c r="AZ131" s="438">
        <v>3</v>
      </c>
      <c r="BA131" s="438">
        <v>3</v>
      </c>
      <c r="BB131" s="438">
        <v>3</v>
      </c>
      <c r="BC131" s="438">
        <v>4</v>
      </c>
      <c r="BD131" s="438">
        <v>4</v>
      </c>
      <c r="BE131" s="438">
        <v>4</v>
      </c>
      <c r="BF131" s="438">
        <v>3</v>
      </c>
      <c r="BG131" s="438">
        <v>3</v>
      </c>
      <c r="BH131" s="438">
        <v>3</v>
      </c>
      <c r="BI131" s="438">
        <v>5</v>
      </c>
      <c r="BJ131" s="438">
        <v>4</v>
      </c>
      <c r="BK131" s="438">
        <v>3</v>
      </c>
      <c r="BL131" s="438">
        <v>5</v>
      </c>
      <c r="BM131" s="438">
        <v>3</v>
      </c>
      <c r="BN131" s="422" t="s">
        <v>529</v>
      </c>
      <c r="BO131" s="438">
        <v>-31.785714285714299</v>
      </c>
      <c r="BP131" s="438">
        <v>-493.78571428571399</v>
      </c>
      <c r="BQ131" s="422">
        <f t="shared" si="1087"/>
        <v>-525.57142857142833</v>
      </c>
      <c r="BR131" s="438" t="str">
        <f t="shared" si="1088"/>
        <v/>
      </c>
      <c r="BS131" s="422">
        <v>-31.785714285714299</v>
      </c>
      <c r="BT131" s="438">
        <v>-367.78571428571399</v>
      </c>
      <c r="BU131" s="422">
        <f t="shared" si="1089"/>
        <v>-399.57142857142827</v>
      </c>
      <c r="BV131" s="438" t="str">
        <f t="shared" si="1090"/>
        <v/>
      </c>
      <c r="BW131" s="422">
        <v>-31.785714285714299</v>
      </c>
      <c r="BX131" s="422">
        <v>-354.49999999999898</v>
      </c>
      <c r="BY131" s="422">
        <f t="shared" si="1091"/>
        <v>-386.28571428571325</v>
      </c>
      <c r="BZ131" s="438" t="str">
        <f t="shared" si="1092"/>
        <v/>
      </c>
      <c r="CA131" s="422">
        <v>-31.785714285714299</v>
      </c>
      <c r="CB131" s="422">
        <v>-370.71428571428601</v>
      </c>
      <c r="CC131" s="422">
        <f t="shared" si="1093"/>
        <v>-402.50000000000028</v>
      </c>
      <c r="CD131" s="438" t="str">
        <f t="shared" si="1094"/>
        <v/>
      </c>
      <c r="CE131" s="422">
        <v>35</v>
      </c>
      <c r="CF131" s="422">
        <v>-358.00000000000102</v>
      </c>
      <c r="CG131" s="422">
        <f t="shared" si="1095"/>
        <v>-323.00000000000102</v>
      </c>
      <c r="CH131" s="438" t="str">
        <f t="shared" si="1096"/>
        <v/>
      </c>
      <c r="CI131" s="422">
        <v>-31.785714285714299</v>
      </c>
      <c r="CJ131" s="422">
        <v>-189.5</v>
      </c>
      <c r="CK131" s="422">
        <f t="shared" si="1097"/>
        <v>-221.28571428571431</v>
      </c>
      <c r="CL131" s="438" t="str">
        <f t="shared" si="1098"/>
        <v/>
      </c>
      <c r="CM131" s="422">
        <v>-31.785714285714299</v>
      </c>
      <c r="CN131" s="422"/>
      <c r="CO131" s="422"/>
      <c r="CP131" s="422"/>
      <c r="CQ131" s="422">
        <v>12.241379310345</v>
      </c>
      <c r="CR131" s="422">
        <f t="shared" si="1100"/>
        <v>12.241379310345</v>
      </c>
      <c r="CS131" s="438" t="str">
        <f t="shared" si="1101"/>
        <v>F9</v>
      </c>
      <c r="CT131" s="422">
        <v>-77.368421052631703</v>
      </c>
      <c r="CU131" s="422">
        <v>-409.47368421052698</v>
      </c>
      <c r="CV131" s="422">
        <f t="shared" si="1102"/>
        <v>-486.84210526315871</v>
      </c>
      <c r="CW131" s="438" t="str">
        <f t="shared" si="1103"/>
        <v/>
      </c>
      <c r="CX131" s="422">
        <f t="shared" ref="CX131" si="1128">CT131</f>
        <v>-77.368421052631703</v>
      </c>
      <c r="CY131" s="422">
        <v>-370.71428571428601</v>
      </c>
      <c r="CZ131" s="422">
        <f t="shared" si="1104"/>
        <v>-448.08270676691768</v>
      </c>
      <c r="DA131" s="438" t="str">
        <f t="shared" si="1105"/>
        <v/>
      </c>
      <c r="DB131" s="422">
        <f t="shared" si="1122"/>
        <v>-77.368421052631703</v>
      </c>
      <c r="DC131" s="422">
        <v>-298.92857142857099</v>
      </c>
      <c r="DD131" s="422">
        <f t="shared" si="1106"/>
        <v>-376.29699248120266</v>
      </c>
      <c r="DE131" s="422" t="str">
        <f t="shared" si="1107"/>
        <v/>
      </c>
      <c r="DF131" s="422">
        <f t="shared" si="1108"/>
        <v>-77.368421052631703</v>
      </c>
      <c r="DG131" s="422">
        <v>-370.71428571428601</v>
      </c>
      <c r="DH131" s="422">
        <f t="shared" si="1109"/>
        <v>-448.08270676691768</v>
      </c>
      <c r="DI131" s="422" t="str">
        <f t="shared" si="1110"/>
        <v/>
      </c>
      <c r="DJ131" s="422">
        <f t="shared" si="1123"/>
        <v>-77.368421052631703</v>
      </c>
      <c r="DK131" s="422">
        <v>24.785714285714199</v>
      </c>
      <c r="DL131" s="422">
        <f t="shared" si="1111"/>
        <v>-52.582706766917504</v>
      </c>
      <c r="DM131" s="422" t="str">
        <f t="shared" si="1112"/>
        <v/>
      </c>
      <c r="DN131" s="422">
        <f t="shared" si="1124"/>
        <v>-77.368421052631703</v>
      </c>
      <c r="DO131" s="422">
        <v>-30.071428571428601</v>
      </c>
      <c r="DP131" s="422">
        <f t="shared" si="1113"/>
        <v>-107.4398496240603</v>
      </c>
      <c r="DQ131" s="438" t="str">
        <f t="shared" si="1114"/>
        <v/>
      </c>
      <c r="DR131" s="422">
        <f t="shared" si="1125"/>
        <v>-77.368421052631703</v>
      </c>
      <c r="DS131" s="422">
        <v>-296.5</v>
      </c>
      <c r="DT131" s="422">
        <f t="shared" si="1115"/>
        <v>-373.86842105263167</v>
      </c>
      <c r="DU131" s="438" t="str">
        <f t="shared" si="1116"/>
        <v/>
      </c>
      <c r="DV131" s="422">
        <f t="shared" si="1126"/>
        <v>-77.368421052631703</v>
      </c>
      <c r="DW131" s="422">
        <v>38.142857142857103</v>
      </c>
      <c r="DX131" s="422">
        <f t="shared" si="1117"/>
        <v>-39.2255639097746</v>
      </c>
      <c r="DY131" s="438" t="str">
        <f t="shared" si="1118"/>
        <v/>
      </c>
      <c r="DZ131" s="422">
        <f t="shared" si="1119"/>
        <v>-77.368421052631703</v>
      </c>
      <c r="EA131" s="422">
        <v>-52.500000000000099</v>
      </c>
      <c r="EB131" s="422">
        <f t="shared" si="1120"/>
        <v>-129.86842105263179</v>
      </c>
      <c r="EC131" s="438" t="str">
        <f t="shared" si="1121"/>
        <v/>
      </c>
      <c r="ED131" s="422">
        <f t="shared" si="643"/>
        <v>-4708.2623800881529</v>
      </c>
      <c r="EE131" s="422">
        <f t="shared" si="650"/>
        <v>-294.26639875550956</v>
      </c>
      <c r="EF131" s="438" t="str">
        <f t="shared" si="651"/>
        <v/>
      </c>
      <c r="EG131" s="422" t="str">
        <f t="shared" si="652"/>
        <v/>
      </c>
      <c r="EH131" s="439">
        <v>1</v>
      </c>
      <c r="EI131" s="422">
        <f t="shared" si="653"/>
        <v>-4708.2623800881529</v>
      </c>
      <c r="EJ131" s="440">
        <f t="shared" si="654"/>
        <v>-2.9426639875550955</v>
      </c>
      <c r="EK131" s="438" t="s">
        <v>573</v>
      </c>
      <c r="EL131" s="438" t="s">
        <v>762</v>
      </c>
    </row>
    <row r="132" spans="1:142" ht="30">
      <c r="A132" s="690"/>
      <c r="B132" s="690"/>
      <c r="C132" s="690"/>
      <c r="D132" s="690"/>
      <c r="E132" s="690"/>
      <c r="F132" s="690"/>
      <c r="G132" s="690"/>
      <c r="H132" s="690"/>
      <c r="I132" s="690"/>
      <c r="J132" s="690"/>
      <c r="K132" s="690"/>
      <c r="L132" s="690"/>
      <c r="M132" s="690"/>
      <c r="N132" s="690"/>
      <c r="O132" s="690"/>
      <c r="P132" s="690"/>
      <c r="Q132" s="690"/>
      <c r="R132" s="690"/>
      <c r="S132" s="690"/>
      <c r="T132" s="690"/>
      <c r="U132" s="690"/>
      <c r="V132" s="690"/>
      <c r="W132" s="690"/>
      <c r="X132" s="690"/>
      <c r="Y132" s="690"/>
      <c r="Z132" s="690"/>
      <c r="AA132" s="420">
        <f t="shared" si="1127"/>
        <v>131</v>
      </c>
      <c r="AB132" s="435" t="s">
        <v>61</v>
      </c>
      <c r="AC132" s="422" t="s">
        <v>394</v>
      </c>
      <c r="AD132" s="422" t="s">
        <v>326</v>
      </c>
      <c r="AE132" s="422">
        <v>32.142857142857203</v>
      </c>
      <c r="AF132" s="422">
        <f>'SSS1 ATTENDANCE '!FJ138</f>
        <v>0</v>
      </c>
      <c r="AG132" s="422">
        <f>'SSS1 ATTENDANCE '!FH138</f>
        <v>0</v>
      </c>
      <c r="AH132" s="422">
        <f>'SSS1 ATTENDANCE '!FI138</f>
        <v>0</v>
      </c>
      <c r="AI132" s="436" t="s">
        <v>704</v>
      </c>
      <c r="AJ132" s="437">
        <v>40368</v>
      </c>
      <c r="AK132" s="435" t="s">
        <v>396</v>
      </c>
      <c r="AL132" s="424">
        <v>25</v>
      </c>
      <c r="AM132" s="422">
        <v>94.321428571428498</v>
      </c>
      <c r="AN132" s="438">
        <v>4</v>
      </c>
      <c r="AO132" s="422" t="str">
        <f t="shared" si="644"/>
        <v>3</v>
      </c>
      <c r="AP132" s="438">
        <v>5</v>
      </c>
      <c r="AQ132" s="422">
        <v>4</v>
      </c>
      <c r="AR132" s="438">
        <v>4</v>
      </c>
      <c r="AS132" s="438">
        <v>4</v>
      </c>
      <c r="AT132" s="438">
        <v>4</v>
      </c>
      <c r="AU132" s="438">
        <v>3</v>
      </c>
      <c r="AV132" s="438">
        <v>4</v>
      </c>
      <c r="AW132" s="438">
        <v>4</v>
      </c>
      <c r="AX132" s="438">
        <v>3</v>
      </c>
      <c r="AY132" s="438">
        <v>4</v>
      </c>
      <c r="AZ132" s="438">
        <v>3</v>
      </c>
      <c r="BA132" s="438">
        <v>3</v>
      </c>
      <c r="BB132" s="438">
        <v>3</v>
      </c>
      <c r="BC132" s="438">
        <v>4</v>
      </c>
      <c r="BD132" s="438">
        <v>4</v>
      </c>
      <c r="BE132" s="438">
        <v>4</v>
      </c>
      <c r="BF132" s="438">
        <v>3</v>
      </c>
      <c r="BG132" s="438">
        <v>3</v>
      </c>
      <c r="BH132" s="438">
        <v>3</v>
      </c>
      <c r="BI132" s="438">
        <v>5</v>
      </c>
      <c r="BJ132" s="438">
        <v>4</v>
      </c>
      <c r="BK132" s="438">
        <v>3</v>
      </c>
      <c r="BL132" s="438">
        <v>5</v>
      </c>
      <c r="BM132" s="438">
        <v>3</v>
      </c>
      <c r="BN132" s="422" t="s">
        <v>530</v>
      </c>
      <c r="BO132" s="438">
        <v>-32.321428571428498</v>
      </c>
      <c r="BP132" s="438">
        <v>-497.96428571428601</v>
      </c>
      <c r="BQ132" s="422">
        <f t="shared" si="1087"/>
        <v>-530.28571428571445</v>
      </c>
      <c r="BR132" s="438" t="str">
        <f t="shared" si="1088"/>
        <v/>
      </c>
      <c r="BS132" s="422">
        <v>-32.321428571428498</v>
      </c>
      <c r="BT132" s="438">
        <v>-371.03571428571399</v>
      </c>
      <c r="BU132" s="422">
        <f t="shared" si="1089"/>
        <v>-403.35714285714249</v>
      </c>
      <c r="BV132" s="438" t="str">
        <f t="shared" si="1090"/>
        <v/>
      </c>
      <c r="BW132" s="422">
        <v>-32.321428571428498</v>
      </c>
      <c r="BX132" s="422">
        <v>-357.60714285714198</v>
      </c>
      <c r="BY132" s="422">
        <f t="shared" si="1091"/>
        <v>-389.92857142857048</v>
      </c>
      <c r="BZ132" s="438" t="str">
        <f t="shared" si="1092"/>
        <v/>
      </c>
      <c r="CA132" s="422">
        <v>-32.321428571428498</v>
      </c>
      <c r="CB132" s="422">
        <v>-373.92857142857201</v>
      </c>
      <c r="CC132" s="422">
        <f t="shared" si="1093"/>
        <v>-406.25000000000051</v>
      </c>
      <c r="CD132" s="438" t="str">
        <f t="shared" si="1094"/>
        <v/>
      </c>
      <c r="CE132" s="422">
        <v>35</v>
      </c>
      <c r="CF132" s="422">
        <v>-361.14285714285802</v>
      </c>
      <c r="CG132" s="422">
        <f t="shared" si="1095"/>
        <v>-326.14285714285802</v>
      </c>
      <c r="CH132" s="438" t="str">
        <f t="shared" si="1096"/>
        <v/>
      </c>
      <c r="CI132" s="422">
        <v>-32.321428571428498</v>
      </c>
      <c r="CJ132" s="422">
        <v>-191.32142857142799</v>
      </c>
      <c r="CK132" s="422">
        <f t="shared" si="1097"/>
        <v>-223.64285714285649</v>
      </c>
      <c r="CL132" s="438" t="str">
        <f t="shared" si="1098"/>
        <v/>
      </c>
      <c r="CM132" s="422">
        <v>-32.321428571428498</v>
      </c>
      <c r="CN132" s="422"/>
      <c r="CO132" s="422"/>
      <c r="CP132" s="422">
        <f t="shared" ref="CP132" si="1129">CM132</f>
        <v>-32.321428571428498</v>
      </c>
      <c r="CQ132" s="422">
        <v>11.9568965517243</v>
      </c>
      <c r="CR132" s="422">
        <f t="shared" si="1100"/>
        <v>-20.3645320197042</v>
      </c>
      <c r="CS132" s="438" t="str">
        <f t="shared" si="1101"/>
        <v/>
      </c>
      <c r="CT132" s="422">
        <v>-78.421052631578704</v>
      </c>
      <c r="CU132" s="422">
        <v>-413.68421052631601</v>
      </c>
      <c r="CV132" s="422">
        <f t="shared" si="1102"/>
        <v>-492.10526315789468</v>
      </c>
      <c r="CW132" s="438" t="str">
        <f t="shared" si="1103"/>
        <v/>
      </c>
      <c r="CX132" s="422">
        <v>35</v>
      </c>
      <c r="CY132" s="422">
        <v>-373.92857142857201</v>
      </c>
      <c r="CZ132" s="422">
        <f t="shared" si="1104"/>
        <v>-338.92857142857201</v>
      </c>
      <c r="DA132" s="438" t="str">
        <f t="shared" si="1105"/>
        <v/>
      </c>
      <c r="DB132" s="422">
        <f t="shared" si="1122"/>
        <v>35</v>
      </c>
      <c r="DC132" s="422">
        <v>-301.607142857143</v>
      </c>
      <c r="DD132" s="422">
        <f t="shared" si="1106"/>
        <v>-266.607142857143</v>
      </c>
      <c r="DE132" s="422" t="str">
        <f t="shared" si="1107"/>
        <v/>
      </c>
      <c r="DF132" s="422">
        <f t="shared" si="1108"/>
        <v>35</v>
      </c>
      <c r="DG132" s="422">
        <v>-373.92857142857201</v>
      </c>
      <c r="DH132" s="422">
        <f t="shared" si="1109"/>
        <v>-338.92857142857201</v>
      </c>
      <c r="DI132" s="422" t="str">
        <f t="shared" si="1110"/>
        <v/>
      </c>
      <c r="DJ132" s="422">
        <f t="shared" si="1123"/>
        <v>35</v>
      </c>
      <c r="DK132" s="422">
        <v>24.607142857142801</v>
      </c>
      <c r="DL132" s="422">
        <f t="shared" si="1111"/>
        <v>59.607142857142804</v>
      </c>
      <c r="DM132" s="422" t="str">
        <f t="shared" si="1112"/>
        <v>C5</v>
      </c>
      <c r="DN132" s="422">
        <f t="shared" si="1124"/>
        <v>35</v>
      </c>
      <c r="DO132" s="422">
        <v>-30.678571428571399</v>
      </c>
      <c r="DP132" s="422">
        <f t="shared" si="1113"/>
        <v>4.3214285714286014</v>
      </c>
      <c r="DQ132" s="438" t="str">
        <f t="shared" si="1114"/>
        <v>F9</v>
      </c>
      <c r="DR132" s="422">
        <f t="shared" si="1125"/>
        <v>35</v>
      </c>
      <c r="DS132" s="422">
        <v>-299.10714285714198</v>
      </c>
      <c r="DT132" s="422">
        <f t="shared" si="1115"/>
        <v>-264.10714285714198</v>
      </c>
      <c r="DU132" s="438" t="str">
        <f t="shared" si="1116"/>
        <v/>
      </c>
      <c r="DV132" s="422">
        <f t="shared" si="1126"/>
        <v>35</v>
      </c>
      <c r="DW132" s="422">
        <v>38.071428571428498</v>
      </c>
      <c r="DX132" s="422">
        <f t="shared" si="1117"/>
        <v>73.071428571428498</v>
      </c>
      <c r="DY132" s="438" t="str">
        <f t="shared" si="1118"/>
        <v>B2</v>
      </c>
      <c r="DZ132" s="422">
        <f t="shared" si="1119"/>
        <v>35</v>
      </c>
      <c r="EA132" s="422">
        <v>-53.250000000000099</v>
      </c>
      <c r="EB132" s="422">
        <f t="shared" si="1120"/>
        <v>-18.250000000000099</v>
      </c>
      <c r="EC132" s="438" t="str">
        <f t="shared" si="1121"/>
        <v/>
      </c>
      <c r="ED132" s="422">
        <f t="shared" si="643"/>
        <v>-3881.8983666061704</v>
      </c>
      <c r="EE132" s="422">
        <f t="shared" si="650"/>
        <v>-242.61864791288565</v>
      </c>
      <c r="EF132" s="438" t="str">
        <f t="shared" si="651"/>
        <v/>
      </c>
      <c r="EG132" s="422" t="str">
        <f t="shared" si="652"/>
        <v/>
      </c>
      <c r="EH132" s="439">
        <v>1</v>
      </c>
      <c r="EI132" s="422">
        <f t="shared" si="653"/>
        <v>-3881.8983666061704</v>
      </c>
      <c r="EJ132" s="440">
        <f t="shared" si="654"/>
        <v>-2.4261864791288565</v>
      </c>
      <c r="EK132" s="438" t="s">
        <v>746</v>
      </c>
      <c r="EL132" s="438" t="s">
        <v>762</v>
      </c>
    </row>
    <row r="133" spans="1:142" ht="30">
      <c r="A133" s="690"/>
      <c r="B133" s="690"/>
      <c r="C133" s="690"/>
      <c r="D133" s="690"/>
      <c r="E133" s="690"/>
      <c r="F133" s="690"/>
      <c r="G133" s="690"/>
      <c r="H133" s="690"/>
      <c r="I133" s="690"/>
      <c r="J133" s="690"/>
      <c r="K133" s="690"/>
      <c r="L133" s="690"/>
      <c r="M133" s="690"/>
      <c r="N133" s="690"/>
      <c r="O133" s="690"/>
      <c r="P133" s="690"/>
      <c r="Q133" s="690"/>
      <c r="R133" s="690"/>
      <c r="S133" s="690"/>
      <c r="T133" s="690"/>
      <c r="U133" s="690"/>
      <c r="V133" s="690"/>
      <c r="W133" s="690"/>
      <c r="X133" s="690"/>
      <c r="Y133" s="690"/>
      <c r="Z133" s="690"/>
      <c r="AA133" s="420">
        <f t="shared" si="1127"/>
        <v>132</v>
      </c>
      <c r="AB133" s="435" t="s">
        <v>62</v>
      </c>
      <c r="AC133" s="422" t="s">
        <v>394</v>
      </c>
      <c r="AD133" s="422" t="s">
        <v>326</v>
      </c>
      <c r="AE133" s="422">
        <v>32.285714285714299</v>
      </c>
      <c r="AF133" s="422">
        <f>'SSS1 ATTENDANCE '!FJ139</f>
        <v>0</v>
      </c>
      <c r="AG133" s="422">
        <f>'SSS1 ATTENDANCE '!FH139</f>
        <v>0</v>
      </c>
      <c r="AH133" s="422">
        <f>'SSS1 ATTENDANCE '!FI139</f>
        <v>0</v>
      </c>
      <c r="AI133" s="436" t="s">
        <v>705</v>
      </c>
      <c r="AJ133" s="437">
        <v>40852</v>
      </c>
      <c r="AK133" s="435" t="s">
        <v>396</v>
      </c>
      <c r="AL133" s="424">
        <v>25</v>
      </c>
      <c r="AM133" s="422">
        <v>94.857142857142804</v>
      </c>
      <c r="AN133" s="438">
        <v>4</v>
      </c>
      <c r="AO133" s="422" t="str">
        <f t="shared" si="644"/>
        <v>3</v>
      </c>
      <c r="AP133" s="438">
        <v>5</v>
      </c>
      <c r="AQ133" s="422">
        <v>4</v>
      </c>
      <c r="AR133" s="438">
        <v>4</v>
      </c>
      <c r="AS133" s="438">
        <v>4</v>
      </c>
      <c r="AT133" s="438">
        <v>4</v>
      </c>
      <c r="AU133" s="438">
        <v>3</v>
      </c>
      <c r="AV133" s="438">
        <v>4</v>
      </c>
      <c r="AW133" s="438">
        <v>4</v>
      </c>
      <c r="AX133" s="438">
        <v>3</v>
      </c>
      <c r="AY133" s="438">
        <v>4</v>
      </c>
      <c r="AZ133" s="438">
        <v>3</v>
      </c>
      <c r="BA133" s="438">
        <v>3</v>
      </c>
      <c r="BB133" s="438">
        <v>3</v>
      </c>
      <c r="BC133" s="438">
        <v>4</v>
      </c>
      <c r="BD133" s="438">
        <v>4</v>
      </c>
      <c r="BE133" s="438">
        <v>4</v>
      </c>
      <c r="BF133" s="438">
        <v>3</v>
      </c>
      <c r="BG133" s="438">
        <v>3</v>
      </c>
      <c r="BH133" s="438">
        <v>3</v>
      </c>
      <c r="BI133" s="438">
        <v>5</v>
      </c>
      <c r="BJ133" s="438">
        <v>4</v>
      </c>
      <c r="BK133" s="438">
        <v>3</v>
      </c>
      <c r="BL133" s="438">
        <v>5</v>
      </c>
      <c r="BM133" s="438">
        <v>3</v>
      </c>
      <c r="BN133" s="422" t="s">
        <v>531</v>
      </c>
      <c r="BO133" s="438">
        <v>-32.857142857142797</v>
      </c>
      <c r="BP133" s="438">
        <v>-502.142857142857</v>
      </c>
      <c r="BQ133" s="422">
        <f t="shared" si="1087"/>
        <v>-534.99999999999977</v>
      </c>
      <c r="BR133" s="438" t="str">
        <f t="shared" si="1088"/>
        <v/>
      </c>
      <c r="BS133" s="422">
        <v>-32.857142857142797</v>
      </c>
      <c r="BT133" s="438">
        <v>-374.28571428571399</v>
      </c>
      <c r="BU133" s="422">
        <f t="shared" si="1089"/>
        <v>-407.14285714285677</v>
      </c>
      <c r="BV133" s="438" t="str">
        <f t="shared" si="1090"/>
        <v/>
      </c>
      <c r="BW133" s="422">
        <v>-32.857142857142797</v>
      </c>
      <c r="BX133" s="422">
        <v>-360.71428571428498</v>
      </c>
      <c r="BY133" s="422">
        <f t="shared" si="1091"/>
        <v>-393.57142857142776</v>
      </c>
      <c r="BZ133" s="438" t="str">
        <f t="shared" si="1092"/>
        <v/>
      </c>
      <c r="CA133" s="422">
        <v>-32.857142857142797</v>
      </c>
      <c r="CB133" s="422">
        <v>-377.14285714285802</v>
      </c>
      <c r="CC133" s="422">
        <f t="shared" si="1093"/>
        <v>-410.0000000000008</v>
      </c>
      <c r="CD133" s="438" t="str">
        <f t="shared" si="1094"/>
        <v/>
      </c>
      <c r="CE133" s="422">
        <v>35</v>
      </c>
      <c r="CF133" s="422">
        <v>-364.28571428571502</v>
      </c>
      <c r="CG133" s="422">
        <f t="shared" si="1095"/>
        <v>-329.28571428571502</v>
      </c>
      <c r="CH133" s="438" t="str">
        <f t="shared" si="1096"/>
        <v/>
      </c>
      <c r="CI133" s="422">
        <v>-32.857142857142797</v>
      </c>
      <c r="CJ133" s="422">
        <v>-193.142857142857</v>
      </c>
      <c r="CK133" s="422">
        <f t="shared" si="1097"/>
        <v>-225.9999999999998</v>
      </c>
      <c r="CL133" s="438" t="str">
        <f t="shared" si="1098"/>
        <v/>
      </c>
      <c r="CM133" s="422">
        <v>-32.857142857142797</v>
      </c>
      <c r="CN133" s="422"/>
      <c r="CO133" s="422"/>
      <c r="CP133" s="422"/>
      <c r="CQ133" s="422">
        <v>11.672413793103599</v>
      </c>
      <c r="CR133" s="422">
        <f t="shared" si="1100"/>
        <v>11.672413793103599</v>
      </c>
      <c r="CS133" s="438" t="str">
        <f t="shared" si="1101"/>
        <v>F9</v>
      </c>
      <c r="CT133" s="422">
        <v>-79.473684210526699</v>
      </c>
      <c r="CU133" s="422">
        <v>-417.894736842106</v>
      </c>
      <c r="CV133" s="422">
        <f t="shared" si="1102"/>
        <v>-497.3684210526327</v>
      </c>
      <c r="CW133" s="438" t="str">
        <f t="shared" si="1103"/>
        <v/>
      </c>
      <c r="CX133" s="422">
        <f t="shared" ref="CX133" si="1130">CT133</f>
        <v>-79.473684210526699</v>
      </c>
      <c r="CY133" s="422">
        <v>-377.14285714285802</v>
      </c>
      <c r="CZ133" s="422">
        <f t="shared" si="1104"/>
        <v>-456.61654135338472</v>
      </c>
      <c r="DA133" s="438" t="str">
        <f t="shared" si="1105"/>
        <v/>
      </c>
      <c r="DB133" s="422">
        <f t="shared" si="1122"/>
        <v>-79.473684210526699</v>
      </c>
      <c r="DC133" s="422">
        <v>-304.28571428571399</v>
      </c>
      <c r="DD133" s="422">
        <f t="shared" si="1106"/>
        <v>-383.75939849624069</v>
      </c>
      <c r="DE133" s="422" t="str">
        <f t="shared" si="1107"/>
        <v/>
      </c>
      <c r="DF133" s="422">
        <f t="shared" si="1108"/>
        <v>-79.473684210526699</v>
      </c>
      <c r="DG133" s="422">
        <v>-377.14285714285802</v>
      </c>
      <c r="DH133" s="422">
        <f t="shared" si="1109"/>
        <v>-456.61654135338472</v>
      </c>
      <c r="DI133" s="422" t="str">
        <f t="shared" si="1110"/>
        <v/>
      </c>
      <c r="DJ133" s="422">
        <f t="shared" si="1123"/>
        <v>-79.473684210526699</v>
      </c>
      <c r="DK133" s="422">
        <v>24.428571428571399</v>
      </c>
      <c r="DL133" s="422">
        <f t="shared" si="1111"/>
        <v>-55.045112781955297</v>
      </c>
      <c r="DM133" s="422" t="str">
        <f t="shared" si="1112"/>
        <v/>
      </c>
      <c r="DN133" s="422">
        <f t="shared" si="1124"/>
        <v>-79.473684210526699</v>
      </c>
      <c r="DO133" s="422">
        <v>-31.285714285714299</v>
      </c>
      <c r="DP133" s="422">
        <f t="shared" si="1113"/>
        <v>-110.759398496241</v>
      </c>
      <c r="DQ133" s="438" t="str">
        <f t="shared" si="1114"/>
        <v/>
      </c>
      <c r="DR133" s="422">
        <f t="shared" si="1125"/>
        <v>-79.473684210526699</v>
      </c>
      <c r="DS133" s="422">
        <v>-301.71428571428498</v>
      </c>
      <c r="DT133" s="422">
        <f t="shared" si="1115"/>
        <v>-381.18796992481168</v>
      </c>
      <c r="DU133" s="438" t="str">
        <f t="shared" si="1116"/>
        <v/>
      </c>
      <c r="DV133" s="422">
        <f t="shared" si="1126"/>
        <v>-79.473684210526699</v>
      </c>
      <c r="DW133" s="422">
        <v>37.999999999999901</v>
      </c>
      <c r="DX133" s="422">
        <f t="shared" si="1117"/>
        <v>-41.473684210526798</v>
      </c>
      <c r="DY133" s="438" t="str">
        <f t="shared" si="1118"/>
        <v/>
      </c>
      <c r="DZ133" s="422">
        <f t="shared" si="1119"/>
        <v>-79.473684210526699</v>
      </c>
      <c r="EA133" s="422">
        <v>-54.000000000000099</v>
      </c>
      <c r="EB133" s="422">
        <f t="shared" si="1120"/>
        <v>-133.47368421052681</v>
      </c>
      <c r="EC133" s="438" t="str">
        <f t="shared" si="1121"/>
        <v/>
      </c>
      <c r="ED133" s="422">
        <f t="shared" si="643"/>
        <v>-4805.6283380866007</v>
      </c>
      <c r="EE133" s="422">
        <f t="shared" si="650"/>
        <v>-300.35177113041254</v>
      </c>
      <c r="EF133" s="438" t="str">
        <f t="shared" si="651"/>
        <v/>
      </c>
      <c r="EG133" s="422" t="str">
        <f t="shared" si="652"/>
        <v/>
      </c>
      <c r="EH133" s="439">
        <v>1</v>
      </c>
      <c r="EI133" s="422">
        <f t="shared" si="653"/>
        <v>-4805.6283380866007</v>
      </c>
      <c r="EJ133" s="440">
        <f t="shared" si="654"/>
        <v>-3.0035177113041254</v>
      </c>
      <c r="EK133" s="438" t="s">
        <v>747</v>
      </c>
      <c r="EL133" s="438" t="s">
        <v>762</v>
      </c>
    </row>
    <row r="134" spans="1:142" ht="30">
      <c r="A134" s="690"/>
      <c r="B134" s="690"/>
      <c r="C134" s="690"/>
      <c r="D134" s="690"/>
      <c r="E134" s="690"/>
      <c r="F134" s="690"/>
      <c r="G134" s="690"/>
      <c r="H134" s="690"/>
      <c r="I134" s="690"/>
      <c r="J134" s="690"/>
      <c r="K134" s="690"/>
      <c r="L134" s="690"/>
      <c r="M134" s="690"/>
      <c r="N134" s="690"/>
      <c r="O134" s="690"/>
      <c r="P134" s="690"/>
      <c r="Q134" s="690"/>
      <c r="R134" s="690"/>
      <c r="S134" s="690"/>
      <c r="T134" s="690"/>
      <c r="U134" s="690"/>
      <c r="V134" s="690"/>
      <c r="W134" s="690"/>
      <c r="X134" s="690"/>
      <c r="Y134" s="690"/>
      <c r="Z134" s="690"/>
      <c r="AA134" s="420">
        <f t="shared" si="1127"/>
        <v>133</v>
      </c>
      <c r="AB134" s="435" t="s">
        <v>63</v>
      </c>
      <c r="AC134" s="422" t="s">
        <v>394</v>
      </c>
      <c r="AD134" s="422" t="s">
        <v>326</v>
      </c>
      <c r="AE134" s="422">
        <v>32.428571428571502</v>
      </c>
      <c r="AF134" s="422">
        <f>'SSS1 ATTENDANCE '!FJ140</f>
        <v>0</v>
      </c>
      <c r="AG134" s="422">
        <f>'SSS1 ATTENDANCE '!FH140</f>
        <v>0</v>
      </c>
      <c r="AH134" s="422">
        <f>'SSS1 ATTENDANCE '!FI140</f>
        <v>0</v>
      </c>
      <c r="AI134" s="436" t="s">
        <v>706</v>
      </c>
      <c r="AJ134" s="437">
        <v>40881</v>
      </c>
      <c r="AK134" s="435" t="s">
        <v>396</v>
      </c>
      <c r="AL134" s="424">
        <v>25</v>
      </c>
      <c r="AM134" s="422">
        <v>95.392857142857096</v>
      </c>
      <c r="AN134" s="438">
        <v>4</v>
      </c>
      <c r="AO134" s="422" t="str">
        <f t="shared" si="644"/>
        <v>3</v>
      </c>
      <c r="AP134" s="438">
        <v>5</v>
      </c>
      <c r="AQ134" s="422">
        <v>4</v>
      </c>
      <c r="AR134" s="438">
        <v>4</v>
      </c>
      <c r="AS134" s="438">
        <v>4</v>
      </c>
      <c r="AT134" s="438">
        <v>4</v>
      </c>
      <c r="AU134" s="438">
        <v>3</v>
      </c>
      <c r="AV134" s="438">
        <v>4</v>
      </c>
      <c r="AW134" s="438">
        <v>4</v>
      </c>
      <c r="AX134" s="438">
        <v>3</v>
      </c>
      <c r="AY134" s="438">
        <v>4</v>
      </c>
      <c r="AZ134" s="438">
        <v>3</v>
      </c>
      <c r="BA134" s="438">
        <v>3</v>
      </c>
      <c r="BB134" s="438">
        <v>3</v>
      </c>
      <c r="BC134" s="438">
        <v>4</v>
      </c>
      <c r="BD134" s="438">
        <v>4</v>
      </c>
      <c r="BE134" s="438">
        <v>4</v>
      </c>
      <c r="BF134" s="438">
        <v>3</v>
      </c>
      <c r="BG134" s="438">
        <v>3</v>
      </c>
      <c r="BH134" s="438">
        <v>3</v>
      </c>
      <c r="BI134" s="438">
        <v>5</v>
      </c>
      <c r="BJ134" s="438">
        <v>4</v>
      </c>
      <c r="BK134" s="438">
        <v>3</v>
      </c>
      <c r="BL134" s="438">
        <v>5</v>
      </c>
      <c r="BM134" s="438">
        <v>3</v>
      </c>
      <c r="BN134" s="422" t="s">
        <v>532</v>
      </c>
      <c r="BO134" s="438">
        <v>-33.392857142857103</v>
      </c>
      <c r="BP134" s="438">
        <v>-506.32142857142799</v>
      </c>
      <c r="BQ134" s="422">
        <f t="shared" si="1087"/>
        <v>-539.7142857142851</v>
      </c>
      <c r="BR134" s="438" t="str">
        <f t="shared" si="1088"/>
        <v/>
      </c>
      <c r="BS134" s="422">
        <v>-33.392857142857103</v>
      </c>
      <c r="BT134" s="438">
        <v>-377.53571428571399</v>
      </c>
      <c r="BU134" s="422">
        <f t="shared" si="1089"/>
        <v>-410.9285714285711</v>
      </c>
      <c r="BV134" s="438" t="str">
        <f t="shared" si="1090"/>
        <v/>
      </c>
      <c r="BW134" s="422">
        <v>-33.392857142857103</v>
      </c>
      <c r="BX134" s="422">
        <v>-363.82142857142799</v>
      </c>
      <c r="BY134" s="422">
        <f t="shared" si="1091"/>
        <v>-397.2142857142851</v>
      </c>
      <c r="BZ134" s="438" t="str">
        <f t="shared" si="1092"/>
        <v/>
      </c>
      <c r="CA134" s="422">
        <v>-33.392857142857103</v>
      </c>
      <c r="CB134" s="422">
        <v>-380.357142857143</v>
      </c>
      <c r="CC134" s="422">
        <f t="shared" si="1093"/>
        <v>-413.75000000000011</v>
      </c>
      <c r="CD134" s="438" t="str">
        <f t="shared" si="1094"/>
        <v/>
      </c>
      <c r="CE134" s="422">
        <v>35</v>
      </c>
      <c r="CF134" s="422">
        <v>-367.42857142857201</v>
      </c>
      <c r="CG134" s="422">
        <f t="shared" si="1095"/>
        <v>-332.42857142857201</v>
      </c>
      <c r="CH134" s="438" t="str">
        <f t="shared" si="1096"/>
        <v/>
      </c>
      <c r="CI134" s="422">
        <v>-33.392857142857103</v>
      </c>
      <c r="CJ134" s="422">
        <v>-194.96428571428501</v>
      </c>
      <c r="CK134" s="422">
        <f t="shared" si="1097"/>
        <v>-228.35714285714212</v>
      </c>
      <c r="CL134" s="438" t="str">
        <f t="shared" si="1098"/>
        <v/>
      </c>
      <c r="CM134" s="422">
        <v>-33.392857142857103</v>
      </c>
      <c r="CN134" s="422"/>
      <c r="CO134" s="422"/>
      <c r="CP134" s="422">
        <f t="shared" ref="CP134" si="1131">CM134</f>
        <v>-33.392857142857103</v>
      </c>
      <c r="CQ134" s="422">
        <v>11.3879310344829</v>
      </c>
      <c r="CR134" s="422">
        <f t="shared" si="1100"/>
        <v>-22.004926108374203</v>
      </c>
      <c r="CS134" s="438" t="str">
        <f t="shared" si="1101"/>
        <v/>
      </c>
      <c r="CT134" s="422"/>
      <c r="CU134" s="422"/>
      <c r="CV134" s="422">
        <f t="shared" si="1102"/>
        <v>0</v>
      </c>
      <c r="CW134" s="438" t="str">
        <f t="shared" si="1103"/>
        <v/>
      </c>
      <c r="CX134" s="422">
        <v>35</v>
      </c>
      <c r="CY134" s="422">
        <v>-380.357142857143</v>
      </c>
      <c r="CZ134" s="422">
        <f t="shared" si="1104"/>
        <v>-345.357142857143</v>
      </c>
      <c r="DA134" s="438" t="str">
        <f t="shared" si="1105"/>
        <v/>
      </c>
      <c r="DB134" s="422">
        <f t="shared" si="1122"/>
        <v>35</v>
      </c>
      <c r="DC134" s="422">
        <v>-306.96428571428601</v>
      </c>
      <c r="DD134" s="422">
        <f t="shared" si="1106"/>
        <v>-271.96428571428601</v>
      </c>
      <c r="DE134" s="422" t="str">
        <f t="shared" si="1107"/>
        <v/>
      </c>
      <c r="DF134" s="422">
        <f t="shared" si="1108"/>
        <v>35</v>
      </c>
      <c r="DG134" s="422">
        <v>-380.357142857143</v>
      </c>
      <c r="DH134" s="422">
        <f t="shared" si="1109"/>
        <v>-345.357142857143</v>
      </c>
      <c r="DI134" s="422" t="str">
        <f t="shared" si="1110"/>
        <v/>
      </c>
      <c r="DJ134" s="422">
        <f t="shared" si="1123"/>
        <v>35</v>
      </c>
      <c r="DK134" s="422">
        <v>24.249999999999901</v>
      </c>
      <c r="DL134" s="422">
        <f t="shared" si="1111"/>
        <v>59.249999999999901</v>
      </c>
      <c r="DM134" s="422" t="str">
        <f t="shared" si="1112"/>
        <v>C5</v>
      </c>
      <c r="DN134" s="422">
        <f t="shared" si="1124"/>
        <v>35</v>
      </c>
      <c r="DO134" s="422">
        <v>-31.892857142857199</v>
      </c>
      <c r="DP134" s="422">
        <f t="shared" si="1113"/>
        <v>3.1071428571428008</v>
      </c>
      <c r="DQ134" s="438" t="str">
        <f t="shared" si="1114"/>
        <v>F9</v>
      </c>
      <c r="DR134" s="422">
        <f t="shared" si="1125"/>
        <v>35</v>
      </c>
      <c r="DS134" s="422">
        <v>-304.32142857142799</v>
      </c>
      <c r="DT134" s="422">
        <f t="shared" si="1115"/>
        <v>-269.32142857142799</v>
      </c>
      <c r="DU134" s="438" t="str">
        <f t="shared" si="1116"/>
        <v/>
      </c>
      <c r="DV134" s="422">
        <f t="shared" si="1126"/>
        <v>35</v>
      </c>
      <c r="DW134" s="422">
        <v>37.928571428571402</v>
      </c>
      <c r="DX134" s="422">
        <f t="shared" si="1117"/>
        <v>72.928571428571402</v>
      </c>
      <c r="DY134" s="438" t="str">
        <f t="shared" si="1118"/>
        <v>B2</v>
      </c>
      <c r="DZ134" s="422">
        <f t="shared" si="1119"/>
        <v>35</v>
      </c>
      <c r="EA134" s="422">
        <v>-54.750000000000099</v>
      </c>
      <c r="EB134" s="422">
        <f t="shared" si="1120"/>
        <v>-19.750000000000099</v>
      </c>
      <c r="EC134" s="438" t="str">
        <f t="shared" si="1121"/>
        <v/>
      </c>
      <c r="ED134" s="422">
        <f t="shared" si="643"/>
        <v>-3460.8620689655154</v>
      </c>
      <c r="EE134" s="422">
        <f t="shared" si="650"/>
        <v>-216.30387931034471</v>
      </c>
      <c r="EF134" s="438" t="str">
        <f t="shared" si="651"/>
        <v/>
      </c>
      <c r="EG134" s="422" t="str">
        <f t="shared" si="652"/>
        <v/>
      </c>
      <c r="EH134" s="439">
        <v>1</v>
      </c>
      <c r="EI134" s="422">
        <f t="shared" si="653"/>
        <v>-3460.8620689655154</v>
      </c>
      <c r="EJ134" s="440">
        <f t="shared" si="654"/>
        <v>-2.1630387931034472</v>
      </c>
      <c r="EK134" s="438" t="s">
        <v>573</v>
      </c>
      <c r="EL134" s="438" t="s">
        <v>762</v>
      </c>
    </row>
    <row r="135" spans="1:142" ht="30">
      <c r="A135" s="690"/>
      <c r="B135" s="690"/>
      <c r="C135" s="690"/>
      <c r="D135" s="690"/>
      <c r="E135" s="690"/>
      <c r="F135" s="690"/>
      <c r="G135" s="690"/>
      <c r="H135" s="690"/>
      <c r="I135" s="690"/>
      <c r="J135" s="690"/>
      <c r="K135" s="690"/>
      <c r="L135" s="690"/>
      <c r="M135" s="690"/>
      <c r="N135" s="690"/>
      <c r="O135" s="690"/>
      <c r="P135" s="690"/>
      <c r="Q135" s="690"/>
      <c r="R135" s="690"/>
      <c r="S135" s="690"/>
      <c r="T135" s="690"/>
      <c r="U135" s="690"/>
      <c r="V135" s="690"/>
      <c r="W135" s="690"/>
      <c r="X135" s="690"/>
      <c r="Y135" s="690"/>
      <c r="Z135" s="690"/>
      <c r="AA135" s="420">
        <f t="shared" si="1127"/>
        <v>134</v>
      </c>
      <c r="AB135" s="435" t="s">
        <v>57</v>
      </c>
      <c r="AC135" s="422" t="s">
        <v>394</v>
      </c>
      <c r="AD135" s="422" t="s">
        <v>326</v>
      </c>
      <c r="AE135" s="422">
        <v>32.571428571428598</v>
      </c>
      <c r="AF135" s="422">
        <f>'SSS1 ATTENDANCE '!FJ141</f>
        <v>0</v>
      </c>
      <c r="AG135" s="422">
        <f>'SSS1 ATTENDANCE '!FH141</f>
        <v>0</v>
      </c>
      <c r="AH135" s="422">
        <f>'SSS1 ATTENDANCE '!FI141</f>
        <v>0</v>
      </c>
      <c r="AI135" s="436" t="s">
        <v>707</v>
      </c>
      <c r="AJ135" s="437">
        <v>41122</v>
      </c>
      <c r="AK135" s="435" t="s">
        <v>396</v>
      </c>
      <c r="AL135" s="424">
        <v>25</v>
      </c>
      <c r="AM135" s="422">
        <v>95.928571428571402</v>
      </c>
      <c r="AN135" s="438">
        <v>4</v>
      </c>
      <c r="AO135" s="422" t="str">
        <f t="shared" si="644"/>
        <v>3</v>
      </c>
      <c r="AP135" s="438">
        <v>5</v>
      </c>
      <c r="AQ135" s="422">
        <v>4</v>
      </c>
      <c r="AR135" s="438">
        <v>4</v>
      </c>
      <c r="AS135" s="438">
        <v>4</v>
      </c>
      <c r="AT135" s="438">
        <v>4</v>
      </c>
      <c r="AU135" s="438">
        <v>3</v>
      </c>
      <c r="AV135" s="438">
        <v>4</v>
      </c>
      <c r="AW135" s="438">
        <v>4</v>
      </c>
      <c r="AX135" s="438">
        <v>3</v>
      </c>
      <c r="AY135" s="438">
        <v>4</v>
      </c>
      <c r="AZ135" s="438">
        <v>3</v>
      </c>
      <c r="BA135" s="438">
        <v>3</v>
      </c>
      <c r="BB135" s="438">
        <v>3</v>
      </c>
      <c r="BC135" s="438">
        <v>4</v>
      </c>
      <c r="BD135" s="438">
        <v>4</v>
      </c>
      <c r="BE135" s="438">
        <v>4</v>
      </c>
      <c r="BF135" s="438">
        <v>3</v>
      </c>
      <c r="BG135" s="438">
        <v>3</v>
      </c>
      <c r="BH135" s="438">
        <v>3</v>
      </c>
      <c r="BI135" s="438">
        <v>5</v>
      </c>
      <c r="BJ135" s="438">
        <v>4</v>
      </c>
      <c r="BK135" s="438">
        <v>3</v>
      </c>
      <c r="BL135" s="438">
        <v>5</v>
      </c>
      <c r="BM135" s="438">
        <v>3</v>
      </c>
      <c r="BN135" s="422" t="s">
        <v>533</v>
      </c>
      <c r="BO135" s="422">
        <v>-33.928571428571402</v>
      </c>
      <c r="BP135" s="422">
        <v>-510.5</v>
      </c>
      <c r="BQ135" s="422">
        <v>100</v>
      </c>
      <c r="BR135" s="438" t="s">
        <v>749</v>
      </c>
      <c r="BS135" s="422">
        <v>-33.928571428571402</v>
      </c>
      <c r="BT135" s="422">
        <v>-380.78571428571399</v>
      </c>
      <c r="BU135" s="422">
        <v>100</v>
      </c>
      <c r="BV135" s="438" t="s">
        <v>749</v>
      </c>
      <c r="BW135" s="422">
        <v>-33.928571428571402</v>
      </c>
      <c r="BX135" s="422">
        <v>-366.92857142857099</v>
      </c>
      <c r="BY135" s="422">
        <v>100</v>
      </c>
      <c r="BZ135" s="422" t="str">
        <f t="shared" ref="BZ135" si="1132">BV135</f>
        <v>Grades</v>
      </c>
      <c r="CA135" s="422">
        <v>-33.928571428571402</v>
      </c>
      <c r="CB135" s="422">
        <v>-383.57142857142901</v>
      </c>
      <c r="CC135" s="422">
        <v>100</v>
      </c>
      <c r="CD135" s="422" t="str">
        <f t="shared" ref="CD135" si="1133">BZ135</f>
        <v>Grades</v>
      </c>
      <c r="CE135" s="422">
        <f t="shared" ref="CE135" si="1134">CA135</f>
        <v>-33.928571428571402</v>
      </c>
      <c r="CF135" s="422">
        <v>-370.57142857142901</v>
      </c>
      <c r="CG135" s="422">
        <v>100</v>
      </c>
      <c r="CH135" s="422" t="str">
        <f t="shared" ref="CH135" si="1135">CD135</f>
        <v>Grades</v>
      </c>
      <c r="CI135" s="422">
        <v>-33.928571428571402</v>
      </c>
      <c r="CJ135" s="422">
        <v>-196.78571428571399</v>
      </c>
      <c r="CK135" s="422">
        <v>100</v>
      </c>
      <c r="CL135" s="422" t="str">
        <f t="shared" ref="CL135" si="1136">CH135</f>
        <v>Grades</v>
      </c>
      <c r="CM135" s="422">
        <v>-33.928571428571402</v>
      </c>
      <c r="CN135" s="422">
        <v>60</v>
      </c>
      <c r="CO135" s="422"/>
      <c r="CP135" s="422">
        <v>40</v>
      </c>
      <c r="CQ135" s="422">
        <v>11.103448275862201</v>
      </c>
      <c r="CR135" s="422">
        <v>100</v>
      </c>
      <c r="CS135" s="438" t="str">
        <f t="shared" ref="CS135" si="1137">CL135</f>
        <v>Grades</v>
      </c>
      <c r="CT135" s="422">
        <v>-80.526315789473699</v>
      </c>
      <c r="CU135" s="422">
        <v>-422.10526315789502</v>
      </c>
      <c r="CV135" s="422">
        <v>100</v>
      </c>
      <c r="CW135" s="438" t="str">
        <f t="shared" ref="CW135" si="1138">CS135</f>
        <v>Grades</v>
      </c>
      <c r="CX135" s="422">
        <v>-103.333333333333</v>
      </c>
      <c r="CY135" s="422">
        <v>-383.57142857142901</v>
      </c>
      <c r="CZ135" s="422">
        <v>100</v>
      </c>
      <c r="DA135" s="438" t="str">
        <f t="shared" ref="DA135" si="1139">CW135</f>
        <v>Grades</v>
      </c>
      <c r="DB135" s="422">
        <v>-340</v>
      </c>
      <c r="DC135" s="422">
        <v>-309.642857142857</v>
      </c>
      <c r="DD135" s="422">
        <v>100</v>
      </c>
      <c r="DE135" s="422" t="str">
        <f t="shared" ref="DE135" si="1140">DA135</f>
        <v>Grades</v>
      </c>
      <c r="DF135" s="422">
        <v>40</v>
      </c>
      <c r="DG135" s="422">
        <v>-383.57142857142901</v>
      </c>
      <c r="DH135" s="422">
        <v>100</v>
      </c>
      <c r="DI135" s="422" t="str">
        <f t="shared" ref="DI135" si="1141">DE135</f>
        <v>Grades</v>
      </c>
      <c r="DJ135" s="422">
        <v>-150</v>
      </c>
      <c r="DK135" s="422">
        <v>24.071428571428498</v>
      </c>
      <c r="DL135" s="422">
        <v>100</v>
      </c>
      <c r="DM135" s="422" t="str">
        <f t="shared" ref="DM135" si="1142">DI135</f>
        <v>Grades</v>
      </c>
      <c r="DN135" s="422">
        <v>-150</v>
      </c>
      <c r="DO135" s="422">
        <v>-32.5</v>
      </c>
      <c r="DP135" s="422">
        <v>100</v>
      </c>
      <c r="DQ135" s="438" t="str">
        <f t="shared" ref="DQ135" si="1143">DM135</f>
        <v>Grades</v>
      </c>
      <c r="DR135" s="422">
        <v>-530</v>
      </c>
      <c r="DS135" s="422">
        <v>-306.92857142857099</v>
      </c>
      <c r="DT135" s="422">
        <v>100</v>
      </c>
      <c r="DU135" s="438" t="str">
        <f t="shared" ref="DU135" si="1144">DQ135</f>
        <v>Grades</v>
      </c>
      <c r="DV135" s="422">
        <v>-150</v>
      </c>
      <c r="DW135" s="422">
        <v>37.857142857142797</v>
      </c>
      <c r="DX135" s="422">
        <v>100</v>
      </c>
      <c r="DY135" s="438" t="str">
        <f t="shared" ref="DY135" si="1145">DU135</f>
        <v>Grades</v>
      </c>
      <c r="DZ135" s="422">
        <v>40</v>
      </c>
      <c r="EA135" s="422">
        <v>-55.500000000000099</v>
      </c>
      <c r="EB135" s="422">
        <v>100</v>
      </c>
      <c r="EC135" s="438" t="str">
        <f t="shared" ref="EC135" si="1146">DY135</f>
        <v>Grades</v>
      </c>
      <c r="ED135" s="422">
        <f t="shared" si="643"/>
        <v>1600</v>
      </c>
      <c r="EE135" s="422">
        <f t="shared" si="650"/>
        <v>100</v>
      </c>
      <c r="EF135" s="438" t="str">
        <f t="shared" si="651"/>
        <v>A1</v>
      </c>
      <c r="EG135" s="422" t="str">
        <f t="shared" si="652"/>
        <v>DISTINTION</v>
      </c>
      <c r="EH135" s="439">
        <v>1</v>
      </c>
      <c r="EI135" s="422">
        <f t="shared" si="653"/>
        <v>1600</v>
      </c>
      <c r="EJ135" s="440">
        <f t="shared" si="654"/>
        <v>1</v>
      </c>
      <c r="EK135" s="438" t="s">
        <v>573</v>
      </c>
      <c r="EL135" s="438" t="s">
        <v>762</v>
      </c>
    </row>
    <row r="136" spans="1:142" ht="30">
      <c r="A136" s="690"/>
      <c r="B136" s="690"/>
      <c r="C136" s="690"/>
      <c r="D136" s="690"/>
      <c r="E136" s="690"/>
      <c r="F136" s="690"/>
      <c r="G136" s="690"/>
      <c r="H136" s="690"/>
      <c r="I136" s="690"/>
      <c r="J136" s="690"/>
      <c r="K136" s="690"/>
      <c r="L136" s="690"/>
      <c r="M136" s="690"/>
      <c r="N136" s="690"/>
      <c r="O136" s="690"/>
      <c r="P136" s="690"/>
      <c r="Q136" s="690"/>
      <c r="R136" s="690"/>
      <c r="S136" s="690"/>
      <c r="T136" s="690"/>
      <c r="U136" s="690"/>
      <c r="V136" s="690"/>
      <c r="W136" s="690"/>
      <c r="X136" s="690"/>
      <c r="Y136" s="690"/>
      <c r="Z136" s="690"/>
      <c r="AA136" s="420">
        <f t="shared" si="1127"/>
        <v>135</v>
      </c>
      <c r="AB136" s="435" t="s">
        <v>58</v>
      </c>
      <c r="AC136" s="422" t="s">
        <v>394</v>
      </c>
      <c r="AD136" s="422" t="s">
        <v>326</v>
      </c>
      <c r="AE136" s="422">
        <v>32.714285714285701</v>
      </c>
      <c r="AF136" s="422">
        <f>'SSS1 ATTENDANCE '!FJ142</f>
        <v>0</v>
      </c>
      <c r="AG136" s="422">
        <f>'SSS1 ATTENDANCE '!FH142</f>
        <v>0</v>
      </c>
      <c r="AH136" s="422">
        <f>'SSS1 ATTENDANCE '!FI142</f>
        <v>0</v>
      </c>
      <c r="AI136" s="436" t="s">
        <v>708</v>
      </c>
      <c r="AJ136" s="437">
        <v>40844</v>
      </c>
      <c r="AK136" s="435" t="s">
        <v>396</v>
      </c>
      <c r="AL136" s="424">
        <v>25</v>
      </c>
      <c r="AM136" s="422">
        <v>96.464285714285694</v>
      </c>
      <c r="AN136" s="438">
        <v>4</v>
      </c>
      <c r="AO136" s="422" t="str">
        <f t="shared" si="644"/>
        <v>3</v>
      </c>
      <c r="AP136" s="438">
        <v>5</v>
      </c>
      <c r="AQ136" s="422">
        <v>4</v>
      </c>
      <c r="AR136" s="438">
        <v>4</v>
      </c>
      <c r="AS136" s="438">
        <v>4</v>
      </c>
      <c r="AT136" s="438">
        <v>4</v>
      </c>
      <c r="AU136" s="438">
        <v>3</v>
      </c>
      <c r="AV136" s="438">
        <v>4</v>
      </c>
      <c r="AW136" s="438">
        <v>4</v>
      </c>
      <c r="AX136" s="438">
        <v>3</v>
      </c>
      <c r="AY136" s="438">
        <v>4</v>
      </c>
      <c r="AZ136" s="438">
        <v>3</v>
      </c>
      <c r="BA136" s="438">
        <v>3</v>
      </c>
      <c r="BB136" s="438">
        <v>3</v>
      </c>
      <c r="BC136" s="438">
        <v>4</v>
      </c>
      <c r="BD136" s="438">
        <v>4</v>
      </c>
      <c r="BE136" s="438">
        <v>4</v>
      </c>
      <c r="BF136" s="438">
        <v>3</v>
      </c>
      <c r="BG136" s="438">
        <v>3</v>
      </c>
      <c r="BH136" s="438">
        <v>3</v>
      </c>
      <c r="BI136" s="438">
        <v>5</v>
      </c>
      <c r="BJ136" s="438">
        <v>4</v>
      </c>
      <c r="BK136" s="438">
        <v>3</v>
      </c>
      <c r="BL136" s="438">
        <v>5</v>
      </c>
      <c r="BM136" s="438">
        <v>3</v>
      </c>
      <c r="BN136" s="422" t="s">
        <v>534</v>
      </c>
      <c r="BO136" s="438">
        <v>-34.464285714285701</v>
      </c>
      <c r="BP136" s="438">
        <v>-514.67857142857099</v>
      </c>
      <c r="BQ136" s="422">
        <f t="shared" ref="BQ136:BQ141" si="1147">SUM(BO136:BP136)</f>
        <v>-549.14285714285666</v>
      </c>
      <c r="BR136" s="438" t="str">
        <f t="shared" ref="BR136:BR141" si="1148">IF(BQ136&gt;=80,"A1",
IF(BQ136&gt;=75,"A",
IF(BQ136&gt;=70,"B2",
IF(BQ136&gt;=65,"B3",
IF(BQ136&gt;=60,"C4",
IF(BQ136&gt;=55,"C5",
IF(BQ136&gt;=50,"C6",
IF(BQ136&gt;=45,"D7",
IF(BQ136&gt;=40,"E8",
IF(BQ136&gt;=1,"F9",""))))))))))</f>
        <v/>
      </c>
      <c r="BS136" s="422">
        <v>-34.464285714285701</v>
      </c>
      <c r="BT136" s="438">
        <v>-384.03571428571399</v>
      </c>
      <c r="BU136" s="422">
        <f t="shared" ref="BU136:BU141" si="1149">SUM(BS136:BT136)</f>
        <v>-418.49999999999972</v>
      </c>
      <c r="BV136" s="438" t="str">
        <f t="shared" ref="BV136:BV141" si="1150">IF(BU136&gt;=80,"A1",
IF(BU136&gt;=75,"A",
IF(BU136&gt;=70,"B2",
IF(BU136&gt;=65,"B3",
IF(BU136&gt;=60,"C4",
IF(BU136&gt;=55,"C5",
IF(BU136&gt;=50,"C6",
IF(BU136&gt;=45,"D7",
IF(BU136&gt;=40,"E8",
IF(BU136&gt;=1,"F9",""))))))))))</f>
        <v/>
      </c>
      <c r="BW136" s="422">
        <v>-34.464285714285701</v>
      </c>
      <c r="BX136" s="422">
        <v>-370.03571428571399</v>
      </c>
      <c r="BY136" s="422">
        <f t="shared" ref="BY136:BY141" si="1151">SUM(BW136:BX136)</f>
        <v>-404.49999999999972</v>
      </c>
      <c r="BZ136" s="438" t="str">
        <f t="shared" ref="BZ136:BZ141" si="1152">IF(BY136&gt;=80,"A1",
IF(BY136&gt;=75,"A",
IF(BY136&gt;=70,"B2",
IF(BY136&gt;=65,"B3",
IF(BY136&gt;=60,"C4",
IF(BY136&gt;=55,"C5",
IF(BY136&gt;=50,"C6",
IF(BY136&gt;=45,"D7",
IF(BY136&gt;=40,"E8",
IF(BY136&gt;=1,"F9",""))))))))))</f>
        <v/>
      </c>
      <c r="CA136" s="422">
        <v>-34.464285714285701</v>
      </c>
      <c r="CB136" s="422">
        <v>-386.78571428571502</v>
      </c>
      <c r="CC136" s="422">
        <f t="shared" ref="CC136:CC141" si="1153">SUM(CA136:CB136)</f>
        <v>-421.25000000000074</v>
      </c>
      <c r="CD136" s="438" t="str">
        <f t="shared" ref="CD136:CD141" si="1154">IF(CC136&gt;=80,"A1",
IF(CC136&gt;=75,"A",
IF(CC136&gt;=70,"B2",
IF(CC136&gt;=65,"B3",
IF(CC136&gt;=60,"C4",
IF(CC136&gt;=55,"C5",
IF(CC136&gt;=50,"C6",
IF(CC136&gt;=45,"D7",
IF(CC136&gt;=40,"E8",
IF(CC136&gt;=1,"F9",""))))))))))</f>
        <v/>
      </c>
      <c r="CE136" s="422">
        <v>35</v>
      </c>
      <c r="CF136" s="422">
        <v>-373.71428571428601</v>
      </c>
      <c r="CG136" s="422">
        <f t="shared" ref="CG136:CG141" si="1155">SUM(CE136:CF136)</f>
        <v>-338.71428571428601</v>
      </c>
      <c r="CH136" s="438" t="str">
        <f t="shared" ref="CH136:CH141" si="1156">IF(CG136&gt;=80,"A1",
IF(CG136&gt;=75,"A",
IF(CG136&gt;=70,"B2",
IF(CG136&gt;=65,"B3",
IF(CG136&gt;=60,"C4",
IF(CG136&gt;=55,"C5",
IF(CG136&gt;=50,"C6",
IF(CG136&gt;=45,"D7",
IF(CG136&gt;=40,"E8",
IF(CG136&gt;=1,"F9",""))))))))))</f>
        <v/>
      </c>
      <c r="CI136" s="422">
        <v>-34.464285714285701</v>
      </c>
      <c r="CJ136" s="422">
        <v>-198.607142857143</v>
      </c>
      <c r="CK136" s="422">
        <f t="shared" ref="CK136:CK141" si="1157">SUM(CI136:CJ136)</f>
        <v>-233.0714285714287</v>
      </c>
      <c r="CL136" s="438" t="str">
        <f t="shared" ref="CL136:CL141" si="1158">IF(CK136&gt;=80,"A1",
IF(CK136&gt;=75,"A",
IF(CK136&gt;=70,"B2",
IF(CK136&gt;=65,"B3",
IF(CK136&gt;=60,"C4",
IF(CK136&gt;=55,"C5",
IF(CK136&gt;=50,"C6",
IF(CK136&gt;=45,"D7",
IF(CK136&gt;=40,"E8",
IF(CK136&gt;=1,"F9",""))))))))))</f>
        <v/>
      </c>
      <c r="CM136" s="422">
        <v>-34.464285714285701</v>
      </c>
      <c r="CN136" s="422"/>
      <c r="CO136" s="422"/>
      <c r="CP136" s="422">
        <f t="shared" ref="CP136:CP137" si="1159">CM136</f>
        <v>-34.464285714285701</v>
      </c>
      <c r="CQ136" s="422">
        <v>10.8189655172415</v>
      </c>
      <c r="CR136" s="422">
        <f t="shared" ref="CR136:CR141" si="1160">SUM(CP136:CQ136)</f>
        <v>-23.6453201970442</v>
      </c>
      <c r="CS136" s="438" t="str">
        <f t="shared" ref="CS136:CS141" si="1161">IF(CR136&gt;=80,"A1",
IF(CR136&gt;=75,"A",
IF(CR136&gt;=70,"B2",
IF(CR136&gt;=65,"B3",
IF(CR136&gt;=60,"C4",
IF(CR136&gt;=55,"C5",
IF(CR136&gt;=50,"C6",
IF(CR136&gt;=45,"D7",
IF(CR136&gt;=40,"E8",
IF(CR136&gt;=1,"F9",""))))))))))</f>
        <v/>
      </c>
      <c r="CT136" s="422">
        <v>-81.5789473684207</v>
      </c>
      <c r="CU136" s="422">
        <v>-426.31578947368502</v>
      </c>
      <c r="CV136" s="422">
        <f t="shared" ref="CV136:CV141" si="1162">SUM(CT136:CU136)</f>
        <v>-507.89473684210571</v>
      </c>
      <c r="CW136" s="438" t="str">
        <f t="shared" ref="CW136:CW141" si="1163">IF(CV136&gt;=80,"A1",
IF(CV136&gt;=75,"A",
IF(CV136&gt;=70,"B2",
IF(CV136&gt;=65,"B3",
IF(CV136&gt;=60,"C4",
IF(CV136&gt;=55,"C5",
IF(CV136&gt;=50,"C6",
IF(CV136&gt;=45,"D7",
IF(CV136&gt;=40,"E8",
IF(CV136&gt;=1,"F9",""))))))))))</f>
        <v/>
      </c>
      <c r="CX136" s="422">
        <v>-105.833333333333</v>
      </c>
      <c r="CY136" s="422">
        <v>-386.78571428571502</v>
      </c>
      <c r="CZ136" s="422">
        <f t="shared" ref="CZ136:CZ141" si="1164">SUM(CX136:CY136)</f>
        <v>-492.61904761904805</v>
      </c>
      <c r="DA136" s="438" t="str">
        <f t="shared" ref="DA136:DA141" si="1165">IF(CZ136&gt;=80,"A1",
IF(CZ136&gt;=75,"A",
IF(CZ136&gt;=70,"B2",
IF(CZ136&gt;=65,"B3",
IF(CZ136&gt;=60,"C4",
IF(CZ136&gt;=55,"C5",
IF(CZ136&gt;=50,"C6",
IF(CZ136&gt;=45,"D7",
IF(CZ136&gt;=40,"E8",
IF(CZ136&gt;=1,"F9",""))))))))))</f>
        <v/>
      </c>
      <c r="DB136" s="422">
        <v>-350</v>
      </c>
      <c r="DC136" s="422">
        <v>-312.32142857142901</v>
      </c>
      <c r="DD136" s="422">
        <f t="shared" ref="DD136:DD141" si="1166">SUM(DB136:DC136)</f>
        <v>-662.32142857142901</v>
      </c>
      <c r="DE136" s="422" t="str">
        <f t="shared" ref="DE136:DE141" si="1167">IF(DD136&gt;=80,"A1",
IF(DD136&gt;=75,"A",
IF(DD136&gt;=70,"B2",
IF(DD136&gt;=65,"B3",
IF(DD136&gt;=60,"C4",
IF(DD136&gt;=55,"C5",
IF(DD136&gt;=50,"C6",
IF(DD136&gt;=45,"D7",
IF(DD136&gt;=40,"E8",
IF(DD136&gt;=1,"F9",""))))))))))</f>
        <v/>
      </c>
      <c r="DF136" s="422">
        <f t="shared" ref="DF136:DF141" si="1168">DB136</f>
        <v>-350</v>
      </c>
      <c r="DG136" s="422">
        <v>-386.78571428571502</v>
      </c>
      <c r="DH136" s="422">
        <f t="shared" ref="DH136:DH141" si="1169">SUM(DF136:DG136)</f>
        <v>-736.78571428571502</v>
      </c>
      <c r="DI136" s="422" t="str">
        <f t="shared" ref="DI136:DI141" si="1170">IF(DH136&gt;=80,"A1",
IF(DH136&gt;=75,"A",
IF(DH136&gt;=70,"B2",
IF(DH136&gt;=65,"B3",
IF(DH136&gt;=60,"C4",
IF(DH136&gt;=55,"C5",
IF(DH136&gt;=50,"C6",
IF(DH136&gt;=45,"D7",
IF(DH136&gt;=40,"E8",
IF(DH136&gt;=1,"F9",""))))))))))</f>
        <v/>
      </c>
      <c r="DJ136" s="422">
        <v>-155</v>
      </c>
      <c r="DK136" s="422">
        <v>23.8928571428571</v>
      </c>
      <c r="DL136" s="422">
        <f t="shared" ref="DL136:DL141" si="1171">SUM(DJ136:DK136)</f>
        <v>-131.10714285714289</v>
      </c>
      <c r="DM136" s="422" t="str">
        <f t="shared" ref="DM136:DM141" si="1172">IF(DL136&gt;=80,"A1",
IF(DL136&gt;=75,"A",
IF(DL136&gt;=70,"B2",
IF(DL136&gt;=65,"B3",
IF(DL136&gt;=60,"C4",
IF(DL136&gt;=55,"C5",
IF(DL136&gt;=50,"C6",
IF(DL136&gt;=45,"D7",
IF(DL136&gt;=40,"E8",
IF(DL136&gt;=1,"F9",""))))))))))</f>
        <v/>
      </c>
      <c r="DN136" s="422">
        <v>-155</v>
      </c>
      <c r="DO136" s="422">
        <v>-33.107142857142897</v>
      </c>
      <c r="DP136" s="422">
        <f t="shared" ref="DP136:DP141" si="1173">SUM(DN136:DO136)</f>
        <v>-188.10714285714289</v>
      </c>
      <c r="DQ136" s="438" t="str">
        <f t="shared" ref="DQ136:DQ141" si="1174">IF(DP136&gt;=80,"A1",
IF(DP136&gt;=75,"A",
IF(DP136&gt;=70,"B2",
IF(DP136&gt;=65,"B3",
IF(DP136&gt;=60,"C4",
IF(DP136&gt;=55,"C5",
IF(DP136&gt;=50,"C6",
IF(DP136&gt;=45,"D7",
IF(DP136&gt;=40,"E8",
IF(DP136&gt;=1,"F9",""))))))))))</f>
        <v/>
      </c>
      <c r="DR136" s="422">
        <v>-545</v>
      </c>
      <c r="DS136" s="422">
        <v>-309.53571428571399</v>
      </c>
      <c r="DT136" s="422">
        <f t="shared" ref="DT136:DT141" si="1175">SUM(DR136:DS136)</f>
        <v>-854.53571428571399</v>
      </c>
      <c r="DU136" s="438" t="str">
        <f t="shared" ref="DU136:DU141" si="1176">IF(DT136&gt;=80,"A1",
IF(DT136&gt;=75,"A",
IF(DT136&gt;=70,"B2",
IF(DT136&gt;=65,"B3",
IF(DT136&gt;=60,"C4",
IF(DT136&gt;=55,"C5",
IF(DT136&gt;=50,"C6",
IF(DT136&gt;=45,"D7",
IF(DT136&gt;=40,"E8",
IF(DT136&gt;=1,"F9",""))))))))))</f>
        <v/>
      </c>
      <c r="DV136" s="422">
        <v>-155</v>
      </c>
      <c r="DW136" s="422">
        <v>37.785714285714199</v>
      </c>
      <c r="DX136" s="422">
        <f t="shared" ref="DX136:DX141" si="1177">SUM(DV136:DW136)</f>
        <v>-117.21428571428581</v>
      </c>
      <c r="DY136" s="438" t="str">
        <f t="shared" ref="DY136:DY141" si="1178">IF(DX136&gt;=80,"A1",
IF(DX136&gt;=75,"A",
IF(DX136&gt;=70,"B2",
IF(DX136&gt;=65,"B3",
IF(DX136&gt;=60,"C4",
IF(DX136&gt;=55,"C5",
IF(DX136&gt;=50,"C6",
IF(DX136&gt;=45,"D7",
IF(DX136&gt;=40,"E8",
IF(DX136&gt;=1,"F9",""))))))))))</f>
        <v/>
      </c>
      <c r="DZ136" s="422">
        <f t="shared" ref="DZ136:DZ141" si="1179">DV136</f>
        <v>-155</v>
      </c>
      <c r="EA136" s="422">
        <v>-56.25</v>
      </c>
      <c r="EB136" s="422">
        <f t="shared" ref="EB136:EB141" si="1180">SUM(DZ136:EA136)</f>
        <v>-211.25</v>
      </c>
      <c r="EC136" s="438" t="str">
        <f t="shared" ref="EC136:EC141" si="1181">IF(EB136&gt;=80,"A1",
IF(EB136&gt;=75,"A",
IF(EB136&gt;=70,"B2",
IF(EB136&gt;=65,"B3",
IF(EB136&gt;=60,"C4",
IF(EB136&gt;=55,"C5",
IF(EB136&gt;=50,"C6",
IF(EB136&gt;=45,"D7",
IF(EB136&gt;=40,"E8",
IF(EB136&gt;=1,"F9",""))))))))))</f>
        <v/>
      </c>
      <c r="ED136" s="422">
        <f t="shared" si="643"/>
        <v>-6290.6591046582007</v>
      </c>
      <c r="EE136" s="422">
        <f t="shared" si="650"/>
        <v>-393.16619404113754</v>
      </c>
      <c r="EF136" s="438" t="str">
        <f t="shared" si="651"/>
        <v/>
      </c>
      <c r="EG136" s="422" t="str">
        <f t="shared" si="652"/>
        <v/>
      </c>
      <c r="EH136" s="439">
        <v>1</v>
      </c>
      <c r="EI136" s="422">
        <f t="shared" si="653"/>
        <v>-6290.6591046582007</v>
      </c>
      <c r="EJ136" s="440">
        <f t="shared" si="654"/>
        <v>-3.9316619404113755</v>
      </c>
      <c r="EK136" s="438" t="s">
        <v>573</v>
      </c>
      <c r="EL136" s="438" t="s">
        <v>762</v>
      </c>
    </row>
    <row r="137" spans="1:142" ht="30">
      <c r="A137" s="690"/>
      <c r="B137" s="690"/>
      <c r="C137" s="690"/>
      <c r="D137" s="690"/>
      <c r="E137" s="690"/>
      <c r="F137" s="690"/>
      <c r="G137" s="690"/>
      <c r="H137" s="690"/>
      <c r="I137" s="690"/>
      <c r="J137" s="690"/>
      <c r="K137" s="690"/>
      <c r="L137" s="690"/>
      <c r="M137" s="690"/>
      <c r="N137" s="690"/>
      <c r="O137" s="690"/>
      <c r="P137" s="690"/>
      <c r="Q137" s="690"/>
      <c r="R137" s="690"/>
      <c r="S137" s="690"/>
      <c r="T137" s="690"/>
      <c r="U137" s="690"/>
      <c r="V137" s="690"/>
      <c r="W137" s="690"/>
      <c r="X137" s="690"/>
      <c r="Y137" s="690"/>
      <c r="Z137" s="690"/>
      <c r="AA137" s="420">
        <f t="shared" si="1127"/>
        <v>136</v>
      </c>
      <c r="AB137" s="435" t="s">
        <v>59</v>
      </c>
      <c r="AC137" s="422" t="s">
        <v>394</v>
      </c>
      <c r="AD137" s="422" t="s">
        <v>326</v>
      </c>
      <c r="AE137" s="422">
        <v>32.857142857142897</v>
      </c>
      <c r="AF137" s="422">
        <f>'SSS1 ATTENDANCE '!FJ143</f>
        <v>0</v>
      </c>
      <c r="AG137" s="422">
        <f>'SSS1 ATTENDANCE '!FH143</f>
        <v>0</v>
      </c>
      <c r="AH137" s="422">
        <f>'SSS1 ATTENDANCE '!FI143</f>
        <v>0</v>
      </c>
      <c r="AI137" s="436" t="s">
        <v>709</v>
      </c>
      <c r="AJ137" s="437">
        <v>40754</v>
      </c>
      <c r="AK137" s="435" t="s">
        <v>396</v>
      </c>
      <c r="AL137" s="424">
        <v>25</v>
      </c>
      <c r="AM137" s="422">
        <v>97</v>
      </c>
      <c r="AN137" s="438">
        <v>4</v>
      </c>
      <c r="AO137" s="422" t="str">
        <f t="shared" si="644"/>
        <v>3</v>
      </c>
      <c r="AP137" s="438">
        <v>5</v>
      </c>
      <c r="AQ137" s="422">
        <v>4</v>
      </c>
      <c r="AR137" s="438">
        <v>4</v>
      </c>
      <c r="AS137" s="438">
        <v>4</v>
      </c>
      <c r="AT137" s="438">
        <v>4</v>
      </c>
      <c r="AU137" s="438">
        <v>3</v>
      </c>
      <c r="AV137" s="438">
        <v>4</v>
      </c>
      <c r="AW137" s="438">
        <v>4</v>
      </c>
      <c r="AX137" s="438">
        <v>3</v>
      </c>
      <c r="AY137" s="438">
        <v>4</v>
      </c>
      <c r="AZ137" s="438">
        <v>3</v>
      </c>
      <c r="BA137" s="438">
        <v>3</v>
      </c>
      <c r="BB137" s="438">
        <v>3</v>
      </c>
      <c r="BC137" s="438">
        <v>4</v>
      </c>
      <c r="BD137" s="438">
        <v>4</v>
      </c>
      <c r="BE137" s="438">
        <v>4</v>
      </c>
      <c r="BF137" s="438">
        <v>3</v>
      </c>
      <c r="BG137" s="438">
        <v>3</v>
      </c>
      <c r="BH137" s="438">
        <v>3</v>
      </c>
      <c r="BI137" s="438">
        <v>5</v>
      </c>
      <c r="BJ137" s="438">
        <v>4</v>
      </c>
      <c r="BK137" s="438">
        <v>3</v>
      </c>
      <c r="BL137" s="438">
        <v>5</v>
      </c>
      <c r="BM137" s="438">
        <v>3</v>
      </c>
      <c r="BN137" s="422" t="s">
        <v>535</v>
      </c>
      <c r="BO137" s="438">
        <v>-35</v>
      </c>
      <c r="BP137" s="438">
        <v>-518.857142857143</v>
      </c>
      <c r="BQ137" s="422">
        <f t="shared" si="1147"/>
        <v>-553.857142857143</v>
      </c>
      <c r="BR137" s="438" t="str">
        <f t="shared" si="1148"/>
        <v/>
      </c>
      <c r="BS137" s="422">
        <v>-35</v>
      </c>
      <c r="BT137" s="438">
        <v>-387.28571428571399</v>
      </c>
      <c r="BU137" s="422">
        <f t="shared" si="1149"/>
        <v>-422.28571428571399</v>
      </c>
      <c r="BV137" s="438" t="str">
        <f t="shared" si="1150"/>
        <v/>
      </c>
      <c r="BW137" s="422">
        <v>-35</v>
      </c>
      <c r="BX137" s="422">
        <v>-373.142857142857</v>
      </c>
      <c r="BY137" s="422">
        <f t="shared" si="1151"/>
        <v>-408.142857142857</v>
      </c>
      <c r="BZ137" s="438" t="str">
        <f t="shared" si="1152"/>
        <v/>
      </c>
      <c r="CA137" s="422">
        <v>-35</v>
      </c>
      <c r="CB137" s="422">
        <v>-390.00000000000102</v>
      </c>
      <c r="CC137" s="422">
        <f t="shared" si="1153"/>
        <v>-425.00000000000102</v>
      </c>
      <c r="CD137" s="438" t="str">
        <f t="shared" si="1154"/>
        <v/>
      </c>
      <c r="CE137" s="422">
        <v>35</v>
      </c>
      <c r="CF137" s="422">
        <v>-376.857142857143</v>
      </c>
      <c r="CG137" s="422">
        <f t="shared" si="1155"/>
        <v>-341.857142857143</v>
      </c>
      <c r="CH137" s="438" t="str">
        <f t="shared" si="1156"/>
        <v/>
      </c>
      <c r="CI137" s="422">
        <v>-35</v>
      </c>
      <c r="CJ137" s="422">
        <v>-200.42857142857099</v>
      </c>
      <c r="CK137" s="422">
        <f t="shared" si="1157"/>
        <v>-235.42857142857099</v>
      </c>
      <c r="CL137" s="438" t="str">
        <f t="shared" si="1158"/>
        <v/>
      </c>
      <c r="CM137" s="422">
        <v>-35</v>
      </c>
      <c r="CN137" s="422"/>
      <c r="CO137" s="422"/>
      <c r="CP137" s="422">
        <f t="shared" si="1159"/>
        <v>-35</v>
      </c>
      <c r="CQ137" s="422">
        <v>10.534482758620801</v>
      </c>
      <c r="CR137" s="422">
        <f t="shared" si="1160"/>
        <v>-24.465517241379199</v>
      </c>
      <c r="CS137" s="438" t="str">
        <f t="shared" si="1161"/>
        <v/>
      </c>
      <c r="CT137" s="422">
        <v>-82.631578947368695</v>
      </c>
      <c r="CU137" s="422">
        <v>-430.52631578947398</v>
      </c>
      <c r="CV137" s="422">
        <f t="shared" si="1162"/>
        <v>-513.15789473684265</v>
      </c>
      <c r="CW137" s="438" t="str">
        <f t="shared" si="1163"/>
        <v/>
      </c>
      <c r="CX137" s="422">
        <v>-108.333333333333</v>
      </c>
      <c r="CY137" s="422">
        <v>-390.00000000000102</v>
      </c>
      <c r="CZ137" s="422">
        <f t="shared" si="1164"/>
        <v>-498.33333333333405</v>
      </c>
      <c r="DA137" s="438" t="str">
        <f t="shared" si="1165"/>
        <v/>
      </c>
      <c r="DB137" s="422">
        <f t="shared" ref="DB137:DB141" si="1182">CX137</f>
        <v>-108.333333333333</v>
      </c>
      <c r="DC137" s="422">
        <v>-315</v>
      </c>
      <c r="DD137" s="422">
        <f t="shared" si="1166"/>
        <v>-423.33333333333303</v>
      </c>
      <c r="DE137" s="422" t="str">
        <f t="shared" si="1167"/>
        <v/>
      </c>
      <c r="DF137" s="422">
        <f t="shared" si="1168"/>
        <v>-108.333333333333</v>
      </c>
      <c r="DG137" s="422">
        <v>-390.00000000000102</v>
      </c>
      <c r="DH137" s="422">
        <f t="shared" si="1169"/>
        <v>-498.33333333333405</v>
      </c>
      <c r="DI137" s="422" t="str">
        <f t="shared" si="1170"/>
        <v/>
      </c>
      <c r="DJ137" s="422">
        <f t="shared" ref="DJ137:DJ141" si="1183">DF137</f>
        <v>-108.333333333333</v>
      </c>
      <c r="DK137" s="422">
        <v>23.714285714285701</v>
      </c>
      <c r="DL137" s="422">
        <f t="shared" si="1171"/>
        <v>-84.619047619047308</v>
      </c>
      <c r="DM137" s="422" t="str">
        <f t="shared" si="1172"/>
        <v/>
      </c>
      <c r="DN137" s="422">
        <f t="shared" ref="DN137:DN141" si="1184">DJ137</f>
        <v>-108.333333333333</v>
      </c>
      <c r="DO137" s="422">
        <v>-33.714285714285701</v>
      </c>
      <c r="DP137" s="422">
        <f t="shared" si="1173"/>
        <v>-142.0476190476187</v>
      </c>
      <c r="DQ137" s="438" t="str">
        <f t="shared" si="1174"/>
        <v/>
      </c>
      <c r="DR137" s="422">
        <f t="shared" ref="DR137:DR141" si="1185">DN137</f>
        <v>-108.333333333333</v>
      </c>
      <c r="DS137" s="422">
        <v>-312.142857142857</v>
      </c>
      <c r="DT137" s="422">
        <f t="shared" si="1175"/>
        <v>-420.47619047619003</v>
      </c>
      <c r="DU137" s="438" t="str">
        <f t="shared" si="1176"/>
        <v/>
      </c>
      <c r="DV137" s="422">
        <f t="shared" ref="DV137:DV141" si="1186">DR137</f>
        <v>-108.333333333333</v>
      </c>
      <c r="DW137" s="422">
        <v>37.714285714285602</v>
      </c>
      <c r="DX137" s="422">
        <f t="shared" si="1177"/>
        <v>-70.619047619047393</v>
      </c>
      <c r="DY137" s="438" t="str">
        <f t="shared" si="1178"/>
        <v/>
      </c>
      <c r="DZ137" s="422">
        <f t="shared" si="1179"/>
        <v>-108.333333333333</v>
      </c>
      <c r="EA137" s="422">
        <v>-57</v>
      </c>
      <c r="EB137" s="422">
        <f t="shared" si="1180"/>
        <v>-165.333333333333</v>
      </c>
      <c r="EC137" s="438" t="str">
        <f t="shared" si="1181"/>
        <v/>
      </c>
      <c r="ED137" s="422">
        <f t="shared" ref="ED137:ED174" si="1187">SUM(BQ137,BU137,BY137,CC137,CG137,CK137,CR137,CV137,CZ137,DD137,DH137,DL137,DP137,DT137,DX137,EB137)</f>
        <v>-5227.290078644889</v>
      </c>
      <c r="EE137" s="422">
        <f t="shared" si="650"/>
        <v>-326.70562991530556</v>
      </c>
      <c r="EF137" s="438" t="str">
        <f t="shared" si="651"/>
        <v/>
      </c>
      <c r="EG137" s="422" t="str">
        <f t="shared" si="652"/>
        <v/>
      </c>
      <c r="EH137" s="439">
        <v>1</v>
      </c>
      <c r="EI137" s="422">
        <f t="shared" si="653"/>
        <v>-5227.290078644889</v>
      </c>
      <c r="EJ137" s="440">
        <f t="shared" si="654"/>
        <v>-3.2670562991530558</v>
      </c>
      <c r="EK137" s="438" t="s">
        <v>573</v>
      </c>
      <c r="EL137" s="438" t="s">
        <v>762</v>
      </c>
    </row>
    <row r="138" spans="1:142" ht="30">
      <c r="A138" s="690"/>
      <c r="B138" s="690"/>
      <c r="C138" s="690"/>
      <c r="D138" s="690"/>
      <c r="E138" s="690"/>
      <c r="F138" s="690"/>
      <c r="G138" s="690"/>
      <c r="H138" s="690"/>
      <c r="I138" s="690"/>
      <c r="J138" s="690"/>
      <c r="K138" s="690"/>
      <c r="L138" s="690"/>
      <c r="M138" s="690"/>
      <c r="N138" s="690"/>
      <c r="O138" s="690"/>
      <c r="P138" s="690"/>
      <c r="Q138" s="690"/>
      <c r="R138" s="690"/>
      <c r="S138" s="690"/>
      <c r="T138" s="690"/>
      <c r="U138" s="690"/>
      <c r="V138" s="690"/>
      <c r="W138" s="690"/>
      <c r="X138" s="690"/>
      <c r="Y138" s="690"/>
      <c r="Z138" s="690"/>
      <c r="AA138" s="420">
        <f t="shared" si="1127"/>
        <v>137</v>
      </c>
      <c r="AB138" s="435" t="s">
        <v>60</v>
      </c>
      <c r="AC138" s="422" t="s">
        <v>394</v>
      </c>
      <c r="AD138" s="422" t="s">
        <v>326</v>
      </c>
      <c r="AE138" s="422">
        <v>33</v>
      </c>
      <c r="AF138" s="422">
        <f>'SSS1 ATTENDANCE '!FJ144</f>
        <v>0</v>
      </c>
      <c r="AG138" s="422">
        <f>'SSS1 ATTENDANCE '!FH144</f>
        <v>0</v>
      </c>
      <c r="AH138" s="422">
        <f>'SSS1 ATTENDANCE '!FI144</f>
        <v>0</v>
      </c>
      <c r="AI138" s="436" t="s">
        <v>710</v>
      </c>
      <c r="AJ138" s="437">
        <v>40900</v>
      </c>
      <c r="AK138" s="435" t="s">
        <v>396</v>
      </c>
      <c r="AL138" s="424">
        <v>25</v>
      </c>
      <c r="AM138" s="422">
        <v>97.535714285714306</v>
      </c>
      <c r="AN138" s="438">
        <v>4</v>
      </c>
      <c r="AO138" s="422" t="str">
        <f t="shared" ref="AO138:AO174" si="1188">IF(AND(AG138&gt;=98, AG138&lt;=128),"5",
IF(AND(AG138&gt;=75, AG138&lt;98),"4",
"3"))</f>
        <v>3</v>
      </c>
      <c r="AP138" s="438">
        <v>5</v>
      </c>
      <c r="AQ138" s="422">
        <v>4</v>
      </c>
      <c r="AR138" s="438">
        <v>4</v>
      </c>
      <c r="AS138" s="438">
        <v>4</v>
      </c>
      <c r="AT138" s="438">
        <v>4</v>
      </c>
      <c r="AU138" s="438">
        <v>3</v>
      </c>
      <c r="AV138" s="438">
        <v>4</v>
      </c>
      <c r="AW138" s="438">
        <v>4</v>
      </c>
      <c r="AX138" s="438">
        <v>3</v>
      </c>
      <c r="AY138" s="438">
        <v>4</v>
      </c>
      <c r="AZ138" s="438">
        <v>3</v>
      </c>
      <c r="BA138" s="438">
        <v>3</v>
      </c>
      <c r="BB138" s="438">
        <v>3</v>
      </c>
      <c r="BC138" s="438">
        <v>4</v>
      </c>
      <c r="BD138" s="438">
        <v>4</v>
      </c>
      <c r="BE138" s="438">
        <v>4</v>
      </c>
      <c r="BF138" s="438">
        <v>3</v>
      </c>
      <c r="BG138" s="438">
        <v>3</v>
      </c>
      <c r="BH138" s="438">
        <v>3</v>
      </c>
      <c r="BI138" s="438">
        <v>5</v>
      </c>
      <c r="BJ138" s="438">
        <v>4</v>
      </c>
      <c r="BK138" s="438">
        <v>3</v>
      </c>
      <c r="BL138" s="438">
        <v>5</v>
      </c>
      <c r="BM138" s="438">
        <v>3</v>
      </c>
      <c r="BN138" s="422" t="s">
        <v>536</v>
      </c>
      <c r="BO138" s="438">
        <v>-35.535714285714299</v>
      </c>
      <c r="BP138" s="438">
        <v>-523.03571428571399</v>
      </c>
      <c r="BQ138" s="422">
        <f t="shared" si="1147"/>
        <v>-558.57142857142833</v>
      </c>
      <c r="BR138" s="438" t="str">
        <f t="shared" si="1148"/>
        <v/>
      </c>
      <c r="BS138" s="422">
        <v>-35.535714285714299</v>
      </c>
      <c r="BT138" s="438">
        <v>-390.53571428571399</v>
      </c>
      <c r="BU138" s="422">
        <f t="shared" si="1149"/>
        <v>-426.07142857142827</v>
      </c>
      <c r="BV138" s="438" t="str">
        <f t="shared" si="1150"/>
        <v/>
      </c>
      <c r="BW138" s="422">
        <v>-35.535714285714299</v>
      </c>
      <c r="BX138" s="422">
        <v>-376.24999999999898</v>
      </c>
      <c r="BY138" s="422">
        <f t="shared" si="1151"/>
        <v>-411.78571428571325</v>
      </c>
      <c r="BZ138" s="438" t="str">
        <f t="shared" si="1152"/>
        <v/>
      </c>
      <c r="CA138" s="422">
        <v>-35.535714285714299</v>
      </c>
      <c r="CB138" s="422">
        <v>-393.21428571428601</v>
      </c>
      <c r="CC138" s="422">
        <f t="shared" si="1153"/>
        <v>-428.75000000000028</v>
      </c>
      <c r="CD138" s="438" t="str">
        <f t="shared" si="1154"/>
        <v/>
      </c>
      <c r="CE138" s="422">
        <v>35</v>
      </c>
      <c r="CF138" s="422">
        <v>-380.00000000000102</v>
      </c>
      <c r="CG138" s="422">
        <f t="shared" si="1155"/>
        <v>-345.00000000000102</v>
      </c>
      <c r="CH138" s="438" t="str">
        <f t="shared" si="1156"/>
        <v/>
      </c>
      <c r="CI138" s="422">
        <v>-35.535714285714299</v>
      </c>
      <c r="CJ138" s="422">
        <v>-202.25</v>
      </c>
      <c r="CK138" s="422">
        <f t="shared" si="1157"/>
        <v>-237.78571428571431</v>
      </c>
      <c r="CL138" s="438" t="str">
        <f t="shared" si="1158"/>
        <v/>
      </c>
      <c r="CM138" s="422">
        <v>-35.535714285714299</v>
      </c>
      <c r="CN138" s="422"/>
      <c r="CO138" s="422"/>
      <c r="CP138" s="422"/>
      <c r="CQ138" s="422">
        <v>10.250000000000099</v>
      </c>
      <c r="CR138" s="422">
        <f t="shared" si="1160"/>
        <v>10.250000000000099</v>
      </c>
      <c r="CS138" s="438" t="str">
        <f t="shared" si="1161"/>
        <v>F9</v>
      </c>
      <c r="CT138" s="422">
        <v>-83.684210526315695</v>
      </c>
      <c r="CU138" s="422">
        <v>-434.73684210526397</v>
      </c>
      <c r="CV138" s="422">
        <f t="shared" si="1162"/>
        <v>-518.42105263157964</v>
      </c>
      <c r="CW138" s="438" t="str">
        <f t="shared" si="1163"/>
        <v/>
      </c>
      <c r="CX138" s="422">
        <f t="shared" ref="CX138" si="1189">CT138</f>
        <v>-83.684210526315695</v>
      </c>
      <c r="CY138" s="422">
        <v>-393.21428571428601</v>
      </c>
      <c r="CZ138" s="422">
        <f t="shared" si="1164"/>
        <v>-476.89849624060173</v>
      </c>
      <c r="DA138" s="438" t="str">
        <f t="shared" si="1165"/>
        <v/>
      </c>
      <c r="DB138" s="422">
        <f t="shared" si="1182"/>
        <v>-83.684210526315695</v>
      </c>
      <c r="DC138" s="422">
        <v>-317.67857142857099</v>
      </c>
      <c r="DD138" s="422">
        <f t="shared" si="1166"/>
        <v>-401.36278195488671</v>
      </c>
      <c r="DE138" s="422" t="str">
        <f t="shared" si="1167"/>
        <v/>
      </c>
      <c r="DF138" s="422">
        <f t="shared" si="1168"/>
        <v>-83.684210526315695</v>
      </c>
      <c r="DG138" s="422">
        <v>-393.21428571428601</v>
      </c>
      <c r="DH138" s="422">
        <f t="shared" si="1169"/>
        <v>-476.89849624060173</v>
      </c>
      <c r="DI138" s="422" t="str">
        <f t="shared" si="1170"/>
        <v/>
      </c>
      <c r="DJ138" s="422">
        <f t="shared" si="1183"/>
        <v>-83.684210526315695</v>
      </c>
      <c r="DK138" s="422">
        <v>23.535714285714199</v>
      </c>
      <c r="DL138" s="422">
        <f t="shared" si="1171"/>
        <v>-60.148496240601496</v>
      </c>
      <c r="DM138" s="422" t="str">
        <f t="shared" si="1172"/>
        <v/>
      </c>
      <c r="DN138" s="422">
        <f t="shared" si="1184"/>
        <v>-83.684210526315695</v>
      </c>
      <c r="DO138" s="422">
        <v>-34.321428571428598</v>
      </c>
      <c r="DP138" s="422">
        <f t="shared" si="1173"/>
        <v>-118.00563909774429</v>
      </c>
      <c r="DQ138" s="438" t="str">
        <f t="shared" si="1174"/>
        <v/>
      </c>
      <c r="DR138" s="422">
        <f t="shared" si="1185"/>
        <v>-83.684210526315695</v>
      </c>
      <c r="DS138" s="422">
        <v>-314.75</v>
      </c>
      <c r="DT138" s="422">
        <f t="shared" si="1175"/>
        <v>-398.43421052631572</v>
      </c>
      <c r="DU138" s="438" t="str">
        <f t="shared" si="1176"/>
        <v/>
      </c>
      <c r="DV138" s="422">
        <f t="shared" si="1186"/>
        <v>-83.684210526315695</v>
      </c>
      <c r="DW138" s="422">
        <v>37.642857142857103</v>
      </c>
      <c r="DX138" s="422">
        <f t="shared" si="1177"/>
        <v>-46.041353383458592</v>
      </c>
      <c r="DY138" s="438" t="str">
        <f t="shared" si="1178"/>
        <v/>
      </c>
      <c r="DZ138" s="422">
        <f t="shared" si="1179"/>
        <v>-83.684210526315695</v>
      </c>
      <c r="EA138" s="422">
        <v>-57.75</v>
      </c>
      <c r="EB138" s="422">
        <f t="shared" si="1180"/>
        <v>-141.4342105263157</v>
      </c>
      <c r="EC138" s="438" t="str">
        <f t="shared" si="1181"/>
        <v/>
      </c>
      <c r="ED138" s="422">
        <f t="shared" si="1187"/>
        <v>-5035.3590225563912</v>
      </c>
      <c r="EE138" s="422">
        <f t="shared" ref="EE138:EE174" si="1190">ED138/16</f>
        <v>-314.70993890977445</v>
      </c>
      <c r="EF138" s="438" t="str">
        <f t="shared" ref="EF138:EF174" si="1191">IF(EE138&gt;=80,"A1",
IF(EE138&gt;=75,"A",
IF(EE138&gt;=70,"B2",
IF(EE138&gt;=65,"B3",
IF(EE138&gt;=60,"C4",
IF(EE138&gt;=55,"C5",
IF(EE138&gt;=50,"C6",
IF(EE138&gt;=45,"D7",
IF(EE138&gt;=40,"E8",
IF(EE138&gt;=1,"F9",""))))))))))</f>
        <v/>
      </c>
      <c r="EG138" s="422" t="str">
        <f t="shared" ref="EG138:EG174" si="1192">IF(EF138="F9","FAIL",
IF(OR(EF138="E8",EF138="D7"),"PASS",
IF(OR(EF138="C6",EF138="C5"),"CREDIT",
IF(OR(EF138="C4",EF138="B3",EF138="B2"),"HIGH-CREDIT",
IF(OR(EF138="A",EF138="A1"),"DISTINTION","")))))</f>
        <v/>
      </c>
      <c r="EH138" s="439">
        <v>1</v>
      </c>
      <c r="EI138" s="422">
        <f t="shared" ref="EI138:EI174" si="1193">ED138</f>
        <v>-5035.3590225563912</v>
      </c>
      <c r="EJ138" s="440">
        <f t="shared" ref="EJ138:EJ174" si="1194">EE138/100</f>
        <v>-3.1470993890977446</v>
      </c>
      <c r="EK138" s="438" t="s">
        <v>573</v>
      </c>
      <c r="EL138" s="438" t="s">
        <v>762</v>
      </c>
    </row>
    <row r="139" spans="1:142" ht="30">
      <c r="A139" s="690"/>
      <c r="B139" s="690"/>
      <c r="C139" s="690"/>
      <c r="D139" s="690"/>
      <c r="E139" s="690"/>
      <c r="F139" s="690"/>
      <c r="G139" s="690"/>
      <c r="H139" s="690"/>
      <c r="I139" s="690"/>
      <c r="J139" s="690"/>
      <c r="K139" s="690"/>
      <c r="L139" s="690"/>
      <c r="M139" s="690"/>
      <c r="N139" s="690"/>
      <c r="O139" s="690"/>
      <c r="P139" s="690"/>
      <c r="Q139" s="690"/>
      <c r="R139" s="690"/>
      <c r="S139" s="690"/>
      <c r="T139" s="690"/>
      <c r="U139" s="690"/>
      <c r="V139" s="690"/>
      <c r="W139" s="690"/>
      <c r="X139" s="690"/>
      <c r="Y139" s="690"/>
      <c r="Z139" s="690"/>
      <c r="AA139" s="420">
        <f t="shared" si="1127"/>
        <v>138</v>
      </c>
      <c r="AB139" s="435" t="s">
        <v>61</v>
      </c>
      <c r="AC139" s="422" t="s">
        <v>394</v>
      </c>
      <c r="AD139" s="422" t="s">
        <v>326</v>
      </c>
      <c r="AE139" s="422">
        <v>33.142857142857203</v>
      </c>
      <c r="AF139" s="422">
        <f>'SSS1 ATTENDANCE '!FJ145</f>
        <v>0</v>
      </c>
      <c r="AG139" s="422">
        <f>'SSS1 ATTENDANCE '!FH145</f>
        <v>0</v>
      </c>
      <c r="AH139" s="422">
        <f>'SSS1 ATTENDANCE '!FI145</f>
        <v>0</v>
      </c>
      <c r="AI139" s="436" t="s">
        <v>711</v>
      </c>
      <c r="AJ139" s="437">
        <v>40368</v>
      </c>
      <c r="AK139" s="435" t="s">
        <v>396</v>
      </c>
      <c r="AL139" s="424">
        <v>25</v>
      </c>
      <c r="AM139" s="422">
        <v>98.071428571428498</v>
      </c>
      <c r="AN139" s="438">
        <v>4</v>
      </c>
      <c r="AO139" s="422" t="str">
        <f t="shared" si="1188"/>
        <v>3</v>
      </c>
      <c r="AP139" s="438">
        <v>5</v>
      </c>
      <c r="AQ139" s="422">
        <v>4</v>
      </c>
      <c r="AR139" s="438">
        <v>4</v>
      </c>
      <c r="AS139" s="438">
        <v>4</v>
      </c>
      <c r="AT139" s="438">
        <v>4</v>
      </c>
      <c r="AU139" s="438">
        <v>3</v>
      </c>
      <c r="AV139" s="438">
        <v>4</v>
      </c>
      <c r="AW139" s="438">
        <v>4</v>
      </c>
      <c r="AX139" s="438">
        <v>3</v>
      </c>
      <c r="AY139" s="438">
        <v>4</v>
      </c>
      <c r="AZ139" s="438">
        <v>3</v>
      </c>
      <c r="BA139" s="438">
        <v>3</v>
      </c>
      <c r="BB139" s="438">
        <v>3</v>
      </c>
      <c r="BC139" s="438">
        <v>4</v>
      </c>
      <c r="BD139" s="438">
        <v>4</v>
      </c>
      <c r="BE139" s="438">
        <v>4</v>
      </c>
      <c r="BF139" s="438">
        <v>3</v>
      </c>
      <c r="BG139" s="438">
        <v>3</v>
      </c>
      <c r="BH139" s="438">
        <v>3</v>
      </c>
      <c r="BI139" s="438">
        <v>5</v>
      </c>
      <c r="BJ139" s="438">
        <v>4</v>
      </c>
      <c r="BK139" s="438">
        <v>3</v>
      </c>
      <c r="BL139" s="438">
        <v>5</v>
      </c>
      <c r="BM139" s="438">
        <v>3</v>
      </c>
      <c r="BN139" s="422" t="s">
        <v>537</v>
      </c>
      <c r="BO139" s="438">
        <v>-36.071428571428498</v>
      </c>
      <c r="BP139" s="438">
        <v>-527.21428571428601</v>
      </c>
      <c r="BQ139" s="422">
        <f t="shared" si="1147"/>
        <v>-563.28571428571445</v>
      </c>
      <c r="BR139" s="438" t="str">
        <f t="shared" si="1148"/>
        <v/>
      </c>
      <c r="BS139" s="422">
        <v>-36.071428571428498</v>
      </c>
      <c r="BT139" s="438">
        <v>-393.78571428571399</v>
      </c>
      <c r="BU139" s="422">
        <f t="shared" si="1149"/>
        <v>-429.85714285714249</v>
      </c>
      <c r="BV139" s="438" t="str">
        <f t="shared" si="1150"/>
        <v/>
      </c>
      <c r="BW139" s="422">
        <v>-36.071428571428498</v>
      </c>
      <c r="BX139" s="422">
        <v>-379.35714285714198</v>
      </c>
      <c r="BY139" s="422">
        <f t="shared" si="1151"/>
        <v>-415.42857142857048</v>
      </c>
      <c r="BZ139" s="438" t="str">
        <f t="shared" si="1152"/>
        <v/>
      </c>
      <c r="CA139" s="422">
        <v>-36.071428571428498</v>
      </c>
      <c r="CB139" s="422">
        <v>-396.42857142857201</v>
      </c>
      <c r="CC139" s="422">
        <f t="shared" si="1153"/>
        <v>-432.50000000000051</v>
      </c>
      <c r="CD139" s="438" t="str">
        <f t="shared" si="1154"/>
        <v/>
      </c>
      <c r="CE139" s="422">
        <v>35</v>
      </c>
      <c r="CF139" s="422">
        <v>-383.14285714285802</v>
      </c>
      <c r="CG139" s="422">
        <f t="shared" si="1155"/>
        <v>-348.14285714285802</v>
      </c>
      <c r="CH139" s="438" t="str">
        <f t="shared" si="1156"/>
        <v/>
      </c>
      <c r="CI139" s="422">
        <v>-36.071428571428498</v>
      </c>
      <c r="CJ139" s="422">
        <v>-204.07142857142799</v>
      </c>
      <c r="CK139" s="422">
        <f t="shared" si="1157"/>
        <v>-240.14285714285649</v>
      </c>
      <c r="CL139" s="438" t="str">
        <f t="shared" si="1158"/>
        <v/>
      </c>
      <c r="CM139" s="422">
        <v>-36.071428571428498</v>
      </c>
      <c r="CN139" s="422"/>
      <c r="CO139" s="422"/>
      <c r="CP139" s="422">
        <f t="shared" ref="CP139" si="1195">CM139</f>
        <v>-36.071428571428498</v>
      </c>
      <c r="CQ139" s="422">
        <v>9.9655172413793895</v>
      </c>
      <c r="CR139" s="422">
        <f t="shared" si="1160"/>
        <v>-26.105911330049111</v>
      </c>
      <c r="CS139" s="438" t="str">
        <f t="shared" si="1161"/>
        <v/>
      </c>
      <c r="CT139" s="422">
        <v>-84.736842105263705</v>
      </c>
      <c r="CU139" s="422">
        <v>-438.947368421053</v>
      </c>
      <c r="CV139" s="422">
        <f t="shared" si="1162"/>
        <v>-523.68421052631675</v>
      </c>
      <c r="CW139" s="438" t="str">
        <f t="shared" si="1163"/>
        <v/>
      </c>
      <c r="CX139" s="422">
        <v>35</v>
      </c>
      <c r="CY139" s="422">
        <v>-396.42857142857201</v>
      </c>
      <c r="CZ139" s="422">
        <f t="shared" si="1164"/>
        <v>-361.42857142857201</v>
      </c>
      <c r="DA139" s="438" t="str">
        <f t="shared" si="1165"/>
        <v/>
      </c>
      <c r="DB139" s="422">
        <f t="shared" si="1182"/>
        <v>35</v>
      </c>
      <c r="DC139" s="422">
        <v>-320.357142857143</v>
      </c>
      <c r="DD139" s="422">
        <f t="shared" si="1166"/>
        <v>-285.357142857143</v>
      </c>
      <c r="DE139" s="422" t="str">
        <f t="shared" si="1167"/>
        <v/>
      </c>
      <c r="DF139" s="422">
        <f t="shared" si="1168"/>
        <v>35</v>
      </c>
      <c r="DG139" s="422">
        <v>-396.42857142857201</v>
      </c>
      <c r="DH139" s="422">
        <f t="shared" si="1169"/>
        <v>-361.42857142857201</v>
      </c>
      <c r="DI139" s="422" t="str">
        <f t="shared" si="1170"/>
        <v/>
      </c>
      <c r="DJ139" s="422">
        <f t="shared" si="1183"/>
        <v>35</v>
      </c>
      <c r="DK139" s="422">
        <v>23.357142857142801</v>
      </c>
      <c r="DL139" s="422">
        <f t="shared" si="1171"/>
        <v>58.357142857142804</v>
      </c>
      <c r="DM139" s="422" t="str">
        <f t="shared" si="1172"/>
        <v>C5</v>
      </c>
      <c r="DN139" s="422">
        <f t="shared" si="1184"/>
        <v>35</v>
      </c>
      <c r="DO139" s="422">
        <v>-34.928571428571502</v>
      </c>
      <c r="DP139" s="422">
        <f t="shared" si="1173"/>
        <v>7.1428571428498344E-2</v>
      </c>
      <c r="DQ139" s="438" t="str">
        <f t="shared" si="1174"/>
        <v/>
      </c>
      <c r="DR139" s="422">
        <f t="shared" si="1185"/>
        <v>35</v>
      </c>
      <c r="DS139" s="422">
        <v>-317.35714285714198</v>
      </c>
      <c r="DT139" s="422">
        <f t="shared" si="1175"/>
        <v>-282.35714285714198</v>
      </c>
      <c r="DU139" s="438" t="str">
        <f t="shared" si="1176"/>
        <v/>
      </c>
      <c r="DV139" s="422">
        <f t="shared" si="1186"/>
        <v>35</v>
      </c>
      <c r="DW139" s="422">
        <v>37.571428571428498</v>
      </c>
      <c r="DX139" s="422">
        <f t="shared" si="1177"/>
        <v>72.571428571428498</v>
      </c>
      <c r="DY139" s="438" t="str">
        <f t="shared" si="1178"/>
        <v>B2</v>
      </c>
      <c r="DZ139" s="422">
        <f t="shared" si="1179"/>
        <v>35</v>
      </c>
      <c r="EA139" s="422">
        <v>-58.5</v>
      </c>
      <c r="EB139" s="422">
        <f t="shared" si="1180"/>
        <v>-23.5</v>
      </c>
      <c r="EC139" s="438" t="str">
        <f t="shared" si="1181"/>
        <v/>
      </c>
      <c r="ED139" s="422">
        <f t="shared" si="1187"/>
        <v>-4162.2186932849372</v>
      </c>
      <c r="EE139" s="422">
        <f t="shared" si="1190"/>
        <v>-260.13866833030858</v>
      </c>
      <c r="EF139" s="438" t="str">
        <f t="shared" si="1191"/>
        <v/>
      </c>
      <c r="EG139" s="422" t="str">
        <f t="shared" si="1192"/>
        <v/>
      </c>
      <c r="EH139" s="439">
        <v>1</v>
      </c>
      <c r="EI139" s="422">
        <f t="shared" si="1193"/>
        <v>-4162.2186932849372</v>
      </c>
      <c r="EJ139" s="440">
        <f t="shared" si="1194"/>
        <v>-2.6013866833030859</v>
      </c>
      <c r="EK139" s="438" t="s">
        <v>746</v>
      </c>
      <c r="EL139" s="438" t="s">
        <v>762</v>
      </c>
    </row>
    <row r="140" spans="1:142" ht="30">
      <c r="A140" s="690"/>
      <c r="B140" s="690"/>
      <c r="C140" s="690"/>
      <c r="D140" s="690"/>
      <c r="E140" s="690"/>
      <c r="F140" s="690"/>
      <c r="G140" s="690"/>
      <c r="H140" s="690"/>
      <c r="I140" s="690"/>
      <c r="J140" s="690"/>
      <c r="K140" s="690"/>
      <c r="L140" s="690"/>
      <c r="M140" s="690"/>
      <c r="N140" s="690"/>
      <c r="O140" s="690"/>
      <c r="P140" s="690"/>
      <c r="Q140" s="690"/>
      <c r="R140" s="690"/>
      <c r="S140" s="690"/>
      <c r="T140" s="690"/>
      <c r="U140" s="690"/>
      <c r="V140" s="690"/>
      <c r="W140" s="690"/>
      <c r="X140" s="690"/>
      <c r="Y140" s="690"/>
      <c r="Z140" s="690"/>
      <c r="AA140" s="420">
        <f t="shared" si="1127"/>
        <v>139</v>
      </c>
      <c r="AB140" s="435" t="s">
        <v>62</v>
      </c>
      <c r="AC140" s="422" t="s">
        <v>394</v>
      </c>
      <c r="AD140" s="422" t="s">
        <v>326</v>
      </c>
      <c r="AE140" s="422">
        <v>33.285714285714299</v>
      </c>
      <c r="AF140" s="422">
        <f>'SSS1 ATTENDANCE '!FJ146</f>
        <v>0</v>
      </c>
      <c r="AG140" s="422">
        <f>'SSS1 ATTENDANCE '!FH146</f>
        <v>0</v>
      </c>
      <c r="AH140" s="422">
        <f>'SSS1 ATTENDANCE '!FI146</f>
        <v>0</v>
      </c>
      <c r="AI140" s="436" t="s">
        <v>712</v>
      </c>
      <c r="AJ140" s="437">
        <v>40852</v>
      </c>
      <c r="AK140" s="435" t="s">
        <v>396</v>
      </c>
      <c r="AL140" s="424">
        <v>25</v>
      </c>
      <c r="AM140" s="422">
        <v>98.607142857142804</v>
      </c>
      <c r="AN140" s="438">
        <v>4</v>
      </c>
      <c r="AO140" s="422" t="str">
        <f t="shared" si="1188"/>
        <v>3</v>
      </c>
      <c r="AP140" s="438">
        <v>5</v>
      </c>
      <c r="AQ140" s="422">
        <v>4</v>
      </c>
      <c r="AR140" s="438">
        <v>4</v>
      </c>
      <c r="AS140" s="438">
        <v>4</v>
      </c>
      <c r="AT140" s="438">
        <v>4</v>
      </c>
      <c r="AU140" s="438">
        <v>3</v>
      </c>
      <c r="AV140" s="438">
        <v>4</v>
      </c>
      <c r="AW140" s="438">
        <v>4</v>
      </c>
      <c r="AX140" s="438">
        <v>3</v>
      </c>
      <c r="AY140" s="438">
        <v>4</v>
      </c>
      <c r="AZ140" s="438">
        <v>3</v>
      </c>
      <c r="BA140" s="438">
        <v>3</v>
      </c>
      <c r="BB140" s="438">
        <v>3</v>
      </c>
      <c r="BC140" s="438">
        <v>4</v>
      </c>
      <c r="BD140" s="438">
        <v>4</v>
      </c>
      <c r="BE140" s="438">
        <v>4</v>
      </c>
      <c r="BF140" s="438">
        <v>3</v>
      </c>
      <c r="BG140" s="438">
        <v>3</v>
      </c>
      <c r="BH140" s="438">
        <v>3</v>
      </c>
      <c r="BI140" s="438">
        <v>5</v>
      </c>
      <c r="BJ140" s="438">
        <v>4</v>
      </c>
      <c r="BK140" s="438">
        <v>3</v>
      </c>
      <c r="BL140" s="438">
        <v>5</v>
      </c>
      <c r="BM140" s="438">
        <v>3</v>
      </c>
      <c r="BN140" s="422" t="s">
        <v>538</v>
      </c>
      <c r="BO140" s="438">
        <v>-36.607142857142797</v>
      </c>
      <c r="BP140" s="438">
        <v>-531.392857142857</v>
      </c>
      <c r="BQ140" s="422">
        <f t="shared" si="1147"/>
        <v>-567.99999999999977</v>
      </c>
      <c r="BR140" s="438" t="str">
        <f t="shared" si="1148"/>
        <v/>
      </c>
      <c r="BS140" s="422">
        <v>-36.607142857142797</v>
      </c>
      <c r="BT140" s="438">
        <v>-397.03571428571399</v>
      </c>
      <c r="BU140" s="422">
        <f t="shared" si="1149"/>
        <v>-433.64285714285677</v>
      </c>
      <c r="BV140" s="438" t="str">
        <f t="shared" si="1150"/>
        <v/>
      </c>
      <c r="BW140" s="422">
        <v>-36.607142857142797</v>
      </c>
      <c r="BX140" s="422">
        <v>-382.46428571428498</v>
      </c>
      <c r="BY140" s="422">
        <f t="shared" si="1151"/>
        <v>-419.07142857142776</v>
      </c>
      <c r="BZ140" s="438" t="str">
        <f t="shared" si="1152"/>
        <v/>
      </c>
      <c r="CA140" s="422">
        <v>-36.607142857142797</v>
      </c>
      <c r="CB140" s="422">
        <v>-399.64285714285802</v>
      </c>
      <c r="CC140" s="422">
        <f t="shared" si="1153"/>
        <v>-436.2500000000008</v>
      </c>
      <c r="CD140" s="438" t="str">
        <f t="shared" si="1154"/>
        <v/>
      </c>
      <c r="CE140" s="422">
        <v>35</v>
      </c>
      <c r="CF140" s="422">
        <v>-386.28571428571502</v>
      </c>
      <c r="CG140" s="422">
        <f t="shared" si="1155"/>
        <v>-351.28571428571502</v>
      </c>
      <c r="CH140" s="438" t="str">
        <f t="shared" si="1156"/>
        <v/>
      </c>
      <c r="CI140" s="422">
        <v>-36.607142857142797</v>
      </c>
      <c r="CJ140" s="422">
        <v>-205.892857142857</v>
      </c>
      <c r="CK140" s="422">
        <f t="shared" si="1157"/>
        <v>-242.4999999999998</v>
      </c>
      <c r="CL140" s="438" t="str">
        <f t="shared" si="1158"/>
        <v/>
      </c>
      <c r="CM140" s="422">
        <v>-36.607142857142797</v>
      </c>
      <c r="CN140" s="422"/>
      <c r="CO140" s="422"/>
      <c r="CP140" s="422"/>
      <c r="CQ140" s="422">
        <v>9.6810344827588004</v>
      </c>
      <c r="CR140" s="422">
        <f t="shared" si="1160"/>
        <v>9.6810344827588004</v>
      </c>
      <c r="CS140" s="438" t="str">
        <f t="shared" si="1161"/>
        <v>F9</v>
      </c>
      <c r="CT140" s="422">
        <v>-85.789473684210705</v>
      </c>
      <c r="CU140" s="422">
        <v>-443.15789473684299</v>
      </c>
      <c r="CV140" s="422">
        <f t="shared" si="1162"/>
        <v>-528.94736842105374</v>
      </c>
      <c r="CW140" s="438" t="str">
        <f t="shared" si="1163"/>
        <v/>
      </c>
      <c r="CX140" s="422">
        <f t="shared" ref="CX140" si="1196">CT140</f>
        <v>-85.789473684210705</v>
      </c>
      <c r="CY140" s="422">
        <v>-399.64285714285802</v>
      </c>
      <c r="CZ140" s="422">
        <f t="shared" si="1164"/>
        <v>-485.43233082706871</v>
      </c>
      <c r="DA140" s="438" t="str">
        <f t="shared" si="1165"/>
        <v/>
      </c>
      <c r="DB140" s="422">
        <f t="shared" si="1182"/>
        <v>-85.789473684210705</v>
      </c>
      <c r="DC140" s="422">
        <v>-323.03571428571399</v>
      </c>
      <c r="DD140" s="422">
        <f t="shared" si="1166"/>
        <v>-408.82518796992468</v>
      </c>
      <c r="DE140" s="422" t="str">
        <f t="shared" si="1167"/>
        <v/>
      </c>
      <c r="DF140" s="422">
        <f t="shared" si="1168"/>
        <v>-85.789473684210705</v>
      </c>
      <c r="DG140" s="422">
        <v>-399.64285714285802</v>
      </c>
      <c r="DH140" s="422">
        <f t="shared" si="1169"/>
        <v>-485.43233082706871</v>
      </c>
      <c r="DI140" s="422" t="str">
        <f t="shared" si="1170"/>
        <v/>
      </c>
      <c r="DJ140" s="422">
        <f t="shared" si="1183"/>
        <v>-85.789473684210705</v>
      </c>
      <c r="DK140" s="422">
        <v>23.178571428571399</v>
      </c>
      <c r="DL140" s="422">
        <f t="shared" si="1171"/>
        <v>-62.610902255639303</v>
      </c>
      <c r="DM140" s="422" t="str">
        <f t="shared" si="1172"/>
        <v/>
      </c>
      <c r="DN140" s="422">
        <f t="shared" si="1184"/>
        <v>-85.789473684210705</v>
      </c>
      <c r="DO140" s="422">
        <v>-35.535714285714299</v>
      </c>
      <c r="DP140" s="422">
        <f t="shared" si="1173"/>
        <v>-121.325187969925</v>
      </c>
      <c r="DQ140" s="438" t="str">
        <f t="shared" si="1174"/>
        <v/>
      </c>
      <c r="DR140" s="422">
        <f t="shared" si="1185"/>
        <v>-85.789473684210705</v>
      </c>
      <c r="DS140" s="422">
        <v>-319.96428571428498</v>
      </c>
      <c r="DT140" s="422">
        <f t="shared" si="1175"/>
        <v>-405.75375939849567</v>
      </c>
      <c r="DU140" s="438" t="str">
        <f t="shared" si="1176"/>
        <v/>
      </c>
      <c r="DV140" s="422">
        <f t="shared" si="1186"/>
        <v>-85.789473684210705</v>
      </c>
      <c r="DW140" s="422">
        <v>37.499999999999901</v>
      </c>
      <c r="DX140" s="422">
        <f t="shared" si="1177"/>
        <v>-48.289473684210805</v>
      </c>
      <c r="DY140" s="438" t="str">
        <f t="shared" si="1178"/>
        <v/>
      </c>
      <c r="DZ140" s="422">
        <f t="shared" si="1179"/>
        <v>-85.789473684210705</v>
      </c>
      <c r="EA140" s="422">
        <v>-59.25</v>
      </c>
      <c r="EB140" s="422">
        <f t="shared" si="1180"/>
        <v>-145.03947368421069</v>
      </c>
      <c r="EC140" s="438" t="str">
        <f t="shared" si="1181"/>
        <v/>
      </c>
      <c r="ED140" s="422">
        <f t="shared" si="1187"/>
        <v>-5132.724980554839</v>
      </c>
      <c r="EE140" s="422">
        <f t="shared" si="1190"/>
        <v>-320.79531128467744</v>
      </c>
      <c r="EF140" s="438" t="str">
        <f t="shared" si="1191"/>
        <v/>
      </c>
      <c r="EG140" s="422" t="str">
        <f t="shared" si="1192"/>
        <v/>
      </c>
      <c r="EH140" s="439">
        <v>1</v>
      </c>
      <c r="EI140" s="422">
        <f t="shared" si="1193"/>
        <v>-5132.724980554839</v>
      </c>
      <c r="EJ140" s="440">
        <f t="shared" si="1194"/>
        <v>-3.2079531128467744</v>
      </c>
      <c r="EK140" s="438" t="s">
        <v>747</v>
      </c>
      <c r="EL140" s="438" t="s">
        <v>762</v>
      </c>
    </row>
    <row r="141" spans="1:142" ht="30">
      <c r="A141" s="690"/>
      <c r="B141" s="690"/>
      <c r="C141" s="690"/>
      <c r="D141" s="690"/>
      <c r="E141" s="690"/>
      <c r="F141" s="690"/>
      <c r="G141" s="690"/>
      <c r="H141" s="690"/>
      <c r="I141" s="690"/>
      <c r="J141" s="690"/>
      <c r="K141" s="690"/>
      <c r="L141" s="690"/>
      <c r="M141" s="690"/>
      <c r="N141" s="690"/>
      <c r="O141" s="690"/>
      <c r="P141" s="690"/>
      <c r="Q141" s="690"/>
      <c r="R141" s="690"/>
      <c r="S141" s="690"/>
      <c r="T141" s="690"/>
      <c r="U141" s="690"/>
      <c r="V141" s="690"/>
      <c r="W141" s="690"/>
      <c r="X141" s="690"/>
      <c r="Y141" s="690"/>
      <c r="Z141" s="690"/>
      <c r="AA141" s="420">
        <f t="shared" si="1127"/>
        <v>140</v>
      </c>
      <c r="AB141" s="435" t="s">
        <v>63</v>
      </c>
      <c r="AC141" s="422" t="s">
        <v>394</v>
      </c>
      <c r="AD141" s="422" t="s">
        <v>326</v>
      </c>
      <c r="AE141" s="422">
        <v>33.428571428571502</v>
      </c>
      <c r="AF141" s="422">
        <f>'SSS1 ATTENDANCE '!FJ147</f>
        <v>0</v>
      </c>
      <c r="AG141" s="422">
        <f>'SSS1 ATTENDANCE '!FH147</f>
        <v>0</v>
      </c>
      <c r="AH141" s="422">
        <f>'SSS1 ATTENDANCE '!FI147</f>
        <v>0</v>
      </c>
      <c r="AI141" s="436" t="s">
        <v>713</v>
      </c>
      <c r="AJ141" s="437">
        <v>40881</v>
      </c>
      <c r="AK141" s="435" t="s">
        <v>396</v>
      </c>
      <c r="AL141" s="424">
        <v>25</v>
      </c>
      <c r="AM141" s="422">
        <v>99.142857142857096</v>
      </c>
      <c r="AN141" s="438">
        <v>4</v>
      </c>
      <c r="AO141" s="422" t="str">
        <f t="shared" si="1188"/>
        <v>3</v>
      </c>
      <c r="AP141" s="438">
        <v>5</v>
      </c>
      <c r="AQ141" s="422">
        <v>4</v>
      </c>
      <c r="AR141" s="438">
        <v>4</v>
      </c>
      <c r="AS141" s="438">
        <v>4</v>
      </c>
      <c r="AT141" s="438">
        <v>4</v>
      </c>
      <c r="AU141" s="438">
        <v>3</v>
      </c>
      <c r="AV141" s="438">
        <v>4</v>
      </c>
      <c r="AW141" s="438">
        <v>4</v>
      </c>
      <c r="AX141" s="438">
        <v>3</v>
      </c>
      <c r="AY141" s="438">
        <v>4</v>
      </c>
      <c r="AZ141" s="438">
        <v>3</v>
      </c>
      <c r="BA141" s="438">
        <v>3</v>
      </c>
      <c r="BB141" s="438">
        <v>3</v>
      </c>
      <c r="BC141" s="438">
        <v>4</v>
      </c>
      <c r="BD141" s="438">
        <v>4</v>
      </c>
      <c r="BE141" s="438">
        <v>4</v>
      </c>
      <c r="BF141" s="438">
        <v>3</v>
      </c>
      <c r="BG141" s="438">
        <v>3</v>
      </c>
      <c r="BH141" s="438">
        <v>3</v>
      </c>
      <c r="BI141" s="438">
        <v>5</v>
      </c>
      <c r="BJ141" s="438">
        <v>4</v>
      </c>
      <c r="BK141" s="438">
        <v>3</v>
      </c>
      <c r="BL141" s="438">
        <v>5</v>
      </c>
      <c r="BM141" s="438">
        <v>3</v>
      </c>
      <c r="BN141" s="422" t="s">
        <v>539</v>
      </c>
      <c r="BO141" s="438">
        <v>-37.142857142857103</v>
      </c>
      <c r="BP141" s="438">
        <v>-535.57142857142799</v>
      </c>
      <c r="BQ141" s="422">
        <f t="shared" si="1147"/>
        <v>-572.7142857142851</v>
      </c>
      <c r="BR141" s="438" t="str">
        <f t="shared" si="1148"/>
        <v/>
      </c>
      <c r="BS141" s="422">
        <v>-37.142857142857103</v>
      </c>
      <c r="BT141" s="438">
        <v>-400.28571428571399</v>
      </c>
      <c r="BU141" s="422">
        <f t="shared" si="1149"/>
        <v>-437.4285714285711</v>
      </c>
      <c r="BV141" s="438" t="str">
        <f t="shared" si="1150"/>
        <v/>
      </c>
      <c r="BW141" s="422">
        <v>-37.142857142857103</v>
      </c>
      <c r="BX141" s="422">
        <v>-385.57142857142799</v>
      </c>
      <c r="BY141" s="422">
        <f t="shared" si="1151"/>
        <v>-422.7142857142851</v>
      </c>
      <c r="BZ141" s="438" t="str">
        <f t="shared" si="1152"/>
        <v/>
      </c>
      <c r="CA141" s="422">
        <v>-37.142857142857103</v>
      </c>
      <c r="CB141" s="422">
        <v>-402.857142857143</v>
      </c>
      <c r="CC141" s="422">
        <f t="shared" si="1153"/>
        <v>-440.00000000000011</v>
      </c>
      <c r="CD141" s="438" t="str">
        <f t="shared" si="1154"/>
        <v/>
      </c>
      <c r="CE141" s="422">
        <v>35</v>
      </c>
      <c r="CF141" s="422">
        <v>-389.42857142857201</v>
      </c>
      <c r="CG141" s="422">
        <f t="shared" si="1155"/>
        <v>-354.42857142857201</v>
      </c>
      <c r="CH141" s="438" t="str">
        <f t="shared" si="1156"/>
        <v/>
      </c>
      <c r="CI141" s="422">
        <v>-37.142857142857103</v>
      </c>
      <c r="CJ141" s="422">
        <v>-207.71428571428501</v>
      </c>
      <c r="CK141" s="422">
        <f t="shared" si="1157"/>
        <v>-244.85714285714212</v>
      </c>
      <c r="CL141" s="438" t="str">
        <f t="shared" si="1158"/>
        <v/>
      </c>
      <c r="CM141" s="422">
        <v>-37.142857142857103</v>
      </c>
      <c r="CN141" s="422"/>
      <c r="CO141" s="422"/>
      <c r="CP141" s="422">
        <f t="shared" ref="CP141" si="1197">CM141</f>
        <v>-37.142857142857103</v>
      </c>
      <c r="CQ141" s="422">
        <v>9.3965517241380905</v>
      </c>
      <c r="CR141" s="422">
        <f t="shared" si="1160"/>
        <v>-27.746305418719011</v>
      </c>
      <c r="CS141" s="438" t="str">
        <f t="shared" si="1161"/>
        <v/>
      </c>
      <c r="CT141" s="422"/>
      <c r="CU141" s="422"/>
      <c r="CV141" s="422">
        <f t="shared" si="1162"/>
        <v>0</v>
      </c>
      <c r="CW141" s="438" t="str">
        <f t="shared" si="1163"/>
        <v/>
      </c>
      <c r="CX141" s="422">
        <v>35</v>
      </c>
      <c r="CY141" s="422">
        <v>-402.857142857143</v>
      </c>
      <c r="CZ141" s="422">
        <f t="shared" si="1164"/>
        <v>-367.857142857143</v>
      </c>
      <c r="DA141" s="438" t="str">
        <f t="shared" si="1165"/>
        <v/>
      </c>
      <c r="DB141" s="422">
        <f t="shared" si="1182"/>
        <v>35</v>
      </c>
      <c r="DC141" s="422">
        <v>-325.71428571428601</v>
      </c>
      <c r="DD141" s="422">
        <f t="shared" si="1166"/>
        <v>-290.71428571428601</v>
      </c>
      <c r="DE141" s="422" t="str">
        <f t="shared" si="1167"/>
        <v/>
      </c>
      <c r="DF141" s="422">
        <f t="shared" si="1168"/>
        <v>35</v>
      </c>
      <c r="DG141" s="422">
        <v>-402.857142857143</v>
      </c>
      <c r="DH141" s="422">
        <f t="shared" si="1169"/>
        <v>-367.857142857143</v>
      </c>
      <c r="DI141" s="422" t="str">
        <f t="shared" si="1170"/>
        <v/>
      </c>
      <c r="DJ141" s="422">
        <f t="shared" si="1183"/>
        <v>35</v>
      </c>
      <c r="DK141" s="422">
        <v>22.999999999999901</v>
      </c>
      <c r="DL141" s="422">
        <f t="shared" si="1171"/>
        <v>57.999999999999901</v>
      </c>
      <c r="DM141" s="422" t="str">
        <f t="shared" si="1172"/>
        <v>C5</v>
      </c>
      <c r="DN141" s="422">
        <f t="shared" si="1184"/>
        <v>35</v>
      </c>
      <c r="DO141" s="422">
        <v>-36.142857142857203</v>
      </c>
      <c r="DP141" s="422">
        <f t="shared" si="1173"/>
        <v>-1.1428571428572027</v>
      </c>
      <c r="DQ141" s="438" t="str">
        <f t="shared" si="1174"/>
        <v/>
      </c>
      <c r="DR141" s="422">
        <f t="shared" si="1185"/>
        <v>35</v>
      </c>
      <c r="DS141" s="422">
        <v>-322.57142857142799</v>
      </c>
      <c r="DT141" s="422">
        <f t="shared" si="1175"/>
        <v>-287.57142857142799</v>
      </c>
      <c r="DU141" s="438" t="str">
        <f t="shared" si="1176"/>
        <v/>
      </c>
      <c r="DV141" s="422">
        <f t="shared" si="1186"/>
        <v>35</v>
      </c>
      <c r="DW141" s="422">
        <v>37.428571428571402</v>
      </c>
      <c r="DX141" s="422">
        <f t="shared" si="1177"/>
        <v>72.428571428571402</v>
      </c>
      <c r="DY141" s="438" t="str">
        <f t="shared" si="1178"/>
        <v>B2</v>
      </c>
      <c r="DZ141" s="422">
        <f t="shared" si="1179"/>
        <v>35</v>
      </c>
      <c r="EA141" s="422">
        <v>-60</v>
      </c>
      <c r="EB141" s="422">
        <f t="shared" si="1180"/>
        <v>-25</v>
      </c>
      <c r="EC141" s="438" t="str">
        <f t="shared" si="1181"/>
        <v/>
      </c>
      <c r="ED141" s="422">
        <f t="shared" si="1187"/>
        <v>-3709.6034482758605</v>
      </c>
      <c r="EE141" s="422">
        <f t="shared" si="1190"/>
        <v>-231.85021551724128</v>
      </c>
      <c r="EF141" s="438" t="str">
        <f t="shared" si="1191"/>
        <v/>
      </c>
      <c r="EG141" s="422" t="str">
        <f t="shared" si="1192"/>
        <v/>
      </c>
      <c r="EH141" s="439">
        <v>1</v>
      </c>
      <c r="EI141" s="422">
        <f t="shared" si="1193"/>
        <v>-3709.6034482758605</v>
      </c>
      <c r="EJ141" s="440">
        <f t="shared" si="1194"/>
        <v>-2.3185021551724128</v>
      </c>
      <c r="EK141" s="438" t="s">
        <v>573</v>
      </c>
      <c r="EL141" s="438" t="s">
        <v>762</v>
      </c>
    </row>
    <row r="142" spans="1:142" ht="30">
      <c r="A142" s="690"/>
      <c r="B142" s="690"/>
      <c r="C142" s="690"/>
      <c r="D142" s="690"/>
      <c r="E142" s="690"/>
      <c r="F142" s="690"/>
      <c r="G142" s="690"/>
      <c r="H142" s="690"/>
      <c r="I142" s="690"/>
      <c r="J142" s="690"/>
      <c r="K142" s="690"/>
      <c r="L142" s="690"/>
      <c r="M142" s="690"/>
      <c r="N142" s="690"/>
      <c r="O142" s="690"/>
      <c r="P142" s="690"/>
      <c r="Q142" s="690"/>
      <c r="R142" s="690"/>
      <c r="S142" s="690"/>
      <c r="T142" s="690"/>
      <c r="U142" s="690"/>
      <c r="V142" s="690"/>
      <c r="W142" s="690"/>
      <c r="X142" s="690"/>
      <c r="Y142" s="690"/>
      <c r="Z142" s="690"/>
      <c r="AA142" s="420">
        <f t="shared" si="1127"/>
        <v>141</v>
      </c>
      <c r="AB142" s="435" t="s">
        <v>57</v>
      </c>
      <c r="AC142" s="422" t="s">
        <v>394</v>
      </c>
      <c r="AD142" s="422" t="s">
        <v>326</v>
      </c>
      <c r="AE142" s="422">
        <v>33.571428571428598</v>
      </c>
      <c r="AF142" s="422">
        <f>'SSS1 ATTENDANCE '!FJ148</f>
        <v>0</v>
      </c>
      <c r="AG142" s="422">
        <f>'SSS1 ATTENDANCE '!FH148</f>
        <v>0</v>
      </c>
      <c r="AH142" s="422">
        <f>'SSS1 ATTENDANCE '!FI148</f>
        <v>0</v>
      </c>
      <c r="AI142" s="436" t="s">
        <v>714</v>
      </c>
      <c r="AJ142" s="437">
        <v>41122</v>
      </c>
      <c r="AK142" s="435" t="s">
        <v>396</v>
      </c>
      <c r="AL142" s="424">
        <v>25</v>
      </c>
      <c r="AM142" s="422">
        <v>99.678571428571402</v>
      </c>
      <c r="AN142" s="438">
        <v>4</v>
      </c>
      <c r="AO142" s="422" t="str">
        <f t="shared" si="1188"/>
        <v>3</v>
      </c>
      <c r="AP142" s="438">
        <v>5</v>
      </c>
      <c r="AQ142" s="422">
        <v>4</v>
      </c>
      <c r="AR142" s="438">
        <v>4</v>
      </c>
      <c r="AS142" s="438">
        <v>4</v>
      </c>
      <c r="AT142" s="438">
        <v>4</v>
      </c>
      <c r="AU142" s="438">
        <v>3</v>
      </c>
      <c r="AV142" s="438">
        <v>4</v>
      </c>
      <c r="AW142" s="438">
        <v>4</v>
      </c>
      <c r="AX142" s="438">
        <v>3</v>
      </c>
      <c r="AY142" s="438">
        <v>4</v>
      </c>
      <c r="AZ142" s="438">
        <v>3</v>
      </c>
      <c r="BA142" s="438">
        <v>3</v>
      </c>
      <c r="BB142" s="438">
        <v>3</v>
      </c>
      <c r="BC142" s="438">
        <v>4</v>
      </c>
      <c r="BD142" s="438">
        <v>4</v>
      </c>
      <c r="BE142" s="438">
        <v>4</v>
      </c>
      <c r="BF142" s="438">
        <v>3</v>
      </c>
      <c r="BG142" s="438">
        <v>3</v>
      </c>
      <c r="BH142" s="438">
        <v>3</v>
      </c>
      <c r="BI142" s="438">
        <v>5</v>
      </c>
      <c r="BJ142" s="438">
        <v>4</v>
      </c>
      <c r="BK142" s="438">
        <v>3</v>
      </c>
      <c r="BL142" s="438">
        <v>5</v>
      </c>
      <c r="BM142" s="438">
        <v>3</v>
      </c>
      <c r="BN142" s="422" t="s">
        <v>540</v>
      </c>
      <c r="BO142" s="422">
        <v>-37.678571428571402</v>
      </c>
      <c r="BP142" s="422">
        <v>-539.75</v>
      </c>
      <c r="BQ142" s="422">
        <v>100</v>
      </c>
      <c r="BR142" s="438" t="s">
        <v>749</v>
      </c>
      <c r="BS142" s="422">
        <v>-37.678571428571402</v>
      </c>
      <c r="BT142" s="422">
        <v>-403.53571428571399</v>
      </c>
      <c r="BU142" s="422">
        <v>100</v>
      </c>
      <c r="BV142" s="438" t="s">
        <v>749</v>
      </c>
      <c r="BW142" s="422">
        <v>-37.678571428571402</v>
      </c>
      <c r="BX142" s="422">
        <v>-388.67857142857099</v>
      </c>
      <c r="BY142" s="422">
        <v>100</v>
      </c>
      <c r="BZ142" s="422" t="str">
        <f t="shared" ref="BZ142" si="1198">BV142</f>
        <v>Grades</v>
      </c>
      <c r="CA142" s="422">
        <v>-37.678571428571402</v>
      </c>
      <c r="CB142" s="422">
        <v>-406.07142857142901</v>
      </c>
      <c r="CC142" s="422">
        <v>100</v>
      </c>
      <c r="CD142" s="422" t="str">
        <f t="shared" ref="CD142" si="1199">BZ142</f>
        <v>Grades</v>
      </c>
      <c r="CE142" s="422">
        <f t="shared" ref="CE142" si="1200">CA142</f>
        <v>-37.678571428571402</v>
      </c>
      <c r="CF142" s="422">
        <v>-392.57142857142901</v>
      </c>
      <c r="CG142" s="422">
        <v>100</v>
      </c>
      <c r="CH142" s="422" t="str">
        <f t="shared" ref="CH142" si="1201">CD142</f>
        <v>Grades</v>
      </c>
      <c r="CI142" s="422">
        <v>-37.678571428571402</v>
      </c>
      <c r="CJ142" s="422">
        <v>-209.53571428571399</v>
      </c>
      <c r="CK142" s="422">
        <v>100</v>
      </c>
      <c r="CL142" s="422" t="str">
        <f t="shared" ref="CL142" si="1202">CH142</f>
        <v>Grades</v>
      </c>
      <c r="CM142" s="422">
        <v>-37.678571428571402</v>
      </c>
      <c r="CN142" s="422">
        <v>60</v>
      </c>
      <c r="CO142" s="422"/>
      <c r="CP142" s="422">
        <v>40</v>
      </c>
      <c r="CQ142" s="422">
        <v>9.1120689655173894</v>
      </c>
      <c r="CR142" s="422">
        <v>100</v>
      </c>
      <c r="CS142" s="438" t="str">
        <f t="shared" ref="CS142" si="1203">CL142</f>
        <v>Grades</v>
      </c>
      <c r="CT142" s="422">
        <v>-86.842105263157706</v>
      </c>
      <c r="CU142" s="422">
        <v>-447.36842105263202</v>
      </c>
      <c r="CV142" s="422">
        <v>100</v>
      </c>
      <c r="CW142" s="438" t="str">
        <f t="shared" ref="CW142" si="1204">CS142</f>
        <v>Grades</v>
      </c>
      <c r="CX142" s="422">
        <v>-110.833333333333</v>
      </c>
      <c r="CY142" s="422">
        <v>-406.07142857142901</v>
      </c>
      <c r="CZ142" s="422">
        <v>100</v>
      </c>
      <c r="DA142" s="438" t="str">
        <f t="shared" ref="DA142" si="1205">CW142</f>
        <v>Grades</v>
      </c>
      <c r="DB142" s="422">
        <v>-360</v>
      </c>
      <c r="DC142" s="422">
        <v>-328.392857142857</v>
      </c>
      <c r="DD142" s="422">
        <v>100</v>
      </c>
      <c r="DE142" s="422" t="str">
        <f t="shared" ref="DE142" si="1206">DA142</f>
        <v>Grades</v>
      </c>
      <c r="DF142" s="422">
        <v>40</v>
      </c>
      <c r="DG142" s="422">
        <v>-406.07142857142901</v>
      </c>
      <c r="DH142" s="422">
        <v>100</v>
      </c>
      <c r="DI142" s="422" t="str">
        <f t="shared" ref="DI142" si="1207">DE142</f>
        <v>Grades</v>
      </c>
      <c r="DJ142" s="422">
        <v>-160</v>
      </c>
      <c r="DK142" s="422">
        <v>22.821428571428498</v>
      </c>
      <c r="DL142" s="422">
        <v>100</v>
      </c>
      <c r="DM142" s="422" t="str">
        <f t="shared" ref="DM142" si="1208">DI142</f>
        <v>Grades</v>
      </c>
      <c r="DN142" s="422">
        <v>-160</v>
      </c>
      <c r="DO142" s="422">
        <v>-36.75</v>
      </c>
      <c r="DP142" s="422">
        <v>100</v>
      </c>
      <c r="DQ142" s="438" t="str">
        <f t="shared" ref="DQ142" si="1209">DM142</f>
        <v>Grades</v>
      </c>
      <c r="DR142" s="422">
        <v>-560</v>
      </c>
      <c r="DS142" s="422">
        <v>-325.17857142857099</v>
      </c>
      <c r="DT142" s="422">
        <v>100</v>
      </c>
      <c r="DU142" s="438" t="str">
        <f t="shared" ref="DU142" si="1210">DQ142</f>
        <v>Grades</v>
      </c>
      <c r="DV142" s="422">
        <v>-160</v>
      </c>
      <c r="DW142" s="422">
        <v>37.357142857142797</v>
      </c>
      <c r="DX142" s="422">
        <v>100</v>
      </c>
      <c r="DY142" s="438" t="str">
        <f t="shared" ref="DY142" si="1211">DU142</f>
        <v>Grades</v>
      </c>
      <c r="DZ142" s="422">
        <v>40</v>
      </c>
      <c r="EA142" s="422">
        <v>-60.75</v>
      </c>
      <c r="EB142" s="422">
        <v>100</v>
      </c>
      <c r="EC142" s="438" t="str">
        <f t="shared" ref="EC142" si="1212">DY142</f>
        <v>Grades</v>
      </c>
      <c r="ED142" s="422">
        <f t="shared" si="1187"/>
        <v>1600</v>
      </c>
      <c r="EE142" s="422">
        <f t="shared" si="1190"/>
        <v>100</v>
      </c>
      <c r="EF142" s="438" t="str">
        <f t="shared" si="1191"/>
        <v>A1</v>
      </c>
      <c r="EG142" s="422" t="str">
        <f t="shared" si="1192"/>
        <v>DISTINTION</v>
      </c>
      <c r="EH142" s="439">
        <v>1</v>
      </c>
      <c r="EI142" s="422">
        <f t="shared" si="1193"/>
        <v>1600</v>
      </c>
      <c r="EJ142" s="440">
        <f t="shared" si="1194"/>
        <v>1</v>
      </c>
      <c r="EK142" s="438" t="s">
        <v>573</v>
      </c>
      <c r="EL142" s="438" t="s">
        <v>762</v>
      </c>
    </row>
    <row r="143" spans="1:142" ht="30">
      <c r="A143" s="690"/>
      <c r="B143" s="690"/>
      <c r="C143" s="690"/>
      <c r="D143" s="690"/>
      <c r="E143" s="690"/>
      <c r="F143" s="690"/>
      <c r="G143" s="690"/>
      <c r="H143" s="690"/>
      <c r="I143" s="690"/>
      <c r="J143" s="690"/>
      <c r="K143" s="690"/>
      <c r="L143" s="690"/>
      <c r="M143" s="690"/>
      <c r="N143" s="690"/>
      <c r="O143" s="690"/>
      <c r="P143" s="690"/>
      <c r="Q143" s="690"/>
      <c r="R143" s="690"/>
      <c r="S143" s="690"/>
      <c r="T143" s="690"/>
      <c r="U143" s="690"/>
      <c r="V143" s="690"/>
      <c r="W143" s="690"/>
      <c r="X143" s="690"/>
      <c r="Y143" s="690"/>
      <c r="Z143" s="690"/>
      <c r="AA143" s="420">
        <f t="shared" si="1127"/>
        <v>142</v>
      </c>
      <c r="AB143" s="435" t="s">
        <v>58</v>
      </c>
      <c r="AC143" s="422" t="s">
        <v>394</v>
      </c>
      <c r="AD143" s="422" t="s">
        <v>326</v>
      </c>
      <c r="AE143" s="422">
        <v>33.714285714285701</v>
      </c>
      <c r="AF143" s="422">
        <f>'SSS1 ATTENDANCE '!FJ149</f>
        <v>0</v>
      </c>
      <c r="AG143" s="422">
        <f>'SSS1 ATTENDANCE '!FH149</f>
        <v>0</v>
      </c>
      <c r="AH143" s="422">
        <f>'SSS1 ATTENDANCE '!FI149</f>
        <v>0</v>
      </c>
      <c r="AI143" s="436" t="s">
        <v>715</v>
      </c>
      <c r="AJ143" s="437">
        <v>40844</v>
      </c>
      <c r="AK143" s="435" t="s">
        <v>396</v>
      </c>
      <c r="AL143" s="424">
        <v>25</v>
      </c>
      <c r="AM143" s="422">
        <v>100.21428571428601</v>
      </c>
      <c r="AN143" s="438">
        <v>4</v>
      </c>
      <c r="AO143" s="422" t="str">
        <f t="shared" si="1188"/>
        <v>3</v>
      </c>
      <c r="AP143" s="438">
        <v>5</v>
      </c>
      <c r="AQ143" s="422">
        <v>4</v>
      </c>
      <c r="AR143" s="438">
        <v>4</v>
      </c>
      <c r="AS143" s="438">
        <v>4</v>
      </c>
      <c r="AT143" s="438">
        <v>4</v>
      </c>
      <c r="AU143" s="438">
        <v>3</v>
      </c>
      <c r="AV143" s="438">
        <v>4</v>
      </c>
      <c r="AW143" s="438">
        <v>4</v>
      </c>
      <c r="AX143" s="438">
        <v>3</v>
      </c>
      <c r="AY143" s="438">
        <v>4</v>
      </c>
      <c r="AZ143" s="438">
        <v>3</v>
      </c>
      <c r="BA143" s="438">
        <v>3</v>
      </c>
      <c r="BB143" s="438">
        <v>3</v>
      </c>
      <c r="BC143" s="438">
        <v>4</v>
      </c>
      <c r="BD143" s="438">
        <v>4</v>
      </c>
      <c r="BE143" s="438">
        <v>4</v>
      </c>
      <c r="BF143" s="438">
        <v>3</v>
      </c>
      <c r="BG143" s="438">
        <v>3</v>
      </c>
      <c r="BH143" s="438">
        <v>3</v>
      </c>
      <c r="BI143" s="438">
        <v>5</v>
      </c>
      <c r="BJ143" s="438">
        <v>4</v>
      </c>
      <c r="BK143" s="438">
        <v>3</v>
      </c>
      <c r="BL143" s="438">
        <v>5</v>
      </c>
      <c r="BM143" s="438">
        <v>3</v>
      </c>
      <c r="BN143" s="422" t="s">
        <v>541</v>
      </c>
      <c r="BO143" s="438">
        <v>-38.214285714285701</v>
      </c>
      <c r="BP143" s="438">
        <v>-543.92857142857099</v>
      </c>
      <c r="BQ143" s="422">
        <f t="shared" ref="BQ143:BQ148" si="1213">SUM(BO143:BP143)</f>
        <v>-582.14285714285666</v>
      </c>
      <c r="BR143" s="438" t="str">
        <f t="shared" ref="BR143:BR148" si="1214">IF(BQ143&gt;=80,"A1",
IF(BQ143&gt;=75,"A",
IF(BQ143&gt;=70,"B2",
IF(BQ143&gt;=65,"B3",
IF(BQ143&gt;=60,"C4",
IF(BQ143&gt;=55,"C5",
IF(BQ143&gt;=50,"C6",
IF(BQ143&gt;=45,"D7",
IF(BQ143&gt;=40,"E8",
IF(BQ143&gt;=1,"F9",""))))))))))</f>
        <v/>
      </c>
      <c r="BS143" s="422">
        <v>-38.214285714285701</v>
      </c>
      <c r="BT143" s="438">
        <v>-406.78571428571399</v>
      </c>
      <c r="BU143" s="422">
        <f t="shared" ref="BU143:BU148" si="1215">SUM(BS143:BT143)</f>
        <v>-444.99999999999972</v>
      </c>
      <c r="BV143" s="438" t="str">
        <f t="shared" ref="BV143:BV148" si="1216">IF(BU143&gt;=80,"A1",
IF(BU143&gt;=75,"A",
IF(BU143&gt;=70,"B2",
IF(BU143&gt;=65,"B3",
IF(BU143&gt;=60,"C4",
IF(BU143&gt;=55,"C5",
IF(BU143&gt;=50,"C6",
IF(BU143&gt;=45,"D7",
IF(BU143&gt;=40,"E8",
IF(BU143&gt;=1,"F9",""))))))))))</f>
        <v/>
      </c>
      <c r="BW143" s="422">
        <v>-38.214285714285701</v>
      </c>
      <c r="BX143" s="422">
        <v>-391.78571428571399</v>
      </c>
      <c r="BY143" s="422">
        <f t="shared" ref="BY143:BY148" si="1217">SUM(BW143:BX143)</f>
        <v>-429.99999999999972</v>
      </c>
      <c r="BZ143" s="438" t="str">
        <f t="shared" ref="BZ143:BZ148" si="1218">IF(BY143&gt;=80,"A1",
IF(BY143&gt;=75,"A",
IF(BY143&gt;=70,"B2",
IF(BY143&gt;=65,"B3",
IF(BY143&gt;=60,"C4",
IF(BY143&gt;=55,"C5",
IF(BY143&gt;=50,"C6",
IF(BY143&gt;=45,"D7",
IF(BY143&gt;=40,"E8",
IF(BY143&gt;=1,"F9",""))))))))))</f>
        <v/>
      </c>
      <c r="CA143" s="422">
        <v>-38.214285714285701</v>
      </c>
      <c r="CB143" s="422">
        <v>-409.28571428571502</v>
      </c>
      <c r="CC143" s="422">
        <f t="shared" ref="CC143:CC148" si="1219">SUM(CA143:CB143)</f>
        <v>-447.50000000000074</v>
      </c>
      <c r="CD143" s="438" t="str">
        <f t="shared" ref="CD143:CD148" si="1220">IF(CC143&gt;=80,"A1",
IF(CC143&gt;=75,"A",
IF(CC143&gt;=70,"B2",
IF(CC143&gt;=65,"B3",
IF(CC143&gt;=60,"C4",
IF(CC143&gt;=55,"C5",
IF(CC143&gt;=50,"C6",
IF(CC143&gt;=45,"D7",
IF(CC143&gt;=40,"E8",
IF(CC143&gt;=1,"F9",""))))))))))</f>
        <v/>
      </c>
      <c r="CE143" s="422">
        <v>35</v>
      </c>
      <c r="CF143" s="422">
        <v>-395.71428571428601</v>
      </c>
      <c r="CG143" s="422">
        <f t="shared" ref="CG143:CG148" si="1221">SUM(CE143:CF143)</f>
        <v>-360.71428571428601</v>
      </c>
      <c r="CH143" s="438" t="str">
        <f t="shared" ref="CH143:CH148" si="1222">IF(CG143&gt;=80,"A1",
IF(CG143&gt;=75,"A",
IF(CG143&gt;=70,"B2",
IF(CG143&gt;=65,"B3",
IF(CG143&gt;=60,"C4",
IF(CG143&gt;=55,"C5",
IF(CG143&gt;=50,"C6",
IF(CG143&gt;=45,"D7",
IF(CG143&gt;=40,"E8",
IF(CG143&gt;=1,"F9",""))))))))))</f>
        <v/>
      </c>
      <c r="CI143" s="422">
        <v>-38.214285714285701</v>
      </c>
      <c r="CJ143" s="422">
        <v>-211.357142857143</v>
      </c>
      <c r="CK143" s="422">
        <f t="shared" ref="CK143:CK148" si="1223">SUM(CI143:CJ143)</f>
        <v>-249.5714285714287</v>
      </c>
      <c r="CL143" s="438" t="str">
        <f t="shared" ref="CL143:CL148" si="1224">IF(CK143&gt;=80,"A1",
IF(CK143&gt;=75,"A",
IF(CK143&gt;=70,"B2",
IF(CK143&gt;=65,"B3",
IF(CK143&gt;=60,"C4",
IF(CK143&gt;=55,"C5",
IF(CK143&gt;=50,"C6",
IF(CK143&gt;=45,"D7",
IF(CK143&gt;=40,"E8",
IF(CK143&gt;=1,"F9",""))))))))))</f>
        <v/>
      </c>
      <c r="CM143" s="422">
        <v>-38.214285714285701</v>
      </c>
      <c r="CN143" s="422"/>
      <c r="CO143" s="422"/>
      <c r="CP143" s="422">
        <f t="shared" ref="CP143:CP144" si="1225">CM143</f>
        <v>-38.214285714285701</v>
      </c>
      <c r="CQ143" s="422">
        <v>8.8275862068966902</v>
      </c>
      <c r="CR143" s="422">
        <f t="shared" ref="CR143:CR148" si="1226">SUM(CP143:CQ143)</f>
        <v>-29.386699507389011</v>
      </c>
      <c r="CS143" s="438" t="str">
        <f t="shared" ref="CS143:CS148" si="1227">IF(CR143&gt;=80,"A1",
IF(CR143&gt;=75,"A",
IF(CR143&gt;=70,"B2",
IF(CR143&gt;=65,"B3",
IF(CR143&gt;=60,"C4",
IF(CR143&gt;=55,"C5",
IF(CR143&gt;=50,"C6",
IF(CR143&gt;=45,"D7",
IF(CR143&gt;=40,"E8",
IF(CR143&gt;=1,"F9",""))))))))))</f>
        <v/>
      </c>
      <c r="CT143" s="422">
        <v>-87.894736842105701</v>
      </c>
      <c r="CU143" s="422">
        <v>-451.57894736842201</v>
      </c>
      <c r="CV143" s="422">
        <f t="shared" ref="CV143:CV148" si="1228">SUM(CT143:CU143)</f>
        <v>-539.47368421052772</v>
      </c>
      <c r="CW143" s="438" t="str">
        <f t="shared" ref="CW143:CW148" si="1229">IF(CV143&gt;=80,"A1",
IF(CV143&gt;=75,"A",
IF(CV143&gt;=70,"B2",
IF(CV143&gt;=65,"B3",
IF(CV143&gt;=60,"C4",
IF(CV143&gt;=55,"C5",
IF(CV143&gt;=50,"C6",
IF(CV143&gt;=45,"D7",
IF(CV143&gt;=40,"E8",
IF(CV143&gt;=1,"F9",""))))))))))</f>
        <v/>
      </c>
      <c r="CX143" s="422">
        <v>-113.333333333333</v>
      </c>
      <c r="CY143" s="422">
        <v>-409.28571428571502</v>
      </c>
      <c r="CZ143" s="422">
        <f t="shared" ref="CZ143:CZ148" si="1230">SUM(CX143:CY143)</f>
        <v>-522.61904761904805</v>
      </c>
      <c r="DA143" s="438" t="str">
        <f t="shared" ref="DA143:DA148" si="1231">IF(CZ143&gt;=80,"A1",
IF(CZ143&gt;=75,"A",
IF(CZ143&gt;=70,"B2",
IF(CZ143&gt;=65,"B3",
IF(CZ143&gt;=60,"C4",
IF(CZ143&gt;=55,"C5",
IF(CZ143&gt;=50,"C6",
IF(CZ143&gt;=45,"D7",
IF(CZ143&gt;=40,"E8",
IF(CZ143&gt;=1,"F9",""))))))))))</f>
        <v/>
      </c>
      <c r="DB143" s="422">
        <v>-370</v>
      </c>
      <c r="DC143" s="422">
        <v>-331.07142857142901</v>
      </c>
      <c r="DD143" s="422">
        <f t="shared" ref="DD143:DD148" si="1232">SUM(DB143:DC143)</f>
        <v>-701.07142857142901</v>
      </c>
      <c r="DE143" s="422" t="str">
        <f t="shared" ref="DE143:DE148" si="1233">IF(DD143&gt;=80,"A1",
IF(DD143&gt;=75,"A",
IF(DD143&gt;=70,"B2",
IF(DD143&gt;=65,"B3",
IF(DD143&gt;=60,"C4",
IF(DD143&gt;=55,"C5",
IF(DD143&gt;=50,"C6",
IF(DD143&gt;=45,"D7",
IF(DD143&gt;=40,"E8",
IF(DD143&gt;=1,"F9",""))))))))))</f>
        <v/>
      </c>
      <c r="DF143" s="422">
        <f t="shared" ref="DF143:DF148" si="1234">DB143</f>
        <v>-370</v>
      </c>
      <c r="DG143" s="422">
        <v>-409.28571428571502</v>
      </c>
      <c r="DH143" s="422">
        <f t="shared" ref="DH143:DH148" si="1235">SUM(DF143:DG143)</f>
        <v>-779.28571428571502</v>
      </c>
      <c r="DI143" s="422" t="str">
        <f t="shared" ref="DI143:DI148" si="1236">IF(DH143&gt;=80,"A1",
IF(DH143&gt;=75,"A",
IF(DH143&gt;=70,"B2",
IF(DH143&gt;=65,"B3",
IF(DH143&gt;=60,"C4",
IF(DH143&gt;=55,"C5",
IF(DH143&gt;=50,"C6",
IF(DH143&gt;=45,"D7",
IF(DH143&gt;=40,"E8",
IF(DH143&gt;=1,"F9",""))))))))))</f>
        <v/>
      </c>
      <c r="DJ143" s="422">
        <v>-165</v>
      </c>
      <c r="DK143" s="422">
        <v>22.6428571428571</v>
      </c>
      <c r="DL143" s="422">
        <f t="shared" ref="DL143:DL148" si="1237">SUM(DJ143:DK143)</f>
        <v>-142.35714285714289</v>
      </c>
      <c r="DM143" s="422" t="str">
        <f t="shared" ref="DM143:DM148" si="1238">IF(DL143&gt;=80,"A1",
IF(DL143&gt;=75,"A",
IF(DL143&gt;=70,"B2",
IF(DL143&gt;=65,"B3",
IF(DL143&gt;=60,"C4",
IF(DL143&gt;=55,"C5",
IF(DL143&gt;=50,"C6",
IF(DL143&gt;=45,"D7",
IF(DL143&gt;=40,"E8",
IF(DL143&gt;=1,"F9",""))))))))))</f>
        <v/>
      </c>
      <c r="DN143" s="422">
        <v>-165</v>
      </c>
      <c r="DO143" s="422">
        <v>-37.357142857142897</v>
      </c>
      <c r="DP143" s="422">
        <f t="shared" ref="DP143:DP148" si="1239">SUM(DN143:DO143)</f>
        <v>-202.35714285714289</v>
      </c>
      <c r="DQ143" s="438" t="str">
        <f t="shared" ref="DQ143:DQ148" si="1240">IF(DP143&gt;=80,"A1",
IF(DP143&gt;=75,"A",
IF(DP143&gt;=70,"B2",
IF(DP143&gt;=65,"B3",
IF(DP143&gt;=60,"C4",
IF(DP143&gt;=55,"C5",
IF(DP143&gt;=50,"C6",
IF(DP143&gt;=45,"D7",
IF(DP143&gt;=40,"E8",
IF(DP143&gt;=1,"F9",""))))))))))</f>
        <v/>
      </c>
      <c r="DR143" s="422">
        <v>-575</v>
      </c>
      <c r="DS143" s="422">
        <v>-327.78571428571399</v>
      </c>
      <c r="DT143" s="422">
        <f t="shared" ref="DT143:DT148" si="1241">SUM(DR143:DS143)</f>
        <v>-902.78571428571399</v>
      </c>
      <c r="DU143" s="438" t="str">
        <f t="shared" ref="DU143:DU148" si="1242">IF(DT143&gt;=80,"A1",
IF(DT143&gt;=75,"A",
IF(DT143&gt;=70,"B2",
IF(DT143&gt;=65,"B3",
IF(DT143&gt;=60,"C4",
IF(DT143&gt;=55,"C5",
IF(DT143&gt;=50,"C6",
IF(DT143&gt;=45,"D7",
IF(DT143&gt;=40,"E8",
IF(DT143&gt;=1,"F9",""))))))))))</f>
        <v/>
      </c>
      <c r="DV143" s="422">
        <v>-165</v>
      </c>
      <c r="DW143" s="422">
        <v>37.285714285714199</v>
      </c>
      <c r="DX143" s="422">
        <f t="shared" ref="DX143:DX148" si="1243">SUM(DV143:DW143)</f>
        <v>-127.71428571428581</v>
      </c>
      <c r="DY143" s="438" t="str">
        <f t="shared" ref="DY143:DY148" si="1244">IF(DX143&gt;=80,"A1",
IF(DX143&gt;=75,"A",
IF(DX143&gt;=70,"B2",
IF(DX143&gt;=65,"B3",
IF(DX143&gt;=60,"C4",
IF(DX143&gt;=55,"C5",
IF(DX143&gt;=50,"C6",
IF(DX143&gt;=45,"D7",
IF(DX143&gt;=40,"E8",
IF(DX143&gt;=1,"F9",""))))))))))</f>
        <v/>
      </c>
      <c r="DZ143" s="422">
        <f t="shared" ref="DZ143:DZ148" si="1245">DV143</f>
        <v>-165</v>
      </c>
      <c r="EA143" s="422">
        <v>-61.5</v>
      </c>
      <c r="EB143" s="422">
        <f t="shared" ref="EB143:EB148" si="1246">SUM(DZ143:EA143)</f>
        <v>-226.5</v>
      </c>
      <c r="EC143" s="438" t="str">
        <f t="shared" ref="EC143:EC148" si="1247">IF(EB143&gt;=80,"A1",
IF(EB143&gt;=75,"A",
IF(EB143&gt;=70,"B2",
IF(EB143&gt;=65,"B3",
IF(EB143&gt;=60,"C4",
IF(EB143&gt;=55,"C5",
IF(EB143&gt;=50,"C6",
IF(EB143&gt;=45,"D7",
IF(EB143&gt;=40,"E8",
IF(EB143&gt;=1,"F9",""))))))))))</f>
        <v/>
      </c>
      <c r="ED143" s="422">
        <f t="shared" si="1187"/>
        <v>-6688.4794313369666</v>
      </c>
      <c r="EE143" s="422">
        <f t="shared" si="1190"/>
        <v>-418.02996445856041</v>
      </c>
      <c r="EF143" s="438" t="str">
        <f t="shared" si="1191"/>
        <v/>
      </c>
      <c r="EG143" s="422" t="str">
        <f t="shared" si="1192"/>
        <v/>
      </c>
      <c r="EH143" s="439">
        <v>1</v>
      </c>
      <c r="EI143" s="422">
        <f t="shared" si="1193"/>
        <v>-6688.4794313369666</v>
      </c>
      <c r="EJ143" s="440">
        <f t="shared" si="1194"/>
        <v>-4.1802996445856042</v>
      </c>
      <c r="EK143" s="438" t="s">
        <v>573</v>
      </c>
      <c r="EL143" s="438" t="s">
        <v>762</v>
      </c>
    </row>
    <row r="144" spans="1:142" ht="30">
      <c r="A144" s="690"/>
      <c r="B144" s="690"/>
      <c r="C144" s="690"/>
      <c r="D144" s="690"/>
      <c r="E144" s="690"/>
      <c r="F144" s="690"/>
      <c r="G144" s="690"/>
      <c r="H144" s="690"/>
      <c r="I144" s="690"/>
      <c r="J144" s="690"/>
      <c r="K144" s="690"/>
      <c r="L144" s="690"/>
      <c r="M144" s="690"/>
      <c r="N144" s="690"/>
      <c r="O144" s="690"/>
      <c r="P144" s="690"/>
      <c r="Q144" s="690"/>
      <c r="R144" s="690"/>
      <c r="S144" s="690"/>
      <c r="T144" s="690"/>
      <c r="U144" s="690"/>
      <c r="V144" s="690"/>
      <c r="W144" s="690"/>
      <c r="X144" s="690"/>
      <c r="Y144" s="690"/>
      <c r="Z144" s="690"/>
      <c r="AA144" s="420">
        <f t="shared" si="1127"/>
        <v>143</v>
      </c>
      <c r="AB144" s="435" t="s">
        <v>59</v>
      </c>
      <c r="AC144" s="422" t="s">
        <v>394</v>
      </c>
      <c r="AD144" s="422" t="s">
        <v>326</v>
      </c>
      <c r="AE144" s="422">
        <v>33.857142857142897</v>
      </c>
      <c r="AF144" s="422">
        <f>'SSS1 ATTENDANCE '!FJ150</f>
        <v>0</v>
      </c>
      <c r="AG144" s="422">
        <f>'SSS1 ATTENDANCE '!FH150</f>
        <v>0</v>
      </c>
      <c r="AH144" s="422">
        <f>'SSS1 ATTENDANCE '!FI150</f>
        <v>0</v>
      </c>
      <c r="AI144" s="436" t="s">
        <v>716</v>
      </c>
      <c r="AJ144" s="437">
        <v>40754</v>
      </c>
      <c r="AK144" s="435" t="s">
        <v>396</v>
      </c>
      <c r="AL144" s="424">
        <v>25</v>
      </c>
      <c r="AM144" s="422">
        <v>100.75</v>
      </c>
      <c r="AN144" s="438">
        <v>4</v>
      </c>
      <c r="AO144" s="422" t="str">
        <f t="shared" si="1188"/>
        <v>3</v>
      </c>
      <c r="AP144" s="438">
        <v>5</v>
      </c>
      <c r="AQ144" s="422">
        <v>4</v>
      </c>
      <c r="AR144" s="438">
        <v>4</v>
      </c>
      <c r="AS144" s="438">
        <v>4</v>
      </c>
      <c r="AT144" s="438">
        <v>4</v>
      </c>
      <c r="AU144" s="438">
        <v>3</v>
      </c>
      <c r="AV144" s="438">
        <v>4</v>
      </c>
      <c r="AW144" s="438">
        <v>4</v>
      </c>
      <c r="AX144" s="438">
        <v>3</v>
      </c>
      <c r="AY144" s="438">
        <v>4</v>
      </c>
      <c r="AZ144" s="438">
        <v>3</v>
      </c>
      <c r="BA144" s="438">
        <v>3</v>
      </c>
      <c r="BB144" s="438">
        <v>3</v>
      </c>
      <c r="BC144" s="438">
        <v>4</v>
      </c>
      <c r="BD144" s="438">
        <v>4</v>
      </c>
      <c r="BE144" s="438">
        <v>4</v>
      </c>
      <c r="BF144" s="438">
        <v>3</v>
      </c>
      <c r="BG144" s="438">
        <v>3</v>
      </c>
      <c r="BH144" s="438">
        <v>3</v>
      </c>
      <c r="BI144" s="438">
        <v>5</v>
      </c>
      <c r="BJ144" s="438">
        <v>4</v>
      </c>
      <c r="BK144" s="438">
        <v>3</v>
      </c>
      <c r="BL144" s="438">
        <v>5</v>
      </c>
      <c r="BM144" s="438">
        <v>3</v>
      </c>
      <c r="BN144" s="422" t="s">
        <v>542</v>
      </c>
      <c r="BO144" s="438">
        <v>-38.75</v>
      </c>
      <c r="BP144" s="438">
        <v>-548.107142857143</v>
      </c>
      <c r="BQ144" s="422">
        <f t="shared" si="1213"/>
        <v>-586.857142857143</v>
      </c>
      <c r="BR144" s="438" t="str">
        <f t="shared" si="1214"/>
        <v/>
      </c>
      <c r="BS144" s="422">
        <v>-38.75</v>
      </c>
      <c r="BT144" s="438">
        <v>-410.03571428571399</v>
      </c>
      <c r="BU144" s="422">
        <f t="shared" si="1215"/>
        <v>-448.78571428571399</v>
      </c>
      <c r="BV144" s="438" t="str">
        <f t="shared" si="1216"/>
        <v/>
      </c>
      <c r="BW144" s="422">
        <v>-38.75</v>
      </c>
      <c r="BX144" s="422">
        <v>-394.892857142857</v>
      </c>
      <c r="BY144" s="422">
        <f t="shared" si="1217"/>
        <v>-433.642857142857</v>
      </c>
      <c r="BZ144" s="438" t="str">
        <f t="shared" si="1218"/>
        <v/>
      </c>
      <c r="CA144" s="422">
        <v>-38.75</v>
      </c>
      <c r="CB144" s="422">
        <v>-412.50000000000102</v>
      </c>
      <c r="CC144" s="422">
        <f t="shared" si="1219"/>
        <v>-451.25000000000102</v>
      </c>
      <c r="CD144" s="438" t="str">
        <f t="shared" si="1220"/>
        <v/>
      </c>
      <c r="CE144" s="422">
        <v>35</v>
      </c>
      <c r="CF144" s="422">
        <v>-398.857142857143</v>
      </c>
      <c r="CG144" s="422">
        <f t="shared" si="1221"/>
        <v>-363.857142857143</v>
      </c>
      <c r="CH144" s="438" t="str">
        <f t="shared" si="1222"/>
        <v/>
      </c>
      <c r="CI144" s="422">
        <v>-38.75</v>
      </c>
      <c r="CJ144" s="422">
        <v>-213.17857142857099</v>
      </c>
      <c r="CK144" s="422">
        <f t="shared" si="1223"/>
        <v>-251.92857142857099</v>
      </c>
      <c r="CL144" s="438" t="str">
        <f t="shared" si="1224"/>
        <v/>
      </c>
      <c r="CM144" s="422">
        <v>-38.75</v>
      </c>
      <c r="CN144" s="422"/>
      <c r="CO144" s="422"/>
      <c r="CP144" s="422">
        <f t="shared" si="1225"/>
        <v>-38.75</v>
      </c>
      <c r="CQ144" s="422">
        <v>8.5431034482759909</v>
      </c>
      <c r="CR144" s="422">
        <f t="shared" si="1226"/>
        <v>-30.206896551724007</v>
      </c>
      <c r="CS144" s="438" t="str">
        <f t="shared" si="1227"/>
        <v/>
      </c>
      <c r="CT144" s="422">
        <v>-88.947368421052701</v>
      </c>
      <c r="CU144" s="422">
        <v>-455.78947368421098</v>
      </c>
      <c r="CV144" s="422">
        <f t="shared" si="1228"/>
        <v>-544.73684210526369</v>
      </c>
      <c r="CW144" s="438" t="str">
        <f t="shared" si="1229"/>
        <v/>
      </c>
      <c r="CX144" s="422">
        <v>-115.833333333333</v>
      </c>
      <c r="CY144" s="422">
        <v>-412.50000000000102</v>
      </c>
      <c r="CZ144" s="422">
        <f t="shared" si="1230"/>
        <v>-528.33333333333405</v>
      </c>
      <c r="DA144" s="438" t="str">
        <f t="shared" si="1231"/>
        <v/>
      </c>
      <c r="DB144" s="422">
        <f t="shared" ref="DB144:DB148" si="1248">CX144</f>
        <v>-115.833333333333</v>
      </c>
      <c r="DC144" s="422">
        <v>-333.75</v>
      </c>
      <c r="DD144" s="422">
        <f t="shared" si="1232"/>
        <v>-449.58333333333303</v>
      </c>
      <c r="DE144" s="422" t="str">
        <f t="shared" si="1233"/>
        <v/>
      </c>
      <c r="DF144" s="422">
        <f t="shared" si="1234"/>
        <v>-115.833333333333</v>
      </c>
      <c r="DG144" s="422">
        <v>-412.50000000000102</v>
      </c>
      <c r="DH144" s="422">
        <f t="shared" si="1235"/>
        <v>-528.33333333333405</v>
      </c>
      <c r="DI144" s="422" t="str">
        <f t="shared" si="1236"/>
        <v/>
      </c>
      <c r="DJ144" s="422">
        <f t="shared" ref="DJ144:DJ148" si="1249">DF144</f>
        <v>-115.833333333333</v>
      </c>
      <c r="DK144" s="422">
        <v>22.464285714285602</v>
      </c>
      <c r="DL144" s="422">
        <f t="shared" si="1237"/>
        <v>-93.369047619047393</v>
      </c>
      <c r="DM144" s="422" t="str">
        <f t="shared" si="1238"/>
        <v/>
      </c>
      <c r="DN144" s="422">
        <f t="shared" ref="DN144:DN148" si="1250">DJ144</f>
        <v>-115.833333333333</v>
      </c>
      <c r="DO144" s="422">
        <v>-37.964285714285701</v>
      </c>
      <c r="DP144" s="422">
        <f t="shared" si="1239"/>
        <v>-153.7976190476187</v>
      </c>
      <c r="DQ144" s="438" t="str">
        <f t="shared" si="1240"/>
        <v/>
      </c>
      <c r="DR144" s="422">
        <f t="shared" ref="DR144:DR148" si="1251">DN144</f>
        <v>-115.833333333333</v>
      </c>
      <c r="DS144" s="422">
        <v>-330.392857142857</v>
      </c>
      <c r="DT144" s="422">
        <f t="shared" si="1241"/>
        <v>-446.22619047619003</v>
      </c>
      <c r="DU144" s="438" t="str">
        <f t="shared" si="1242"/>
        <v/>
      </c>
      <c r="DV144" s="422">
        <f t="shared" ref="DV144:DV148" si="1252">DR144</f>
        <v>-115.833333333333</v>
      </c>
      <c r="DW144" s="422">
        <v>37.214285714285701</v>
      </c>
      <c r="DX144" s="422">
        <f t="shared" si="1243"/>
        <v>-78.619047619047308</v>
      </c>
      <c r="DY144" s="438" t="str">
        <f t="shared" si="1244"/>
        <v/>
      </c>
      <c r="DZ144" s="422">
        <f t="shared" si="1245"/>
        <v>-115.833333333333</v>
      </c>
      <c r="EA144" s="422">
        <v>-62.25</v>
      </c>
      <c r="EB144" s="422">
        <f t="shared" si="1246"/>
        <v>-178.083333333333</v>
      </c>
      <c r="EC144" s="438" t="str">
        <f t="shared" si="1247"/>
        <v/>
      </c>
      <c r="ED144" s="422">
        <f t="shared" si="1187"/>
        <v>-5567.610405323655</v>
      </c>
      <c r="EE144" s="422">
        <f t="shared" si="1190"/>
        <v>-347.97565033272843</v>
      </c>
      <c r="EF144" s="438" t="str">
        <f t="shared" si="1191"/>
        <v/>
      </c>
      <c r="EG144" s="422" t="str">
        <f t="shared" si="1192"/>
        <v/>
      </c>
      <c r="EH144" s="439">
        <v>1</v>
      </c>
      <c r="EI144" s="422">
        <f t="shared" si="1193"/>
        <v>-5567.610405323655</v>
      </c>
      <c r="EJ144" s="440">
        <f t="shared" si="1194"/>
        <v>-3.4797565033272844</v>
      </c>
      <c r="EK144" s="438" t="s">
        <v>573</v>
      </c>
      <c r="EL144" s="438" t="s">
        <v>762</v>
      </c>
    </row>
    <row r="145" spans="1:142" ht="30">
      <c r="A145" s="690"/>
      <c r="B145" s="690"/>
      <c r="C145" s="690"/>
      <c r="D145" s="690"/>
      <c r="E145" s="690"/>
      <c r="F145" s="690"/>
      <c r="G145" s="690"/>
      <c r="H145" s="690"/>
      <c r="I145" s="690"/>
      <c r="J145" s="690"/>
      <c r="K145" s="690"/>
      <c r="L145" s="690"/>
      <c r="M145" s="690"/>
      <c r="N145" s="690"/>
      <c r="O145" s="690"/>
      <c r="P145" s="690"/>
      <c r="Q145" s="690"/>
      <c r="R145" s="690"/>
      <c r="S145" s="690"/>
      <c r="T145" s="690"/>
      <c r="U145" s="690"/>
      <c r="V145" s="690"/>
      <c r="W145" s="690"/>
      <c r="X145" s="690"/>
      <c r="Y145" s="690"/>
      <c r="Z145" s="690"/>
      <c r="AA145" s="420">
        <f t="shared" si="1127"/>
        <v>144</v>
      </c>
      <c r="AB145" s="435" t="s">
        <v>60</v>
      </c>
      <c r="AC145" s="422" t="s">
        <v>394</v>
      </c>
      <c r="AD145" s="422" t="s">
        <v>326</v>
      </c>
      <c r="AE145" s="422">
        <v>34</v>
      </c>
      <c r="AF145" s="422">
        <f>'SSS1 ATTENDANCE '!FJ151</f>
        <v>0</v>
      </c>
      <c r="AG145" s="422">
        <f>'SSS1 ATTENDANCE '!FH151</f>
        <v>0</v>
      </c>
      <c r="AH145" s="422">
        <f>'SSS1 ATTENDANCE '!FI151</f>
        <v>0</v>
      </c>
      <c r="AI145" s="436" t="s">
        <v>717</v>
      </c>
      <c r="AJ145" s="437">
        <v>40900</v>
      </c>
      <c r="AK145" s="435" t="s">
        <v>396</v>
      </c>
      <c r="AL145" s="424">
        <v>25</v>
      </c>
      <c r="AM145" s="422">
        <v>101.28571428571399</v>
      </c>
      <c r="AN145" s="438">
        <v>4</v>
      </c>
      <c r="AO145" s="422" t="str">
        <f t="shared" si="1188"/>
        <v>3</v>
      </c>
      <c r="AP145" s="438">
        <v>5</v>
      </c>
      <c r="AQ145" s="422">
        <v>4</v>
      </c>
      <c r="AR145" s="438">
        <v>4</v>
      </c>
      <c r="AS145" s="438">
        <v>4</v>
      </c>
      <c r="AT145" s="438">
        <v>4</v>
      </c>
      <c r="AU145" s="438">
        <v>3</v>
      </c>
      <c r="AV145" s="438">
        <v>4</v>
      </c>
      <c r="AW145" s="438">
        <v>4</v>
      </c>
      <c r="AX145" s="438">
        <v>3</v>
      </c>
      <c r="AY145" s="438">
        <v>4</v>
      </c>
      <c r="AZ145" s="438">
        <v>3</v>
      </c>
      <c r="BA145" s="438">
        <v>3</v>
      </c>
      <c r="BB145" s="438">
        <v>3</v>
      </c>
      <c r="BC145" s="438">
        <v>4</v>
      </c>
      <c r="BD145" s="438">
        <v>4</v>
      </c>
      <c r="BE145" s="438">
        <v>4</v>
      </c>
      <c r="BF145" s="438">
        <v>3</v>
      </c>
      <c r="BG145" s="438">
        <v>3</v>
      </c>
      <c r="BH145" s="438">
        <v>3</v>
      </c>
      <c r="BI145" s="438">
        <v>5</v>
      </c>
      <c r="BJ145" s="438">
        <v>4</v>
      </c>
      <c r="BK145" s="438">
        <v>3</v>
      </c>
      <c r="BL145" s="438">
        <v>5</v>
      </c>
      <c r="BM145" s="438">
        <v>3</v>
      </c>
      <c r="BN145" s="422" t="s">
        <v>543</v>
      </c>
      <c r="BO145" s="438">
        <v>-39.285714285714299</v>
      </c>
      <c r="BP145" s="438">
        <v>-552.28571428571399</v>
      </c>
      <c r="BQ145" s="422">
        <f t="shared" si="1213"/>
        <v>-591.57142857142833</v>
      </c>
      <c r="BR145" s="438" t="str">
        <f t="shared" si="1214"/>
        <v/>
      </c>
      <c r="BS145" s="422">
        <v>-39.285714285714299</v>
      </c>
      <c r="BT145" s="438">
        <v>-413.28571428571399</v>
      </c>
      <c r="BU145" s="422">
        <f t="shared" si="1215"/>
        <v>-452.57142857142827</v>
      </c>
      <c r="BV145" s="438" t="str">
        <f t="shared" si="1216"/>
        <v/>
      </c>
      <c r="BW145" s="422">
        <v>-39.285714285714299</v>
      </c>
      <c r="BX145" s="422">
        <v>-397.99999999999898</v>
      </c>
      <c r="BY145" s="422">
        <f t="shared" si="1217"/>
        <v>-437.28571428571325</v>
      </c>
      <c r="BZ145" s="438" t="str">
        <f t="shared" si="1218"/>
        <v/>
      </c>
      <c r="CA145" s="422">
        <v>-39.285714285714299</v>
      </c>
      <c r="CB145" s="422">
        <v>-415.71428571428601</v>
      </c>
      <c r="CC145" s="422">
        <f t="shared" si="1219"/>
        <v>-455.00000000000028</v>
      </c>
      <c r="CD145" s="438" t="str">
        <f t="shared" si="1220"/>
        <v/>
      </c>
      <c r="CE145" s="422">
        <v>35</v>
      </c>
      <c r="CF145" s="422">
        <v>-402.00000000000102</v>
      </c>
      <c r="CG145" s="422">
        <f t="shared" si="1221"/>
        <v>-367.00000000000102</v>
      </c>
      <c r="CH145" s="438" t="str">
        <f t="shared" si="1222"/>
        <v/>
      </c>
      <c r="CI145" s="422">
        <v>-39.285714285714299</v>
      </c>
      <c r="CJ145" s="422">
        <v>-215</v>
      </c>
      <c r="CK145" s="422">
        <f t="shared" si="1223"/>
        <v>-254.28571428571431</v>
      </c>
      <c r="CL145" s="438" t="str">
        <f t="shared" si="1224"/>
        <v/>
      </c>
      <c r="CM145" s="422">
        <v>-39.285714285714299</v>
      </c>
      <c r="CN145" s="422"/>
      <c r="CO145" s="422"/>
      <c r="CP145" s="422"/>
      <c r="CQ145" s="422">
        <v>8.2586206896553005</v>
      </c>
      <c r="CR145" s="422">
        <f t="shared" si="1226"/>
        <v>8.2586206896553005</v>
      </c>
      <c r="CS145" s="438" t="str">
        <f t="shared" si="1227"/>
        <v>F9</v>
      </c>
      <c r="CT145" s="422">
        <v>-89.999999999999702</v>
      </c>
      <c r="CU145" s="422">
        <v>-460.00000000000102</v>
      </c>
      <c r="CV145" s="422">
        <f t="shared" si="1228"/>
        <v>-550.00000000000068</v>
      </c>
      <c r="CW145" s="438" t="str">
        <f t="shared" si="1229"/>
        <v/>
      </c>
      <c r="CX145" s="422">
        <f t="shared" ref="CX145" si="1253">CT145</f>
        <v>-89.999999999999702</v>
      </c>
      <c r="CY145" s="422">
        <v>-415.71428571428601</v>
      </c>
      <c r="CZ145" s="422">
        <f t="shared" si="1230"/>
        <v>-505.71428571428572</v>
      </c>
      <c r="DA145" s="438" t="str">
        <f t="shared" si="1231"/>
        <v/>
      </c>
      <c r="DB145" s="422">
        <f t="shared" si="1248"/>
        <v>-89.999999999999702</v>
      </c>
      <c r="DC145" s="422">
        <v>-336.42857142857099</v>
      </c>
      <c r="DD145" s="422">
        <f t="shared" si="1232"/>
        <v>-426.42857142857071</v>
      </c>
      <c r="DE145" s="422" t="str">
        <f t="shared" si="1233"/>
        <v/>
      </c>
      <c r="DF145" s="422">
        <f t="shared" si="1234"/>
        <v>-89.999999999999702</v>
      </c>
      <c r="DG145" s="422">
        <v>-415.71428571428601</v>
      </c>
      <c r="DH145" s="422">
        <f t="shared" si="1235"/>
        <v>-505.71428571428572</v>
      </c>
      <c r="DI145" s="422" t="str">
        <f t="shared" si="1236"/>
        <v/>
      </c>
      <c r="DJ145" s="422">
        <f t="shared" si="1249"/>
        <v>-89.999999999999702</v>
      </c>
      <c r="DK145" s="422">
        <v>22.285714285714199</v>
      </c>
      <c r="DL145" s="422">
        <f t="shared" si="1237"/>
        <v>-67.714285714285495</v>
      </c>
      <c r="DM145" s="422" t="str">
        <f t="shared" si="1238"/>
        <v/>
      </c>
      <c r="DN145" s="422">
        <f t="shared" si="1250"/>
        <v>-89.999999999999702</v>
      </c>
      <c r="DO145" s="422">
        <v>-38.571428571428598</v>
      </c>
      <c r="DP145" s="422">
        <f t="shared" si="1239"/>
        <v>-128.5714285714283</v>
      </c>
      <c r="DQ145" s="438" t="str">
        <f t="shared" si="1240"/>
        <v/>
      </c>
      <c r="DR145" s="422">
        <f t="shared" si="1251"/>
        <v>-89.999999999999702</v>
      </c>
      <c r="DS145" s="422">
        <v>-333</v>
      </c>
      <c r="DT145" s="422">
        <f t="shared" si="1241"/>
        <v>-422.99999999999972</v>
      </c>
      <c r="DU145" s="438" t="str">
        <f t="shared" si="1242"/>
        <v/>
      </c>
      <c r="DV145" s="422">
        <f t="shared" si="1252"/>
        <v>-89.999999999999702</v>
      </c>
      <c r="DW145" s="422">
        <v>37.142857142857103</v>
      </c>
      <c r="DX145" s="422">
        <f t="shared" si="1243"/>
        <v>-52.857142857142598</v>
      </c>
      <c r="DY145" s="438" t="str">
        <f t="shared" si="1244"/>
        <v/>
      </c>
      <c r="DZ145" s="422">
        <f t="shared" si="1245"/>
        <v>-89.999999999999702</v>
      </c>
      <c r="EA145" s="422">
        <v>-63</v>
      </c>
      <c r="EB145" s="422">
        <f t="shared" si="1246"/>
        <v>-152.99999999999972</v>
      </c>
      <c r="EC145" s="438" t="str">
        <f t="shared" si="1247"/>
        <v/>
      </c>
      <c r="ED145" s="422">
        <f t="shared" si="1187"/>
        <v>-5362.4556650246286</v>
      </c>
      <c r="EE145" s="422">
        <f t="shared" si="1190"/>
        <v>-335.15347906403929</v>
      </c>
      <c r="EF145" s="438" t="str">
        <f t="shared" si="1191"/>
        <v/>
      </c>
      <c r="EG145" s="422" t="str">
        <f t="shared" si="1192"/>
        <v/>
      </c>
      <c r="EH145" s="439">
        <v>1</v>
      </c>
      <c r="EI145" s="422">
        <f t="shared" si="1193"/>
        <v>-5362.4556650246286</v>
      </c>
      <c r="EJ145" s="440">
        <f t="shared" si="1194"/>
        <v>-3.3515347906403927</v>
      </c>
      <c r="EK145" s="438" t="s">
        <v>573</v>
      </c>
      <c r="EL145" s="438" t="s">
        <v>762</v>
      </c>
    </row>
    <row r="146" spans="1:142" ht="30">
      <c r="A146" s="690"/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420">
        <f t="shared" si="1127"/>
        <v>145</v>
      </c>
      <c r="AB146" s="435" t="s">
        <v>61</v>
      </c>
      <c r="AC146" s="422" t="s">
        <v>394</v>
      </c>
      <c r="AD146" s="422" t="s">
        <v>326</v>
      </c>
      <c r="AE146" s="422">
        <v>34.142857142857203</v>
      </c>
      <c r="AF146" s="422">
        <f>'SSS1 ATTENDANCE '!FJ152</f>
        <v>0</v>
      </c>
      <c r="AG146" s="422">
        <f>'SSS1 ATTENDANCE '!FH152</f>
        <v>0</v>
      </c>
      <c r="AH146" s="422">
        <f>'SSS1 ATTENDANCE '!FI152</f>
        <v>0</v>
      </c>
      <c r="AI146" s="436" t="s">
        <v>718</v>
      </c>
      <c r="AJ146" s="437">
        <v>40368</v>
      </c>
      <c r="AK146" s="435" t="s">
        <v>396</v>
      </c>
      <c r="AL146" s="424">
        <v>25</v>
      </c>
      <c r="AM146" s="422">
        <v>101.821428571429</v>
      </c>
      <c r="AN146" s="438">
        <v>4</v>
      </c>
      <c r="AO146" s="422" t="str">
        <f t="shared" si="1188"/>
        <v>3</v>
      </c>
      <c r="AP146" s="438">
        <v>5</v>
      </c>
      <c r="AQ146" s="422">
        <v>4</v>
      </c>
      <c r="AR146" s="438">
        <v>4</v>
      </c>
      <c r="AS146" s="438">
        <v>4</v>
      </c>
      <c r="AT146" s="438">
        <v>4</v>
      </c>
      <c r="AU146" s="438">
        <v>3</v>
      </c>
      <c r="AV146" s="438">
        <v>4</v>
      </c>
      <c r="AW146" s="438">
        <v>4</v>
      </c>
      <c r="AX146" s="438">
        <v>3</v>
      </c>
      <c r="AY146" s="438">
        <v>4</v>
      </c>
      <c r="AZ146" s="438">
        <v>3</v>
      </c>
      <c r="BA146" s="438">
        <v>3</v>
      </c>
      <c r="BB146" s="438">
        <v>3</v>
      </c>
      <c r="BC146" s="438">
        <v>4</v>
      </c>
      <c r="BD146" s="438">
        <v>4</v>
      </c>
      <c r="BE146" s="438">
        <v>4</v>
      </c>
      <c r="BF146" s="438">
        <v>3</v>
      </c>
      <c r="BG146" s="438">
        <v>3</v>
      </c>
      <c r="BH146" s="438">
        <v>3</v>
      </c>
      <c r="BI146" s="438">
        <v>5</v>
      </c>
      <c r="BJ146" s="438">
        <v>4</v>
      </c>
      <c r="BK146" s="438">
        <v>3</v>
      </c>
      <c r="BL146" s="438">
        <v>5</v>
      </c>
      <c r="BM146" s="438">
        <v>3</v>
      </c>
      <c r="BN146" s="422" t="s">
        <v>544</v>
      </c>
      <c r="BO146" s="438">
        <v>-39.821428571428498</v>
      </c>
      <c r="BP146" s="438">
        <v>-556.46428571428601</v>
      </c>
      <c r="BQ146" s="422">
        <f t="shared" si="1213"/>
        <v>-596.28571428571445</v>
      </c>
      <c r="BR146" s="438" t="str">
        <f t="shared" si="1214"/>
        <v/>
      </c>
      <c r="BS146" s="422">
        <v>-39.821428571428498</v>
      </c>
      <c r="BT146" s="438">
        <v>-416.53571428571399</v>
      </c>
      <c r="BU146" s="422">
        <f t="shared" si="1215"/>
        <v>-456.35714285714249</v>
      </c>
      <c r="BV146" s="438" t="str">
        <f t="shared" si="1216"/>
        <v/>
      </c>
      <c r="BW146" s="422">
        <v>-39.821428571428498</v>
      </c>
      <c r="BX146" s="422">
        <v>-401.10714285714198</v>
      </c>
      <c r="BY146" s="422">
        <f t="shared" si="1217"/>
        <v>-440.92857142857048</v>
      </c>
      <c r="BZ146" s="438" t="str">
        <f t="shared" si="1218"/>
        <v/>
      </c>
      <c r="CA146" s="422">
        <v>-39.821428571428498</v>
      </c>
      <c r="CB146" s="422">
        <v>-418.92857142857201</v>
      </c>
      <c r="CC146" s="422">
        <f t="shared" si="1219"/>
        <v>-458.75000000000051</v>
      </c>
      <c r="CD146" s="438" t="str">
        <f t="shared" si="1220"/>
        <v/>
      </c>
      <c r="CE146" s="422">
        <v>35</v>
      </c>
      <c r="CF146" s="422">
        <v>-405.14285714285802</v>
      </c>
      <c r="CG146" s="422">
        <f t="shared" si="1221"/>
        <v>-370.14285714285802</v>
      </c>
      <c r="CH146" s="438" t="str">
        <f t="shared" si="1222"/>
        <v/>
      </c>
      <c r="CI146" s="422">
        <v>-39.821428571428498</v>
      </c>
      <c r="CJ146" s="422">
        <v>-216.82142857142799</v>
      </c>
      <c r="CK146" s="422">
        <f t="shared" si="1223"/>
        <v>-256.64285714285649</v>
      </c>
      <c r="CL146" s="438" t="str">
        <f t="shared" si="1224"/>
        <v/>
      </c>
      <c r="CM146" s="422">
        <v>-39.821428571428498</v>
      </c>
      <c r="CN146" s="422"/>
      <c r="CO146" s="422"/>
      <c r="CP146" s="422">
        <f t="shared" ref="CP146" si="1254">CM146</f>
        <v>-39.821428571428498</v>
      </c>
      <c r="CQ146" s="422">
        <v>7.9741379310345897</v>
      </c>
      <c r="CR146" s="422">
        <f t="shared" si="1226"/>
        <v>-31.847290640393908</v>
      </c>
      <c r="CS146" s="438" t="str">
        <f t="shared" si="1227"/>
        <v/>
      </c>
      <c r="CT146" s="422">
        <v>-91.052631578947697</v>
      </c>
      <c r="CU146" s="422">
        <v>-464.21052631578999</v>
      </c>
      <c r="CV146" s="422">
        <f t="shared" si="1228"/>
        <v>-555.26315789473767</v>
      </c>
      <c r="CW146" s="438" t="str">
        <f t="shared" si="1229"/>
        <v/>
      </c>
      <c r="CX146" s="422">
        <v>35</v>
      </c>
      <c r="CY146" s="422">
        <v>-418.92857142857201</v>
      </c>
      <c r="CZ146" s="422">
        <f t="shared" si="1230"/>
        <v>-383.92857142857201</v>
      </c>
      <c r="DA146" s="438" t="str">
        <f t="shared" si="1231"/>
        <v/>
      </c>
      <c r="DB146" s="422">
        <f t="shared" si="1248"/>
        <v>35</v>
      </c>
      <c r="DC146" s="422">
        <v>-339.107142857143</v>
      </c>
      <c r="DD146" s="422">
        <f t="shared" si="1232"/>
        <v>-304.107142857143</v>
      </c>
      <c r="DE146" s="422" t="str">
        <f t="shared" si="1233"/>
        <v/>
      </c>
      <c r="DF146" s="422">
        <f t="shared" si="1234"/>
        <v>35</v>
      </c>
      <c r="DG146" s="422">
        <v>-418.92857142857201</v>
      </c>
      <c r="DH146" s="422">
        <f t="shared" si="1235"/>
        <v>-383.92857142857201</v>
      </c>
      <c r="DI146" s="422" t="str">
        <f t="shared" si="1236"/>
        <v/>
      </c>
      <c r="DJ146" s="422">
        <f t="shared" si="1249"/>
        <v>35</v>
      </c>
      <c r="DK146" s="422">
        <v>22.107142857142801</v>
      </c>
      <c r="DL146" s="422">
        <f t="shared" si="1237"/>
        <v>57.107142857142804</v>
      </c>
      <c r="DM146" s="422" t="str">
        <f t="shared" si="1238"/>
        <v>C5</v>
      </c>
      <c r="DN146" s="422">
        <f t="shared" si="1250"/>
        <v>35</v>
      </c>
      <c r="DO146" s="422">
        <v>-39.178571428571502</v>
      </c>
      <c r="DP146" s="422">
        <f t="shared" si="1239"/>
        <v>-4.1785714285715017</v>
      </c>
      <c r="DQ146" s="438" t="str">
        <f t="shared" si="1240"/>
        <v/>
      </c>
      <c r="DR146" s="422">
        <f t="shared" si="1251"/>
        <v>35</v>
      </c>
      <c r="DS146" s="422">
        <v>-335.60714285714198</v>
      </c>
      <c r="DT146" s="422">
        <f t="shared" si="1241"/>
        <v>-300.60714285714198</v>
      </c>
      <c r="DU146" s="438" t="str">
        <f t="shared" si="1242"/>
        <v/>
      </c>
      <c r="DV146" s="422">
        <f t="shared" si="1252"/>
        <v>35</v>
      </c>
      <c r="DW146" s="422">
        <v>37.071428571428498</v>
      </c>
      <c r="DX146" s="422">
        <f t="shared" si="1243"/>
        <v>72.071428571428498</v>
      </c>
      <c r="DY146" s="438" t="str">
        <f t="shared" si="1244"/>
        <v>B2</v>
      </c>
      <c r="DZ146" s="422">
        <f t="shared" si="1245"/>
        <v>35</v>
      </c>
      <c r="EA146" s="422">
        <v>-63.75</v>
      </c>
      <c r="EB146" s="422">
        <f t="shared" si="1246"/>
        <v>-28.75</v>
      </c>
      <c r="EC146" s="438" t="str">
        <f t="shared" si="1247"/>
        <v/>
      </c>
      <c r="ED146" s="422">
        <f t="shared" si="1187"/>
        <v>-4442.5390199637031</v>
      </c>
      <c r="EE146" s="422">
        <f t="shared" si="1190"/>
        <v>-277.65868874773145</v>
      </c>
      <c r="EF146" s="438" t="str">
        <f t="shared" si="1191"/>
        <v/>
      </c>
      <c r="EG146" s="422" t="str">
        <f t="shared" si="1192"/>
        <v/>
      </c>
      <c r="EH146" s="439">
        <v>1</v>
      </c>
      <c r="EI146" s="422">
        <f t="shared" si="1193"/>
        <v>-4442.5390199637031</v>
      </c>
      <c r="EJ146" s="440">
        <f t="shared" si="1194"/>
        <v>-2.7765868874773143</v>
      </c>
      <c r="EK146" s="438" t="s">
        <v>746</v>
      </c>
      <c r="EL146" s="438" t="s">
        <v>762</v>
      </c>
    </row>
    <row r="147" spans="1:142" ht="30">
      <c r="A147" s="690"/>
      <c r="B147" s="690"/>
      <c r="C147" s="690"/>
      <c r="D147" s="690"/>
      <c r="E147" s="690"/>
      <c r="F147" s="690"/>
      <c r="G147" s="690"/>
      <c r="H147" s="690"/>
      <c r="I147" s="690"/>
      <c r="J147" s="690"/>
      <c r="K147" s="690"/>
      <c r="L147" s="690"/>
      <c r="M147" s="690"/>
      <c r="N147" s="690"/>
      <c r="O147" s="690"/>
      <c r="P147" s="690"/>
      <c r="Q147" s="690"/>
      <c r="R147" s="690"/>
      <c r="S147" s="690"/>
      <c r="T147" s="690"/>
      <c r="U147" s="690"/>
      <c r="V147" s="690"/>
      <c r="W147" s="690"/>
      <c r="X147" s="690"/>
      <c r="Y147" s="690"/>
      <c r="Z147" s="690"/>
      <c r="AA147" s="420">
        <f t="shared" si="1127"/>
        <v>146</v>
      </c>
      <c r="AB147" s="435" t="s">
        <v>62</v>
      </c>
      <c r="AC147" s="422" t="s">
        <v>394</v>
      </c>
      <c r="AD147" s="422" t="s">
        <v>326</v>
      </c>
      <c r="AE147" s="422">
        <v>34.285714285714299</v>
      </c>
      <c r="AF147" s="422">
        <f>'SSS1 ATTENDANCE '!FJ153</f>
        <v>0</v>
      </c>
      <c r="AG147" s="422">
        <f>'SSS1 ATTENDANCE '!FH153</f>
        <v>0</v>
      </c>
      <c r="AH147" s="422">
        <f>'SSS1 ATTENDANCE '!FI153</f>
        <v>0</v>
      </c>
      <c r="AI147" s="436" t="s">
        <v>719</v>
      </c>
      <c r="AJ147" s="437">
        <v>40852</v>
      </c>
      <c r="AK147" s="435" t="s">
        <v>396</v>
      </c>
      <c r="AL147" s="424">
        <v>25</v>
      </c>
      <c r="AM147" s="422">
        <v>102.357142857143</v>
      </c>
      <c r="AN147" s="438">
        <v>4</v>
      </c>
      <c r="AO147" s="422" t="str">
        <f t="shared" si="1188"/>
        <v>3</v>
      </c>
      <c r="AP147" s="438">
        <v>5</v>
      </c>
      <c r="AQ147" s="422">
        <v>4</v>
      </c>
      <c r="AR147" s="438">
        <v>4</v>
      </c>
      <c r="AS147" s="438">
        <v>4</v>
      </c>
      <c r="AT147" s="438">
        <v>4</v>
      </c>
      <c r="AU147" s="438">
        <v>3</v>
      </c>
      <c r="AV147" s="438">
        <v>4</v>
      </c>
      <c r="AW147" s="438">
        <v>4</v>
      </c>
      <c r="AX147" s="438">
        <v>3</v>
      </c>
      <c r="AY147" s="438">
        <v>4</v>
      </c>
      <c r="AZ147" s="438">
        <v>3</v>
      </c>
      <c r="BA147" s="438">
        <v>3</v>
      </c>
      <c r="BB147" s="438">
        <v>3</v>
      </c>
      <c r="BC147" s="438">
        <v>4</v>
      </c>
      <c r="BD147" s="438">
        <v>4</v>
      </c>
      <c r="BE147" s="438">
        <v>4</v>
      </c>
      <c r="BF147" s="438">
        <v>3</v>
      </c>
      <c r="BG147" s="438">
        <v>3</v>
      </c>
      <c r="BH147" s="438">
        <v>3</v>
      </c>
      <c r="BI147" s="438">
        <v>5</v>
      </c>
      <c r="BJ147" s="438">
        <v>4</v>
      </c>
      <c r="BK147" s="438">
        <v>3</v>
      </c>
      <c r="BL147" s="438">
        <v>5</v>
      </c>
      <c r="BM147" s="438">
        <v>3</v>
      </c>
      <c r="BN147" s="422" t="s">
        <v>545</v>
      </c>
      <c r="BO147" s="438">
        <v>-40.357142857142797</v>
      </c>
      <c r="BP147" s="438">
        <v>-560.642857142857</v>
      </c>
      <c r="BQ147" s="422">
        <f t="shared" si="1213"/>
        <v>-600.99999999999977</v>
      </c>
      <c r="BR147" s="438" t="str">
        <f t="shared" si="1214"/>
        <v/>
      </c>
      <c r="BS147" s="422">
        <v>-40.357142857142797</v>
      </c>
      <c r="BT147" s="438">
        <v>-419.78571428571399</v>
      </c>
      <c r="BU147" s="422">
        <f t="shared" si="1215"/>
        <v>-460.14285714285677</v>
      </c>
      <c r="BV147" s="438" t="str">
        <f t="shared" si="1216"/>
        <v/>
      </c>
      <c r="BW147" s="422">
        <v>-40.357142857142797</v>
      </c>
      <c r="BX147" s="422">
        <v>-404.21428571428498</v>
      </c>
      <c r="BY147" s="422">
        <f t="shared" si="1217"/>
        <v>-444.57142857142776</v>
      </c>
      <c r="BZ147" s="438" t="str">
        <f t="shared" si="1218"/>
        <v/>
      </c>
      <c r="CA147" s="422">
        <v>-40.357142857142797</v>
      </c>
      <c r="CB147" s="422">
        <v>-422.14285714285802</v>
      </c>
      <c r="CC147" s="422">
        <f t="shared" si="1219"/>
        <v>-462.5000000000008</v>
      </c>
      <c r="CD147" s="438" t="str">
        <f t="shared" si="1220"/>
        <v/>
      </c>
      <c r="CE147" s="422">
        <v>35</v>
      </c>
      <c r="CF147" s="422">
        <v>-408.28571428571502</v>
      </c>
      <c r="CG147" s="422">
        <f t="shared" si="1221"/>
        <v>-373.28571428571502</v>
      </c>
      <c r="CH147" s="438" t="str">
        <f t="shared" si="1222"/>
        <v/>
      </c>
      <c r="CI147" s="422">
        <v>-40.357142857142797</v>
      </c>
      <c r="CJ147" s="422">
        <v>-218.642857142857</v>
      </c>
      <c r="CK147" s="422">
        <f t="shared" si="1223"/>
        <v>-258.99999999999977</v>
      </c>
      <c r="CL147" s="438" t="str">
        <f t="shared" si="1224"/>
        <v/>
      </c>
      <c r="CM147" s="422">
        <v>-40.357142857142797</v>
      </c>
      <c r="CN147" s="422"/>
      <c r="CO147" s="422"/>
      <c r="CP147" s="422"/>
      <c r="CQ147" s="422">
        <v>7.6896551724138904</v>
      </c>
      <c r="CR147" s="422">
        <f t="shared" si="1226"/>
        <v>7.6896551724138904</v>
      </c>
      <c r="CS147" s="438" t="str">
        <f t="shared" si="1227"/>
        <v>F9</v>
      </c>
      <c r="CT147" s="422">
        <v>-92.105263157894697</v>
      </c>
      <c r="CU147" s="422">
        <v>-468.42105263157998</v>
      </c>
      <c r="CV147" s="422">
        <f t="shared" si="1228"/>
        <v>-560.52631578947467</v>
      </c>
      <c r="CW147" s="438" t="str">
        <f t="shared" si="1229"/>
        <v/>
      </c>
      <c r="CX147" s="422">
        <f t="shared" ref="CX147" si="1255">CT147</f>
        <v>-92.105263157894697</v>
      </c>
      <c r="CY147" s="422">
        <v>-422.14285714285802</v>
      </c>
      <c r="CZ147" s="422">
        <f t="shared" si="1230"/>
        <v>-514.2481203007527</v>
      </c>
      <c r="DA147" s="438" t="str">
        <f t="shared" si="1231"/>
        <v/>
      </c>
      <c r="DB147" s="422">
        <f t="shared" si="1248"/>
        <v>-92.105263157894697</v>
      </c>
      <c r="DC147" s="422">
        <v>-341.78571428571399</v>
      </c>
      <c r="DD147" s="422">
        <f t="shared" si="1232"/>
        <v>-433.89097744360868</v>
      </c>
      <c r="DE147" s="422" t="str">
        <f t="shared" si="1233"/>
        <v/>
      </c>
      <c r="DF147" s="422">
        <f t="shared" si="1234"/>
        <v>-92.105263157894697</v>
      </c>
      <c r="DG147" s="422">
        <v>-422.14285714285802</v>
      </c>
      <c r="DH147" s="422">
        <f t="shared" si="1235"/>
        <v>-514.2481203007527</v>
      </c>
      <c r="DI147" s="422" t="str">
        <f t="shared" si="1236"/>
        <v/>
      </c>
      <c r="DJ147" s="422">
        <f t="shared" si="1249"/>
        <v>-92.105263157894697</v>
      </c>
      <c r="DK147" s="422">
        <v>21.928571428571399</v>
      </c>
      <c r="DL147" s="422">
        <f t="shared" si="1237"/>
        <v>-70.176691729323295</v>
      </c>
      <c r="DM147" s="422" t="str">
        <f t="shared" si="1238"/>
        <v/>
      </c>
      <c r="DN147" s="422">
        <f t="shared" si="1250"/>
        <v>-92.105263157894697</v>
      </c>
      <c r="DO147" s="422">
        <v>-39.785714285714299</v>
      </c>
      <c r="DP147" s="422">
        <f t="shared" si="1239"/>
        <v>-131.89097744360899</v>
      </c>
      <c r="DQ147" s="438" t="str">
        <f t="shared" si="1240"/>
        <v/>
      </c>
      <c r="DR147" s="422">
        <f t="shared" si="1251"/>
        <v>-92.105263157894697</v>
      </c>
      <c r="DS147" s="422">
        <v>-338.21428571428498</v>
      </c>
      <c r="DT147" s="422">
        <f t="shared" si="1241"/>
        <v>-430.31954887217967</v>
      </c>
      <c r="DU147" s="438" t="str">
        <f t="shared" si="1242"/>
        <v/>
      </c>
      <c r="DV147" s="422">
        <f t="shared" si="1252"/>
        <v>-92.105263157894697</v>
      </c>
      <c r="DW147" s="422">
        <v>37</v>
      </c>
      <c r="DX147" s="422">
        <f t="shared" si="1243"/>
        <v>-55.105263157894697</v>
      </c>
      <c r="DY147" s="438" t="str">
        <f t="shared" si="1244"/>
        <v/>
      </c>
      <c r="DZ147" s="422">
        <f t="shared" si="1245"/>
        <v>-92.105263157894697</v>
      </c>
      <c r="EA147" s="422">
        <v>-64.5</v>
      </c>
      <c r="EB147" s="422">
        <f t="shared" si="1246"/>
        <v>-156.60526315789468</v>
      </c>
      <c r="EC147" s="438" t="str">
        <f t="shared" si="1247"/>
        <v/>
      </c>
      <c r="ED147" s="422">
        <f t="shared" si="1187"/>
        <v>-5459.8216230230764</v>
      </c>
      <c r="EE147" s="422">
        <f t="shared" si="1190"/>
        <v>-341.23885143894228</v>
      </c>
      <c r="EF147" s="438" t="str">
        <f t="shared" si="1191"/>
        <v/>
      </c>
      <c r="EG147" s="422" t="str">
        <f t="shared" si="1192"/>
        <v/>
      </c>
      <c r="EH147" s="439">
        <v>1</v>
      </c>
      <c r="EI147" s="422">
        <f t="shared" si="1193"/>
        <v>-5459.8216230230764</v>
      </c>
      <c r="EJ147" s="440">
        <f t="shared" si="1194"/>
        <v>-3.4123885143894226</v>
      </c>
      <c r="EK147" s="438" t="s">
        <v>747</v>
      </c>
      <c r="EL147" s="438" t="s">
        <v>762</v>
      </c>
    </row>
    <row r="148" spans="1:142" ht="30">
      <c r="A148" s="690"/>
      <c r="B148" s="690"/>
      <c r="C148" s="690"/>
      <c r="D148" s="690"/>
      <c r="E148" s="690"/>
      <c r="F148" s="690"/>
      <c r="G148" s="690"/>
      <c r="H148" s="690"/>
      <c r="I148" s="690"/>
      <c r="J148" s="690"/>
      <c r="K148" s="690"/>
      <c r="L148" s="690"/>
      <c r="M148" s="690"/>
      <c r="N148" s="690"/>
      <c r="O148" s="690"/>
      <c r="P148" s="690"/>
      <c r="Q148" s="690"/>
      <c r="R148" s="690"/>
      <c r="S148" s="690"/>
      <c r="T148" s="690"/>
      <c r="U148" s="690"/>
      <c r="V148" s="690"/>
      <c r="W148" s="690"/>
      <c r="X148" s="690"/>
      <c r="Y148" s="690"/>
      <c r="Z148" s="690"/>
      <c r="AA148" s="420">
        <f t="shared" si="1127"/>
        <v>147</v>
      </c>
      <c r="AB148" s="435" t="s">
        <v>63</v>
      </c>
      <c r="AC148" s="422" t="s">
        <v>394</v>
      </c>
      <c r="AD148" s="422" t="s">
        <v>326</v>
      </c>
      <c r="AE148" s="422">
        <v>34.428571428571502</v>
      </c>
      <c r="AF148" s="422">
        <f>'SSS1 ATTENDANCE '!FJ154</f>
        <v>0</v>
      </c>
      <c r="AG148" s="422">
        <f>'SSS1 ATTENDANCE '!FH154</f>
        <v>0</v>
      </c>
      <c r="AH148" s="422">
        <f>'SSS1 ATTENDANCE '!FI154</f>
        <v>0</v>
      </c>
      <c r="AI148" s="436" t="s">
        <v>720</v>
      </c>
      <c r="AJ148" s="437">
        <v>40881</v>
      </c>
      <c r="AK148" s="435" t="s">
        <v>396</v>
      </c>
      <c r="AL148" s="424">
        <v>25</v>
      </c>
      <c r="AM148" s="422">
        <v>102.892857142857</v>
      </c>
      <c r="AN148" s="438">
        <v>4</v>
      </c>
      <c r="AO148" s="422" t="str">
        <f t="shared" si="1188"/>
        <v>3</v>
      </c>
      <c r="AP148" s="438">
        <v>5</v>
      </c>
      <c r="AQ148" s="422">
        <v>4</v>
      </c>
      <c r="AR148" s="438">
        <v>4</v>
      </c>
      <c r="AS148" s="438">
        <v>4</v>
      </c>
      <c r="AT148" s="438">
        <v>4</v>
      </c>
      <c r="AU148" s="438">
        <v>3</v>
      </c>
      <c r="AV148" s="438">
        <v>4</v>
      </c>
      <c r="AW148" s="438">
        <v>4</v>
      </c>
      <c r="AX148" s="438">
        <v>3</v>
      </c>
      <c r="AY148" s="438">
        <v>4</v>
      </c>
      <c r="AZ148" s="438">
        <v>3</v>
      </c>
      <c r="BA148" s="438">
        <v>3</v>
      </c>
      <c r="BB148" s="438">
        <v>3</v>
      </c>
      <c r="BC148" s="438">
        <v>4</v>
      </c>
      <c r="BD148" s="438">
        <v>4</v>
      </c>
      <c r="BE148" s="438">
        <v>4</v>
      </c>
      <c r="BF148" s="438">
        <v>3</v>
      </c>
      <c r="BG148" s="438">
        <v>3</v>
      </c>
      <c r="BH148" s="438">
        <v>3</v>
      </c>
      <c r="BI148" s="438">
        <v>5</v>
      </c>
      <c r="BJ148" s="438">
        <v>4</v>
      </c>
      <c r="BK148" s="438">
        <v>3</v>
      </c>
      <c r="BL148" s="438">
        <v>5</v>
      </c>
      <c r="BM148" s="438">
        <v>3</v>
      </c>
      <c r="BN148" s="422" t="s">
        <v>546</v>
      </c>
      <c r="BO148" s="438">
        <v>-40.892857142857103</v>
      </c>
      <c r="BP148" s="438">
        <v>-564.82142857142799</v>
      </c>
      <c r="BQ148" s="422">
        <f t="shared" si="1213"/>
        <v>-605.7142857142851</v>
      </c>
      <c r="BR148" s="438" t="str">
        <f t="shared" si="1214"/>
        <v/>
      </c>
      <c r="BS148" s="422">
        <v>-40.892857142857103</v>
      </c>
      <c r="BT148" s="438">
        <v>-423.03571428571399</v>
      </c>
      <c r="BU148" s="422">
        <f t="shared" si="1215"/>
        <v>-463.9285714285711</v>
      </c>
      <c r="BV148" s="438" t="str">
        <f t="shared" si="1216"/>
        <v/>
      </c>
      <c r="BW148" s="422">
        <v>-40.892857142857103</v>
      </c>
      <c r="BX148" s="422">
        <v>-407.32142857142799</v>
      </c>
      <c r="BY148" s="422">
        <f t="shared" si="1217"/>
        <v>-448.2142857142851</v>
      </c>
      <c r="BZ148" s="438" t="str">
        <f t="shared" si="1218"/>
        <v/>
      </c>
      <c r="CA148" s="422">
        <v>-40.892857142857103</v>
      </c>
      <c r="CB148" s="422">
        <v>-425.357142857143</v>
      </c>
      <c r="CC148" s="422">
        <f t="shared" si="1219"/>
        <v>-466.25000000000011</v>
      </c>
      <c r="CD148" s="438" t="str">
        <f t="shared" si="1220"/>
        <v/>
      </c>
      <c r="CE148" s="422">
        <v>35</v>
      </c>
      <c r="CF148" s="422">
        <v>-411.42857142857201</v>
      </c>
      <c r="CG148" s="422">
        <f t="shared" si="1221"/>
        <v>-376.42857142857201</v>
      </c>
      <c r="CH148" s="438" t="str">
        <f t="shared" si="1222"/>
        <v/>
      </c>
      <c r="CI148" s="422">
        <v>-40.892857142857103</v>
      </c>
      <c r="CJ148" s="422">
        <v>-220.46428571428601</v>
      </c>
      <c r="CK148" s="422">
        <f t="shared" si="1223"/>
        <v>-261.35714285714312</v>
      </c>
      <c r="CL148" s="438" t="str">
        <f t="shared" si="1224"/>
        <v/>
      </c>
      <c r="CM148" s="422">
        <v>-40.892857142857103</v>
      </c>
      <c r="CN148" s="422"/>
      <c r="CO148" s="422"/>
      <c r="CP148" s="422">
        <f t="shared" ref="CP148" si="1256">CM148</f>
        <v>-40.892857142857103</v>
      </c>
      <c r="CQ148" s="422">
        <v>7.4051724137932</v>
      </c>
      <c r="CR148" s="422">
        <f t="shared" si="1226"/>
        <v>-33.487684729063901</v>
      </c>
      <c r="CS148" s="438" t="str">
        <f t="shared" si="1227"/>
        <v/>
      </c>
      <c r="CT148" s="422"/>
      <c r="CU148" s="422"/>
      <c r="CV148" s="422">
        <f t="shared" si="1228"/>
        <v>0</v>
      </c>
      <c r="CW148" s="438" t="str">
        <f t="shared" si="1229"/>
        <v/>
      </c>
      <c r="CX148" s="422">
        <v>35</v>
      </c>
      <c r="CY148" s="422">
        <v>-425.357142857143</v>
      </c>
      <c r="CZ148" s="422">
        <f t="shared" si="1230"/>
        <v>-390.357142857143</v>
      </c>
      <c r="DA148" s="438" t="str">
        <f t="shared" si="1231"/>
        <v/>
      </c>
      <c r="DB148" s="422">
        <f t="shared" si="1248"/>
        <v>35</v>
      </c>
      <c r="DC148" s="422">
        <v>-344.46428571428601</v>
      </c>
      <c r="DD148" s="422">
        <f t="shared" si="1232"/>
        <v>-309.46428571428601</v>
      </c>
      <c r="DE148" s="422" t="str">
        <f t="shared" si="1233"/>
        <v/>
      </c>
      <c r="DF148" s="422">
        <f t="shared" si="1234"/>
        <v>35</v>
      </c>
      <c r="DG148" s="422">
        <v>-425.357142857143</v>
      </c>
      <c r="DH148" s="422">
        <f t="shared" si="1235"/>
        <v>-390.357142857143</v>
      </c>
      <c r="DI148" s="422" t="str">
        <f t="shared" si="1236"/>
        <v/>
      </c>
      <c r="DJ148" s="422">
        <f t="shared" si="1249"/>
        <v>35</v>
      </c>
      <c r="DK148" s="422">
        <v>21.749999999999901</v>
      </c>
      <c r="DL148" s="422">
        <f t="shared" si="1237"/>
        <v>56.749999999999901</v>
      </c>
      <c r="DM148" s="422" t="str">
        <f t="shared" si="1238"/>
        <v>C5</v>
      </c>
      <c r="DN148" s="422">
        <f t="shared" si="1250"/>
        <v>35</v>
      </c>
      <c r="DO148" s="422">
        <v>-40.392857142857203</v>
      </c>
      <c r="DP148" s="422">
        <f t="shared" si="1239"/>
        <v>-5.3928571428572027</v>
      </c>
      <c r="DQ148" s="438" t="str">
        <f t="shared" si="1240"/>
        <v/>
      </c>
      <c r="DR148" s="422">
        <f t="shared" si="1251"/>
        <v>35</v>
      </c>
      <c r="DS148" s="422">
        <v>-340.82142857142799</v>
      </c>
      <c r="DT148" s="422">
        <f t="shared" si="1241"/>
        <v>-305.82142857142799</v>
      </c>
      <c r="DU148" s="438" t="str">
        <f t="shared" si="1242"/>
        <v/>
      </c>
      <c r="DV148" s="422">
        <f t="shared" si="1252"/>
        <v>35</v>
      </c>
      <c r="DW148" s="422">
        <v>36.928571428571402</v>
      </c>
      <c r="DX148" s="422">
        <f t="shared" si="1243"/>
        <v>71.928571428571402</v>
      </c>
      <c r="DY148" s="438" t="str">
        <f t="shared" si="1244"/>
        <v>B2</v>
      </c>
      <c r="DZ148" s="422">
        <f t="shared" si="1245"/>
        <v>35</v>
      </c>
      <c r="EA148" s="422">
        <v>-65.25</v>
      </c>
      <c r="EB148" s="422">
        <f t="shared" si="1246"/>
        <v>-30.25</v>
      </c>
      <c r="EC148" s="438" t="str">
        <f t="shared" si="1247"/>
        <v/>
      </c>
      <c r="ED148" s="422">
        <f t="shared" si="1187"/>
        <v>-3958.3448275862065</v>
      </c>
      <c r="EE148" s="422">
        <f t="shared" si="1190"/>
        <v>-247.39655172413791</v>
      </c>
      <c r="EF148" s="438" t="str">
        <f t="shared" si="1191"/>
        <v/>
      </c>
      <c r="EG148" s="422" t="str">
        <f t="shared" si="1192"/>
        <v/>
      </c>
      <c r="EH148" s="439">
        <v>1</v>
      </c>
      <c r="EI148" s="422">
        <f t="shared" si="1193"/>
        <v>-3958.3448275862065</v>
      </c>
      <c r="EJ148" s="440">
        <f t="shared" si="1194"/>
        <v>-2.4739655172413793</v>
      </c>
      <c r="EK148" s="438" t="s">
        <v>573</v>
      </c>
      <c r="EL148" s="438" t="s">
        <v>762</v>
      </c>
    </row>
    <row r="149" spans="1:142" ht="30">
      <c r="A149" s="690"/>
      <c r="B149" s="690"/>
      <c r="C149" s="690"/>
      <c r="D149" s="690"/>
      <c r="E149" s="690"/>
      <c r="F149" s="690"/>
      <c r="G149" s="690"/>
      <c r="H149" s="690"/>
      <c r="I149" s="690"/>
      <c r="J149" s="690"/>
      <c r="K149" s="690"/>
      <c r="L149" s="690"/>
      <c r="M149" s="690"/>
      <c r="N149" s="690"/>
      <c r="O149" s="690"/>
      <c r="P149" s="690"/>
      <c r="Q149" s="690"/>
      <c r="R149" s="690"/>
      <c r="S149" s="690"/>
      <c r="T149" s="690"/>
      <c r="U149" s="690"/>
      <c r="V149" s="690"/>
      <c r="W149" s="690"/>
      <c r="X149" s="690"/>
      <c r="Y149" s="690"/>
      <c r="Z149" s="690"/>
      <c r="AA149" s="420">
        <f t="shared" si="1127"/>
        <v>148</v>
      </c>
      <c r="AB149" s="435" t="s">
        <v>57</v>
      </c>
      <c r="AC149" s="422" t="s">
        <v>394</v>
      </c>
      <c r="AD149" s="422" t="s">
        <v>326</v>
      </c>
      <c r="AE149" s="422">
        <v>34.571428571428598</v>
      </c>
      <c r="AF149" s="422">
        <f>'SSS1 ATTENDANCE '!FJ155</f>
        <v>0</v>
      </c>
      <c r="AG149" s="422">
        <f>'SSS1 ATTENDANCE '!FH155</f>
        <v>0</v>
      </c>
      <c r="AH149" s="422">
        <f>'SSS1 ATTENDANCE '!FI155</f>
        <v>0</v>
      </c>
      <c r="AI149" s="436" t="s">
        <v>721</v>
      </c>
      <c r="AJ149" s="437">
        <v>41122</v>
      </c>
      <c r="AK149" s="435" t="s">
        <v>396</v>
      </c>
      <c r="AL149" s="424">
        <v>25</v>
      </c>
      <c r="AM149" s="422">
        <v>103.428571428571</v>
      </c>
      <c r="AN149" s="438">
        <v>4</v>
      </c>
      <c r="AO149" s="422" t="str">
        <f t="shared" si="1188"/>
        <v>3</v>
      </c>
      <c r="AP149" s="438">
        <v>5</v>
      </c>
      <c r="AQ149" s="422">
        <v>4</v>
      </c>
      <c r="AR149" s="438">
        <v>4</v>
      </c>
      <c r="AS149" s="438">
        <v>4</v>
      </c>
      <c r="AT149" s="438">
        <v>4</v>
      </c>
      <c r="AU149" s="438">
        <v>3</v>
      </c>
      <c r="AV149" s="438">
        <v>4</v>
      </c>
      <c r="AW149" s="438">
        <v>4</v>
      </c>
      <c r="AX149" s="438">
        <v>3</v>
      </c>
      <c r="AY149" s="438">
        <v>4</v>
      </c>
      <c r="AZ149" s="438">
        <v>3</v>
      </c>
      <c r="BA149" s="438">
        <v>3</v>
      </c>
      <c r="BB149" s="438">
        <v>3</v>
      </c>
      <c r="BC149" s="438">
        <v>4</v>
      </c>
      <c r="BD149" s="438">
        <v>4</v>
      </c>
      <c r="BE149" s="438">
        <v>4</v>
      </c>
      <c r="BF149" s="438">
        <v>3</v>
      </c>
      <c r="BG149" s="438">
        <v>3</v>
      </c>
      <c r="BH149" s="438">
        <v>3</v>
      </c>
      <c r="BI149" s="438">
        <v>5</v>
      </c>
      <c r="BJ149" s="438">
        <v>4</v>
      </c>
      <c r="BK149" s="438">
        <v>3</v>
      </c>
      <c r="BL149" s="438">
        <v>5</v>
      </c>
      <c r="BM149" s="438">
        <v>3</v>
      </c>
      <c r="BN149" s="422" t="s">
        <v>547</v>
      </c>
      <c r="BO149" s="422">
        <v>-41.428571428571402</v>
      </c>
      <c r="BP149" s="422">
        <v>-569</v>
      </c>
      <c r="BQ149" s="422">
        <v>100</v>
      </c>
      <c r="BR149" s="438" t="s">
        <v>749</v>
      </c>
      <c r="BS149" s="422">
        <v>-41.428571428571402</v>
      </c>
      <c r="BT149" s="422">
        <v>-426.28571428571399</v>
      </c>
      <c r="BU149" s="422">
        <v>100</v>
      </c>
      <c r="BV149" s="438" t="s">
        <v>749</v>
      </c>
      <c r="BW149" s="422">
        <v>-41.428571428571402</v>
      </c>
      <c r="BX149" s="422">
        <v>-410.42857142857099</v>
      </c>
      <c r="BY149" s="422">
        <v>100</v>
      </c>
      <c r="BZ149" s="422" t="str">
        <f t="shared" ref="BZ149" si="1257">BV149</f>
        <v>Grades</v>
      </c>
      <c r="CA149" s="422">
        <v>-41.428571428571402</v>
      </c>
      <c r="CB149" s="422">
        <v>-428.57142857142901</v>
      </c>
      <c r="CC149" s="422">
        <v>100</v>
      </c>
      <c r="CD149" s="422" t="str">
        <f t="shared" ref="CD149" si="1258">BZ149</f>
        <v>Grades</v>
      </c>
      <c r="CE149" s="422">
        <f t="shared" ref="CE149" si="1259">CA149</f>
        <v>-41.428571428571402</v>
      </c>
      <c r="CF149" s="422">
        <v>-414.57142857142901</v>
      </c>
      <c r="CG149" s="422">
        <v>100</v>
      </c>
      <c r="CH149" s="422" t="str">
        <f t="shared" ref="CH149" si="1260">CD149</f>
        <v>Grades</v>
      </c>
      <c r="CI149" s="422">
        <v>-41.428571428571402</v>
      </c>
      <c r="CJ149" s="422">
        <v>-222.28571428571399</v>
      </c>
      <c r="CK149" s="422">
        <v>100</v>
      </c>
      <c r="CL149" s="422" t="str">
        <f t="shared" ref="CL149" si="1261">CH149</f>
        <v>Grades</v>
      </c>
      <c r="CM149" s="422">
        <v>-41.428571428571402</v>
      </c>
      <c r="CN149" s="422">
        <v>60</v>
      </c>
      <c r="CO149" s="422"/>
      <c r="CP149" s="422">
        <v>40</v>
      </c>
      <c r="CQ149" s="422">
        <v>7.1206896551725896</v>
      </c>
      <c r="CR149" s="422">
        <v>100</v>
      </c>
      <c r="CS149" s="438" t="str">
        <f t="shared" ref="CS149" si="1262">CL149</f>
        <v>Grades</v>
      </c>
      <c r="CT149" s="422">
        <v>-93.157894736841698</v>
      </c>
      <c r="CU149" s="422">
        <v>-472.63157894736901</v>
      </c>
      <c r="CV149" s="422">
        <v>100</v>
      </c>
      <c r="CW149" s="438" t="str">
        <f t="shared" ref="CW149" si="1263">CS149</f>
        <v>Grades</v>
      </c>
      <c r="CX149" s="422">
        <v>-118.333333333333</v>
      </c>
      <c r="CY149" s="422">
        <v>-428.57142857142901</v>
      </c>
      <c r="CZ149" s="422">
        <v>100</v>
      </c>
      <c r="DA149" s="438" t="str">
        <f t="shared" ref="DA149" si="1264">CW149</f>
        <v>Grades</v>
      </c>
      <c r="DB149" s="422">
        <v>-380</v>
      </c>
      <c r="DC149" s="422">
        <v>-347.142857142857</v>
      </c>
      <c r="DD149" s="422">
        <v>100</v>
      </c>
      <c r="DE149" s="422" t="str">
        <f t="shared" ref="DE149" si="1265">DA149</f>
        <v>Grades</v>
      </c>
      <c r="DF149" s="422">
        <v>40</v>
      </c>
      <c r="DG149" s="422">
        <v>-428.57142857142901</v>
      </c>
      <c r="DH149" s="422">
        <v>100</v>
      </c>
      <c r="DI149" s="422" t="str">
        <f t="shared" ref="DI149" si="1266">DE149</f>
        <v>Grades</v>
      </c>
      <c r="DJ149" s="422">
        <v>-170</v>
      </c>
      <c r="DK149" s="422">
        <v>21.571428571428498</v>
      </c>
      <c r="DL149" s="422">
        <v>100</v>
      </c>
      <c r="DM149" s="422" t="str">
        <f t="shared" ref="DM149" si="1267">DI149</f>
        <v>Grades</v>
      </c>
      <c r="DN149" s="422">
        <v>-170</v>
      </c>
      <c r="DO149" s="422">
        <v>-41</v>
      </c>
      <c r="DP149" s="422">
        <v>100</v>
      </c>
      <c r="DQ149" s="438" t="str">
        <f t="shared" ref="DQ149" si="1268">DM149</f>
        <v>Grades</v>
      </c>
      <c r="DR149" s="422">
        <v>-590</v>
      </c>
      <c r="DS149" s="422">
        <v>-343.42857142857099</v>
      </c>
      <c r="DT149" s="422">
        <v>100</v>
      </c>
      <c r="DU149" s="438" t="str">
        <f t="shared" ref="DU149" si="1269">DQ149</f>
        <v>Grades</v>
      </c>
      <c r="DV149" s="422">
        <v>-170</v>
      </c>
      <c r="DW149" s="422">
        <v>36.857142857142797</v>
      </c>
      <c r="DX149" s="422">
        <v>100</v>
      </c>
      <c r="DY149" s="438" t="str">
        <f t="shared" ref="DY149" si="1270">DU149</f>
        <v>Grades</v>
      </c>
      <c r="DZ149" s="422">
        <v>40</v>
      </c>
      <c r="EA149" s="422">
        <v>-66</v>
      </c>
      <c r="EB149" s="422">
        <v>100</v>
      </c>
      <c r="EC149" s="438" t="str">
        <f t="shared" ref="EC149" si="1271">DY149</f>
        <v>Grades</v>
      </c>
      <c r="ED149" s="422">
        <f t="shared" si="1187"/>
        <v>1600</v>
      </c>
      <c r="EE149" s="422">
        <f t="shared" si="1190"/>
        <v>100</v>
      </c>
      <c r="EF149" s="438" t="str">
        <f t="shared" si="1191"/>
        <v>A1</v>
      </c>
      <c r="EG149" s="422" t="str">
        <f t="shared" si="1192"/>
        <v>DISTINTION</v>
      </c>
      <c r="EH149" s="439">
        <v>1</v>
      </c>
      <c r="EI149" s="422">
        <f t="shared" si="1193"/>
        <v>1600</v>
      </c>
      <c r="EJ149" s="440">
        <f t="shared" si="1194"/>
        <v>1</v>
      </c>
      <c r="EK149" s="438" t="s">
        <v>573</v>
      </c>
      <c r="EL149" s="438" t="s">
        <v>762</v>
      </c>
    </row>
    <row r="150" spans="1:142" ht="30">
      <c r="A150" s="690"/>
      <c r="B150" s="690"/>
      <c r="C150" s="690"/>
      <c r="D150" s="690"/>
      <c r="E150" s="690"/>
      <c r="F150" s="690"/>
      <c r="G150" s="690"/>
      <c r="H150" s="690"/>
      <c r="I150" s="690"/>
      <c r="J150" s="690"/>
      <c r="K150" s="690"/>
      <c r="L150" s="690"/>
      <c r="M150" s="690"/>
      <c r="N150" s="690"/>
      <c r="O150" s="690"/>
      <c r="P150" s="690"/>
      <c r="Q150" s="690"/>
      <c r="R150" s="690"/>
      <c r="S150" s="690"/>
      <c r="T150" s="690"/>
      <c r="U150" s="690"/>
      <c r="V150" s="690"/>
      <c r="W150" s="690"/>
      <c r="X150" s="690"/>
      <c r="Y150" s="690"/>
      <c r="Z150" s="690"/>
      <c r="AA150" s="420">
        <f t="shared" si="1127"/>
        <v>149</v>
      </c>
      <c r="AB150" s="435" t="s">
        <v>58</v>
      </c>
      <c r="AC150" s="422" t="s">
        <v>394</v>
      </c>
      <c r="AD150" s="422" t="s">
        <v>326</v>
      </c>
      <c r="AE150" s="422">
        <v>34.714285714285701</v>
      </c>
      <c r="AF150" s="422">
        <f>'SSS1 ATTENDANCE '!FJ156</f>
        <v>0</v>
      </c>
      <c r="AG150" s="422">
        <f>'SSS1 ATTENDANCE '!FH156</f>
        <v>0</v>
      </c>
      <c r="AH150" s="422">
        <f>'SSS1 ATTENDANCE '!FI156</f>
        <v>0</v>
      </c>
      <c r="AI150" s="436" t="s">
        <v>722</v>
      </c>
      <c r="AJ150" s="437">
        <v>40844</v>
      </c>
      <c r="AK150" s="435" t="s">
        <v>396</v>
      </c>
      <c r="AL150" s="424">
        <v>25</v>
      </c>
      <c r="AM150" s="422">
        <v>103.96428571428601</v>
      </c>
      <c r="AN150" s="438">
        <v>4</v>
      </c>
      <c r="AO150" s="422" t="str">
        <f t="shared" si="1188"/>
        <v>3</v>
      </c>
      <c r="AP150" s="438">
        <v>5</v>
      </c>
      <c r="AQ150" s="422">
        <v>4</v>
      </c>
      <c r="AR150" s="438">
        <v>4</v>
      </c>
      <c r="AS150" s="438">
        <v>4</v>
      </c>
      <c r="AT150" s="438">
        <v>4</v>
      </c>
      <c r="AU150" s="438">
        <v>3</v>
      </c>
      <c r="AV150" s="438">
        <v>4</v>
      </c>
      <c r="AW150" s="438">
        <v>4</v>
      </c>
      <c r="AX150" s="438">
        <v>3</v>
      </c>
      <c r="AY150" s="438">
        <v>4</v>
      </c>
      <c r="AZ150" s="438">
        <v>3</v>
      </c>
      <c r="BA150" s="438">
        <v>3</v>
      </c>
      <c r="BB150" s="438">
        <v>3</v>
      </c>
      <c r="BC150" s="438">
        <v>4</v>
      </c>
      <c r="BD150" s="438">
        <v>4</v>
      </c>
      <c r="BE150" s="438">
        <v>4</v>
      </c>
      <c r="BF150" s="438">
        <v>3</v>
      </c>
      <c r="BG150" s="438">
        <v>3</v>
      </c>
      <c r="BH150" s="438">
        <v>3</v>
      </c>
      <c r="BI150" s="438">
        <v>5</v>
      </c>
      <c r="BJ150" s="438">
        <v>4</v>
      </c>
      <c r="BK150" s="438">
        <v>3</v>
      </c>
      <c r="BL150" s="438">
        <v>5</v>
      </c>
      <c r="BM150" s="438">
        <v>3</v>
      </c>
      <c r="BN150" s="422" t="s">
        <v>548</v>
      </c>
      <c r="BO150" s="438">
        <v>-41.964285714285701</v>
      </c>
      <c r="BP150" s="438">
        <v>-573.17857142857099</v>
      </c>
      <c r="BQ150" s="422">
        <f t="shared" ref="BQ150:BQ155" si="1272">SUM(BO150:BP150)</f>
        <v>-615.14285714285666</v>
      </c>
      <c r="BR150" s="438" t="str">
        <f t="shared" ref="BR150:BR155" si="1273">IF(BQ150&gt;=80,"A1",
IF(BQ150&gt;=75,"A",
IF(BQ150&gt;=70,"B2",
IF(BQ150&gt;=65,"B3",
IF(BQ150&gt;=60,"C4",
IF(BQ150&gt;=55,"C5",
IF(BQ150&gt;=50,"C6",
IF(BQ150&gt;=45,"D7",
IF(BQ150&gt;=40,"E8",
IF(BQ150&gt;=1,"F9",""))))))))))</f>
        <v/>
      </c>
      <c r="BS150" s="422">
        <v>-41.964285714285701</v>
      </c>
      <c r="BT150" s="438">
        <v>-429.53571428571399</v>
      </c>
      <c r="BU150" s="422">
        <f t="shared" ref="BU150:BU155" si="1274">SUM(BS150:BT150)</f>
        <v>-471.49999999999972</v>
      </c>
      <c r="BV150" s="438" t="str">
        <f t="shared" ref="BV150:BV155" si="1275">IF(BU150&gt;=80,"A1",
IF(BU150&gt;=75,"A",
IF(BU150&gt;=70,"B2",
IF(BU150&gt;=65,"B3",
IF(BU150&gt;=60,"C4",
IF(BU150&gt;=55,"C5",
IF(BU150&gt;=50,"C6",
IF(BU150&gt;=45,"D7",
IF(BU150&gt;=40,"E8",
IF(BU150&gt;=1,"F9",""))))))))))</f>
        <v/>
      </c>
      <c r="BW150" s="422">
        <v>-41.964285714285701</v>
      </c>
      <c r="BX150" s="422">
        <v>-413.53571428571399</v>
      </c>
      <c r="BY150" s="422">
        <f t="shared" ref="BY150:BY155" si="1276">SUM(BW150:BX150)</f>
        <v>-455.49999999999972</v>
      </c>
      <c r="BZ150" s="438" t="str">
        <f t="shared" ref="BZ150:BZ155" si="1277">IF(BY150&gt;=80,"A1",
IF(BY150&gt;=75,"A",
IF(BY150&gt;=70,"B2",
IF(BY150&gt;=65,"B3",
IF(BY150&gt;=60,"C4",
IF(BY150&gt;=55,"C5",
IF(BY150&gt;=50,"C6",
IF(BY150&gt;=45,"D7",
IF(BY150&gt;=40,"E8",
IF(BY150&gt;=1,"F9",""))))))))))</f>
        <v/>
      </c>
      <c r="CA150" s="422">
        <v>-41.964285714285701</v>
      </c>
      <c r="CB150" s="422">
        <v>-431.78571428571502</v>
      </c>
      <c r="CC150" s="422">
        <f t="shared" ref="CC150:CC155" si="1278">SUM(CA150:CB150)</f>
        <v>-473.75000000000074</v>
      </c>
      <c r="CD150" s="438" t="str">
        <f t="shared" ref="CD150:CD155" si="1279">IF(CC150&gt;=80,"A1",
IF(CC150&gt;=75,"A",
IF(CC150&gt;=70,"B2",
IF(CC150&gt;=65,"B3",
IF(CC150&gt;=60,"C4",
IF(CC150&gt;=55,"C5",
IF(CC150&gt;=50,"C6",
IF(CC150&gt;=45,"D7",
IF(CC150&gt;=40,"E8",
IF(CC150&gt;=1,"F9",""))))))))))</f>
        <v/>
      </c>
      <c r="CE150" s="422">
        <v>35</v>
      </c>
      <c r="CF150" s="422">
        <v>-417.71428571428601</v>
      </c>
      <c r="CG150" s="422">
        <f t="shared" ref="CG150:CG155" si="1280">SUM(CE150:CF150)</f>
        <v>-382.71428571428601</v>
      </c>
      <c r="CH150" s="438" t="str">
        <f t="shared" ref="CH150:CH155" si="1281">IF(CG150&gt;=80,"A1",
IF(CG150&gt;=75,"A",
IF(CG150&gt;=70,"B2",
IF(CG150&gt;=65,"B3",
IF(CG150&gt;=60,"C4",
IF(CG150&gt;=55,"C5",
IF(CG150&gt;=50,"C6",
IF(CG150&gt;=45,"D7",
IF(CG150&gt;=40,"E8",
IF(CG150&gt;=1,"F9",""))))))))))</f>
        <v/>
      </c>
      <c r="CI150" s="422">
        <v>-41.964285714285701</v>
      </c>
      <c r="CJ150" s="422">
        <v>-224.107142857143</v>
      </c>
      <c r="CK150" s="422">
        <f t="shared" ref="CK150:CK155" si="1282">SUM(CI150:CJ150)</f>
        <v>-266.07142857142873</v>
      </c>
      <c r="CL150" s="438" t="str">
        <f t="shared" ref="CL150:CL155" si="1283">IF(CK150&gt;=80,"A1",
IF(CK150&gt;=75,"A",
IF(CK150&gt;=70,"B2",
IF(CK150&gt;=65,"B3",
IF(CK150&gt;=60,"C4",
IF(CK150&gt;=55,"C5",
IF(CK150&gt;=50,"C6",
IF(CK150&gt;=45,"D7",
IF(CK150&gt;=40,"E8",
IF(CK150&gt;=1,"F9",""))))))))))</f>
        <v/>
      </c>
      <c r="CM150" s="422">
        <v>-41.964285714285701</v>
      </c>
      <c r="CN150" s="422"/>
      <c r="CO150" s="422"/>
      <c r="CP150" s="422">
        <f t="shared" ref="CP150:CP151" si="1284">CM150</f>
        <v>-41.964285714285701</v>
      </c>
      <c r="CQ150" s="422">
        <v>6.8362068965518903</v>
      </c>
      <c r="CR150" s="422">
        <f t="shared" ref="CR150:CR155" si="1285">SUM(CP150:CQ150)</f>
        <v>-35.128078817733808</v>
      </c>
      <c r="CS150" s="438" t="str">
        <f t="shared" ref="CS150:CS155" si="1286">IF(CR150&gt;=80,"A1",
IF(CR150&gt;=75,"A",
IF(CR150&gt;=70,"B2",
IF(CR150&gt;=65,"B3",
IF(CR150&gt;=60,"C4",
IF(CR150&gt;=55,"C5",
IF(CR150&gt;=50,"C6",
IF(CR150&gt;=45,"D7",
IF(CR150&gt;=40,"E8",
IF(CR150&gt;=1,"F9",""))))))))))</f>
        <v/>
      </c>
      <c r="CT150" s="422">
        <v>-94.210526315789707</v>
      </c>
      <c r="CU150" s="422">
        <v>-476.84210526315798</v>
      </c>
      <c r="CV150" s="422">
        <f t="shared" ref="CV150:CV155" si="1287">SUM(CT150:CU150)</f>
        <v>-571.05263157894774</v>
      </c>
      <c r="CW150" s="438" t="str">
        <f t="shared" ref="CW150:CW155" si="1288">IF(CV150&gt;=80,"A1",
IF(CV150&gt;=75,"A",
IF(CV150&gt;=70,"B2",
IF(CV150&gt;=65,"B3",
IF(CV150&gt;=60,"C4",
IF(CV150&gt;=55,"C5",
IF(CV150&gt;=50,"C6",
IF(CV150&gt;=45,"D7",
IF(CV150&gt;=40,"E8",
IF(CV150&gt;=1,"F9",""))))))))))</f>
        <v/>
      </c>
      <c r="CX150" s="422">
        <v>-120.833333333333</v>
      </c>
      <c r="CY150" s="422">
        <v>-431.78571428571502</v>
      </c>
      <c r="CZ150" s="422">
        <f t="shared" ref="CZ150:CZ155" si="1289">SUM(CX150:CY150)</f>
        <v>-552.61904761904805</v>
      </c>
      <c r="DA150" s="438" t="str">
        <f t="shared" ref="DA150:DA155" si="1290">IF(CZ150&gt;=80,"A1",
IF(CZ150&gt;=75,"A",
IF(CZ150&gt;=70,"B2",
IF(CZ150&gt;=65,"B3",
IF(CZ150&gt;=60,"C4",
IF(CZ150&gt;=55,"C5",
IF(CZ150&gt;=50,"C6",
IF(CZ150&gt;=45,"D7",
IF(CZ150&gt;=40,"E8",
IF(CZ150&gt;=1,"F9",""))))))))))</f>
        <v/>
      </c>
      <c r="DB150" s="422">
        <v>-390</v>
      </c>
      <c r="DC150" s="422">
        <v>-349.82142857142901</v>
      </c>
      <c r="DD150" s="422">
        <f t="shared" ref="DD150:DD155" si="1291">SUM(DB150:DC150)</f>
        <v>-739.82142857142901</v>
      </c>
      <c r="DE150" s="422" t="str">
        <f t="shared" ref="DE150:DE155" si="1292">IF(DD150&gt;=80,"A1",
IF(DD150&gt;=75,"A",
IF(DD150&gt;=70,"B2",
IF(DD150&gt;=65,"B3",
IF(DD150&gt;=60,"C4",
IF(DD150&gt;=55,"C5",
IF(DD150&gt;=50,"C6",
IF(DD150&gt;=45,"D7",
IF(DD150&gt;=40,"E8",
IF(DD150&gt;=1,"F9",""))))))))))</f>
        <v/>
      </c>
      <c r="DF150" s="422">
        <f t="shared" ref="DF150:DF155" si="1293">DB150</f>
        <v>-390</v>
      </c>
      <c r="DG150" s="422">
        <v>-431.78571428571502</v>
      </c>
      <c r="DH150" s="422">
        <f t="shared" ref="DH150:DH155" si="1294">SUM(DF150:DG150)</f>
        <v>-821.78571428571502</v>
      </c>
      <c r="DI150" s="422" t="str">
        <f t="shared" ref="DI150:DI155" si="1295">IF(DH150&gt;=80,"A1",
IF(DH150&gt;=75,"A",
IF(DH150&gt;=70,"B2",
IF(DH150&gt;=65,"B3",
IF(DH150&gt;=60,"C4",
IF(DH150&gt;=55,"C5",
IF(DH150&gt;=50,"C6",
IF(DH150&gt;=45,"D7",
IF(DH150&gt;=40,"E8",
IF(DH150&gt;=1,"F9",""))))))))))</f>
        <v/>
      </c>
      <c r="DJ150" s="422">
        <v>-175</v>
      </c>
      <c r="DK150" s="422">
        <v>21.3928571428571</v>
      </c>
      <c r="DL150" s="422">
        <f t="shared" ref="DL150:DL155" si="1296">SUM(DJ150:DK150)</f>
        <v>-153.60714285714289</v>
      </c>
      <c r="DM150" s="422" t="str">
        <f t="shared" ref="DM150:DM155" si="1297">IF(DL150&gt;=80,"A1",
IF(DL150&gt;=75,"A",
IF(DL150&gt;=70,"B2",
IF(DL150&gt;=65,"B3",
IF(DL150&gt;=60,"C4",
IF(DL150&gt;=55,"C5",
IF(DL150&gt;=50,"C6",
IF(DL150&gt;=45,"D7",
IF(DL150&gt;=40,"E8",
IF(DL150&gt;=1,"F9",""))))))))))</f>
        <v/>
      </c>
      <c r="DN150" s="422">
        <v>-175</v>
      </c>
      <c r="DO150" s="422">
        <v>-41.607142857142897</v>
      </c>
      <c r="DP150" s="422">
        <f t="shared" ref="DP150:DP155" si="1298">SUM(DN150:DO150)</f>
        <v>-216.60714285714289</v>
      </c>
      <c r="DQ150" s="438" t="str">
        <f t="shared" ref="DQ150:DQ155" si="1299">IF(DP150&gt;=80,"A1",
IF(DP150&gt;=75,"A",
IF(DP150&gt;=70,"B2",
IF(DP150&gt;=65,"B3",
IF(DP150&gt;=60,"C4",
IF(DP150&gt;=55,"C5",
IF(DP150&gt;=50,"C6",
IF(DP150&gt;=45,"D7",
IF(DP150&gt;=40,"E8",
IF(DP150&gt;=1,"F9",""))))))))))</f>
        <v/>
      </c>
      <c r="DR150" s="422">
        <v>-605</v>
      </c>
      <c r="DS150" s="422">
        <v>-346.03571428571399</v>
      </c>
      <c r="DT150" s="422">
        <f t="shared" ref="DT150:DT155" si="1300">SUM(DR150:DS150)</f>
        <v>-951.03571428571399</v>
      </c>
      <c r="DU150" s="438" t="str">
        <f t="shared" ref="DU150:DU155" si="1301">IF(DT150&gt;=80,"A1",
IF(DT150&gt;=75,"A",
IF(DT150&gt;=70,"B2",
IF(DT150&gt;=65,"B3",
IF(DT150&gt;=60,"C4",
IF(DT150&gt;=55,"C5",
IF(DT150&gt;=50,"C6",
IF(DT150&gt;=45,"D7",
IF(DT150&gt;=40,"E8",
IF(DT150&gt;=1,"F9",""))))))))))</f>
        <v/>
      </c>
      <c r="DV150" s="422">
        <v>-175</v>
      </c>
      <c r="DW150" s="422">
        <v>36.785714285714199</v>
      </c>
      <c r="DX150" s="422">
        <f t="shared" ref="DX150:DX155" si="1302">SUM(DV150:DW150)</f>
        <v>-138.21428571428581</v>
      </c>
      <c r="DY150" s="438" t="str">
        <f t="shared" ref="DY150:DY155" si="1303">IF(DX150&gt;=80,"A1",
IF(DX150&gt;=75,"A",
IF(DX150&gt;=70,"B2",
IF(DX150&gt;=65,"B3",
IF(DX150&gt;=60,"C4",
IF(DX150&gt;=55,"C5",
IF(DX150&gt;=50,"C6",
IF(DX150&gt;=45,"D7",
IF(DX150&gt;=40,"E8",
IF(DX150&gt;=1,"F9",""))))))))))</f>
        <v/>
      </c>
      <c r="DZ150" s="422">
        <f t="shared" ref="DZ150:DZ155" si="1304">DV150</f>
        <v>-175</v>
      </c>
      <c r="EA150" s="422">
        <v>-66.75</v>
      </c>
      <c r="EB150" s="422">
        <f t="shared" ref="EB150:EB155" si="1305">SUM(DZ150:EA150)</f>
        <v>-241.75</v>
      </c>
      <c r="EC150" s="438" t="str">
        <f t="shared" ref="EC150:EC155" si="1306">IF(EB150&gt;=80,"A1",
IF(EB150&gt;=75,"A",
IF(EB150&gt;=70,"B2",
IF(EB150&gt;=65,"B3",
IF(EB150&gt;=60,"C4",
IF(EB150&gt;=55,"C5",
IF(EB150&gt;=50,"C6",
IF(EB150&gt;=45,"D7",
IF(EB150&gt;=40,"E8",
IF(EB150&gt;=1,"F9",""))))))))))</f>
        <v/>
      </c>
      <c r="ED150" s="422">
        <f t="shared" si="1187"/>
        <v>-7086.2997580157316</v>
      </c>
      <c r="EE150" s="422">
        <f t="shared" si="1190"/>
        <v>-442.89373487598323</v>
      </c>
      <c r="EF150" s="438" t="str">
        <f t="shared" si="1191"/>
        <v/>
      </c>
      <c r="EG150" s="422" t="str">
        <f t="shared" si="1192"/>
        <v/>
      </c>
      <c r="EH150" s="439">
        <v>1</v>
      </c>
      <c r="EI150" s="422">
        <f t="shared" si="1193"/>
        <v>-7086.2997580157316</v>
      </c>
      <c r="EJ150" s="440">
        <f t="shared" si="1194"/>
        <v>-4.428937348759832</v>
      </c>
      <c r="EK150" s="438" t="s">
        <v>573</v>
      </c>
      <c r="EL150" s="438" t="s">
        <v>762</v>
      </c>
    </row>
    <row r="151" spans="1:142" ht="30">
      <c r="A151" s="690"/>
      <c r="B151" s="690"/>
      <c r="C151" s="690"/>
      <c r="D151" s="690"/>
      <c r="E151" s="690"/>
      <c r="F151" s="690"/>
      <c r="G151" s="690"/>
      <c r="H151" s="690"/>
      <c r="I151" s="690"/>
      <c r="J151" s="690"/>
      <c r="K151" s="690"/>
      <c r="L151" s="690"/>
      <c r="M151" s="690"/>
      <c r="N151" s="690"/>
      <c r="O151" s="690"/>
      <c r="P151" s="690"/>
      <c r="Q151" s="690"/>
      <c r="R151" s="690"/>
      <c r="S151" s="690"/>
      <c r="T151" s="690"/>
      <c r="U151" s="690"/>
      <c r="V151" s="690"/>
      <c r="W151" s="690"/>
      <c r="X151" s="690"/>
      <c r="Y151" s="690"/>
      <c r="Z151" s="690"/>
      <c r="AA151" s="420">
        <f t="shared" si="1127"/>
        <v>150</v>
      </c>
      <c r="AB151" s="435" t="s">
        <v>59</v>
      </c>
      <c r="AC151" s="422" t="s">
        <v>394</v>
      </c>
      <c r="AD151" s="422" t="s">
        <v>326</v>
      </c>
      <c r="AE151" s="422">
        <v>34.857142857142897</v>
      </c>
      <c r="AF151" s="422">
        <f>'SSS1 ATTENDANCE '!FJ157</f>
        <v>0</v>
      </c>
      <c r="AG151" s="422">
        <f>'SSS1 ATTENDANCE '!FH157</f>
        <v>0</v>
      </c>
      <c r="AH151" s="422">
        <f>'SSS1 ATTENDANCE '!FI157</f>
        <v>0</v>
      </c>
      <c r="AI151" s="436" t="s">
        <v>723</v>
      </c>
      <c r="AJ151" s="437">
        <v>40754</v>
      </c>
      <c r="AK151" s="435" t="s">
        <v>396</v>
      </c>
      <c r="AL151" s="424">
        <v>25</v>
      </c>
      <c r="AM151" s="422">
        <v>104.5</v>
      </c>
      <c r="AN151" s="438">
        <v>4</v>
      </c>
      <c r="AO151" s="422" t="str">
        <f t="shared" si="1188"/>
        <v>3</v>
      </c>
      <c r="AP151" s="438">
        <v>5</v>
      </c>
      <c r="AQ151" s="422">
        <v>4</v>
      </c>
      <c r="AR151" s="438">
        <v>4</v>
      </c>
      <c r="AS151" s="438">
        <v>4</v>
      </c>
      <c r="AT151" s="438">
        <v>4</v>
      </c>
      <c r="AU151" s="438">
        <v>3</v>
      </c>
      <c r="AV151" s="438">
        <v>4</v>
      </c>
      <c r="AW151" s="438">
        <v>4</v>
      </c>
      <c r="AX151" s="438">
        <v>3</v>
      </c>
      <c r="AY151" s="438">
        <v>4</v>
      </c>
      <c r="AZ151" s="438">
        <v>3</v>
      </c>
      <c r="BA151" s="438">
        <v>3</v>
      </c>
      <c r="BB151" s="438">
        <v>3</v>
      </c>
      <c r="BC151" s="438">
        <v>4</v>
      </c>
      <c r="BD151" s="438">
        <v>4</v>
      </c>
      <c r="BE151" s="438">
        <v>4</v>
      </c>
      <c r="BF151" s="438">
        <v>3</v>
      </c>
      <c r="BG151" s="438">
        <v>3</v>
      </c>
      <c r="BH151" s="438">
        <v>3</v>
      </c>
      <c r="BI151" s="438">
        <v>5</v>
      </c>
      <c r="BJ151" s="438">
        <v>4</v>
      </c>
      <c r="BK151" s="438">
        <v>3</v>
      </c>
      <c r="BL151" s="438">
        <v>5</v>
      </c>
      <c r="BM151" s="438">
        <v>3</v>
      </c>
      <c r="BN151" s="422" t="s">
        <v>549</v>
      </c>
      <c r="BO151" s="438">
        <v>-42.5</v>
      </c>
      <c r="BP151" s="438">
        <v>-577.357142857143</v>
      </c>
      <c r="BQ151" s="422">
        <f t="shared" si="1272"/>
        <v>-619.857142857143</v>
      </c>
      <c r="BR151" s="438" t="str">
        <f t="shared" si="1273"/>
        <v/>
      </c>
      <c r="BS151" s="422">
        <v>-42.5</v>
      </c>
      <c r="BT151" s="438">
        <v>-432.78571428571399</v>
      </c>
      <c r="BU151" s="422">
        <f t="shared" si="1274"/>
        <v>-475.28571428571399</v>
      </c>
      <c r="BV151" s="438" t="str">
        <f t="shared" si="1275"/>
        <v/>
      </c>
      <c r="BW151" s="422">
        <v>-42.5</v>
      </c>
      <c r="BX151" s="422">
        <v>-416.642857142857</v>
      </c>
      <c r="BY151" s="422">
        <f t="shared" si="1276"/>
        <v>-459.142857142857</v>
      </c>
      <c r="BZ151" s="438" t="str">
        <f t="shared" si="1277"/>
        <v/>
      </c>
      <c r="CA151" s="422">
        <v>-42.5</v>
      </c>
      <c r="CB151" s="422">
        <v>-435.00000000000102</v>
      </c>
      <c r="CC151" s="422">
        <f t="shared" si="1278"/>
        <v>-477.50000000000102</v>
      </c>
      <c r="CD151" s="438" t="str">
        <f t="shared" si="1279"/>
        <v/>
      </c>
      <c r="CE151" s="422">
        <v>35</v>
      </c>
      <c r="CF151" s="422">
        <v>-420.857142857143</v>
      </c>
      <c r="CG151" s="422">
        <f t="shared" si="1280"/>
        <v>-385.857142857143</v>
      </c>
      <c r="CH151" s="438" t="str">
        <f t="shared" si="1281"/>
        <v/>
      </c>
      <c r="CI151" s="422">
        <v>-42.5</v>
      </c>
      <c r="CJ151" s="422">
        <v>-225.92857142857099</v>
      </c>
      <c r="CK151" s="422">
        <f t="shared" si="1282"/>
        <v>-268.42857142857099</v>
      </c>
      <c r="CL151" s="438" t="str">
        <f t="shared" si="1283"/>
        <v/>
      </c>
      <c r="CM151" s="422">
        <v>-42.5</v>
      </c>
      <c r="CN151" s="422"/>
      <c r="CO151" s="422"/>
      <c r="CP151" s="422">
        <f t="shared" si="1284"/>
        <v>-42.5</v>
      </c>
      <c r="CQ151" s="422">
        <v>6.5517241379311999</v>
      </c>
      <c r="CR151" s="422">
        <f t="shared" si="1285"/>
        <v>-35.948275862068797</v>
      </c>
      <c r="CS151" s="438" t="str">
        <f t="shared" si="1286"/>
        <v/>
      </c>
      <c r="CT151" s="422">
        <v>-95.263157894736693</v>
      </c>
      <c r="CU151" s="422">
        <v>-481.05263157894802</v>
      </c>
      <c r="CV151" s="422">
        <f t="shared" si="1287"/>
        <v>-576.31578947368473</v>
      </c>
      <c r="CW151" s="438" t="str">
        <f t="shared" si="1288"/>
        <v/>
      </c>
      <c r="CX151" s="422">
        <v>-123.333333333333</v>
      </c>
      <c r="CY151" s="422">
        <v>-435.00000000000102</v>
      </c>
      <c r="CZ151" s="422">
        <f t="shared" si="1289"/>
        <v>-558.33333333333405</v>
      </c>
      <c r="DA151" s="438" t="str">
        <f t="shared" si="1290"/>
        <v/>
      </c>
      <c r="DB151" s="422">
        <f t="shared" ref="DB151:DB155" si="1307">CX151</f>
        <v>-123.333333333333</v>
      </c>
      <c r="DC151" s="422">
        <v>-352.5</v>
      </c>
      <c r="DD151" s="422">
        <f t="shared" si="1291"/>
        <v>-475.83333333333303</v>
      </c>
      <c r="DE151" s="422" t="str">
        <f t="shared" si="1292"/>
        <v/>
      </c>
      <c r="DF151" s="422">
        <f t="shared" si="1293"/>
        <v>-123.333333333333</v>
      </c>
      <c r="DG151" s="422">
        <v>-435.00000000000102</v>
      </c>
      <c r="DH151" s="422">
        <f t="shared" si="1294"/>
        <v>-558.33333333333405</v>
      </c>
      <c r="DI151" s="422" t="str">
        <f t="shared" si="1295"/>
        <v/>
      </c>
      <c r="DJ151" s="422">
        <f t="shared" ref="DJ151:DJ155" si="1308">DF151</f>
        <v>-123.333333333333</v>
      </c>
      <c r="DK151" s="422">
        <v>21.214285714285602</v>
      </c>
      <c r="DL151" s="422">
        <f t="shared" si="1296"/>
        <v>-102.11904761904739</v>
      </c>
      <c r="DM151" s="422" t="str">
        <f t="shared" si="1297"/>
        <v/>
      </c>
      <c r="DN151" s="422">
        <f t="shared" ref="DN151:DN155" si="1309">DJ151</f>
        <v>-123.333333333333</v>
      </c>
      <c r="DO151" s="422">
        <v>-42.214285714285701</v>
      </c>
      <c r="DP151" s="422">
        <f t="shared" si="1298"/>
        <v>-165.5476190476187</v>
      </c>
      <c r="DQ151" s="438" t="str">
        <f t="shared" si="1299"/>
        <v/>
      </c>
      <c r="DR151" s="422">
        <f t="shared" ref="DR151:DR155" si="1310">DN151</f>
        <v>-123.333333333333</v>
      </c>
      <c r="DS151" s="422">
        <v>-348.642857142857</v>
      </c>
      <c r="DT151" s="422">
        <f t="shared" si="1300"/>
        <v>-471.97619047619003</v>
      </c>
      <c r="DU151" s="438" t="str">
        <f t="shared" si="1301"/>
        <v/>
      </c>
      <c r="DV151" s="422">
        <f t="shared" ref="DV151:DV155" si="1311">DR151</f>
        <v>-123.333333333333</v>
      </c>
      <c r="DW151" s="422">
        <v>36.714285714285701</v>
      </c>
      <c r="DX151" s="422">
        <f t="shared" si="1302"/>
        <v>-86.619047619047308</v>
      </c>
      <c r="DY151" s="438" t="str">
        <f t="shared" si="1303"/>
        <v/>
      </c>
      <c r="DZ151" s="422">
        <f t="shared" si="1304"/>
        <v>-123.333333333333</v>
      </c>
      <c r="EA151" s="422">
        <v>-67.5</v>
      </c>
      <c r="EB151" s="422">
        <f t="shared" si="1305"/>
        <v>-190.833333333333</v>
      </c>
      <c r="EC151" s="438" t="str">
        <f t="shared" si="1306"/>
        <v/>
      </c>
      <c r="ED151" s="422">
        <f t="shared" si="1187"/>
        <v>-5907.93073200242</v>
      </c>
      <c r="EE151" s="422">
        <f t="shared" si="1190"/>
        <v>-369.24567075015125</v>
      </c>
      <c r="EF151" s="438" t="str">
        <f t="shared" si="1191"/>
        <v/>
      </c>
      <c r="EG151" s="422" t="str">
        <f t="shared" si="1192"/>
        <v/>
      </c>
      <c r="EH151" s="439">
        <v>1</v>
      </c>
      <c r="EI151" s="422">
        <f t="shared" si="1193"/>
        <v>-5907.93073200242</v>
      </c>
      <c r="EJ151" s="440">
        <f t="shared" si="1194"/>
        <v>-3.6924567075015124</v>
      </c>
      <c r="EK151" s="438" t="s">
        <v>573</v>
      </c>
      <c r="EL151" s="438" t="s">
        <v>762</v>
      </c>
    </row>
    <row r="152" spans="1:142" ht="30">
      <c r="A152" s="690"/>
      <c r="B152" s="690"/>
      <c r="C152" s="690"/>
      <c r="D152" s="690"/>
      <c r="E152" s="690"/>
      <c r="F152" s="690"/>
      <c r="G152" s="690"/>
      <c r="H152" s="690"/>
      <c r="I152" s="690"/>
      <c r="J152" s="690"/>
      <c r="K152" s="690"/>
      <c r="L152" s="690"/>
      <c r="M152" s="690"/>
      <c r="N152" s="690"/>
      <c r="O152" s="690"/>
      <c r="P152" s="690"/>
      <c r="Q152" s="690"/>
      <c r="R152" s="690"/>
      <c r="S152" s="690"/>
      <c r="T152" s="690"/>
      <c r="U152" s="690"/>
      <c r="V152" s="690"/>
      <c r="W152" s="690"/>
      <c r="X152" s="690"/>
      <c r="Y152" s="690"/>
      <c r="Z152" s="690"/>
      <c r="AA152" s="420">
        <f t="shared" si="1127"/>
        <v>151</v>
      </c>
      <c r="AB152" s="435" t="s">
        <v>60</v>
      </c>
      <c r="AC152" s="422" t="s">
        <v>394</v>
      </c>
      <c r="AD152" s="422" t="s">
        <v>326</v>
      </c>
      <c r="AE152" s="422">
        <v>35</v>
      </c>
      <c r="AF152" s="422">
        <f>'SSS1 ATTENDANCE '!FJ158</f>
        <v>0</v>
      </c>
      <c r="AG152" s="422">
        <f>'SSS1 ATTENDANCE '!FH158</f>
        <v>0</v>
      </c>
      <c r="AH152" s="422">
        <f>'SSS1 ATTENDANCE '!FI158</f>
        <v>0</v>
      </c>
      <c r="AI152" s="436" t="s">
        <v>724</v>
      </c>
      <c r="AJ152" s="437">
        <v>40900</v>
      </c>
      <c r="AK152" s="435" t="s">
        <v>396</v>
      </c>
      <c r="AL152" s="424">
        <v>25</v>
      </c>
      <c r="AM152" s="422">
        <v>105.03571428571399</v>
      </c>
      <c r="AN152" s="438">
        <v>4</v>
      </c>
      <c r="AO152" s="422" t="str">
        <f t="shared" si="1188"/>
        <v>3</v>
      </c>
      <c r="AP152" s="438">
        <v>5</v>
      </c>
      <c r="AQ152" s="422">
        <v>4</v>
      </c>
      <c r="AR152" s="438">
        <v>4</v>
      </c>
      <c r="AS152" s="438">
        <v>4</v>
      </c>
      <c r="AT152" s="438">
        <v>4</v>
      </c>
      <c r="AU152" s="438">
        <v>3</v>
      </c>
      <c r="AV152" s="438">
        <v>4</v>
      </c>
      <c r="AW152" s="438">
        <v>4</v>
      </c>
      <c r="AX152" s="438">
        <v>3</v>
      </c>
      <c r="AY152" s="438">
        <v>4</v>
      </c>
      <c r="AZ152" s="438">
        <v>3</v>
      </c>
      <c r="BA152" s="438">
        <v>3</v>
      </c>
      <c r="BB152" s="438">
        <v>3</v>
      </c>
      <c r="BC152" s="438">
        <v>4</v>
      </c>
      <c r="BD152" s="438">
        <v>4</v>
      </c>
      <c r="BE152" s="438">
        <v>4</v>
      </c>
      <c r="BF152" s="438">
        <v>3</v>
      </c>
      <c r="BG152" s="438">
        <v>3</v>
      </c>
      <c r="BH152" s="438">
        <v>3</v>
      </c>
      <c r="BI152" s="438">
        <v>5</v>
      </c>
      <c r="BJ152" s="438">
        <v>4</v>
      </c>
      <c r="BK152" s="438">
        <v>3</v>
      </c>
      <c r="BL152" s="438">
        <v>5</v>
      </c>
      <c r="BM152" s="438">
        <v>3</v>
      </c>
      <c r="BN152" s="422" t="s">
        <v>550</v>
      </c>
      <c r="BO152" s="438">
        <v>-43.035714285714299</v>
      </c>
      <c r="BP152" s="438">
        <v>-581.53571428571399</v>
      </c>
      <c r="BQ152" s="422">
        <f t="shared" si="1272"/>
        <v>-624.57142857142833</v>
      </c>
      <c r="BR152" s="438" t="str">
        <f t="shared" si="1273"/>
        <v/>
      </c>
      <c r="BS152" s="422">
        <v>-43.035714285714299</v>
      </c>
      <c r="BT152" s="438">
        <v>-436.03571428571399</v>
      </c>
      <c r="BU152" s="422">
        <f t="shared" si="1274"/>
        <v>-479.07142857142827</v>
      </c>
      <c r="BV152" s="438" t="str">
        <f t="shared" si="1275"/>
        <v/>
      </c>
      <c r="BW152" s="422">
        <v>-43.035714285714299</v>
      </c>
      <c r="BX152" s="422">
        <v>-419.74999999999898</v>
      </c>
      <c r="BY152" s="422">
        <f t="shared" si="1276"/>
        <v>-462.78571428571325</v>
      </c>
      <c r="BZ152" s="438" t="str">
        <f t="shared" si="1277"/>
        <v/>
      </c>
      <c r="CA152" s="422">
        <v>-43.035714285714299</v>
      </c>
      <c r="CB152" s="422">
        <v>-438.21428571428601</v>
      </c>
      <c r="CC152" s="422">
        <f t="shared" si="1278"/>
        <v>-481.25000000000028</v>
      </c>
      <c r="CD152" s="438" t="str">
        <f t="shared" si="1279"/>
        <v/>
      </c>
      <c r="CE152" s="422">
        <v>35</v>
      </c>
      <c r="CF152" s="422">
        <v>-424.00000000000102</v>
      </c>
      <c r="CG152" s="422">
        <f t="shared" si="1280"/>
        <v>-389.00000000000102</v>
      </c>
      <c r="CH152" s="438" t="str">
        <f t="shared" si="1281"/>
        <v/>
      </c>
      <c r="CI152" s="422">
        <v>-43.035714285714299</v>
      </c>
      <c r="CJ152" s="422">
        <v>-227.75</v>
      </c>
      <c r="CK152" s="422">
        <f t="shared" si="1282"/>
        <v>-270.78571428571428</v>
      </c>
      <c r="CL152" s="438" t="str">
        <f t="shared" si="1283"/>
        <v/>
      </c>
      <c r="CM152" s="422">
        <v>-43.035714285714299</v>
      </c>
      <c r="CN152" s="422"/>
      <c r="CO152" s="422"/>
      <c r="CP152" s="422"/>
      <c r="CQ152" s="422">
        <v>6.26724137931049</v>
      </c>
      <c r="CR152" s="422">
        <f t="shared" si="1285"/>
        <v>6.26724137931049</v>
      </c>
      <c r="CS152" s="438" t="str">
        <f t="shared" si="1286"/>
        <v>F9</v>
      </c>
      <c r="CT152" s="422">
        <v>-96.315789473684703</v>
      </c>
      <c r="CU152" s="422">
        <v>-485.26315789473699</v>
      </c>
      <c r="CV152" s="422">
        <f t="shared" si="1287"/>
        <v>-581.57894736842172</v>
      </c>
      <c r="CW152" s="438" t="str">
        <f t="shared" si="1288"/>
        <v/>
      </c>
      <c r="CX152" s="422">
        <f t="shared" ref="CX152" si="1312">CT152</f>
        <v>-96.315789473684703</v>
      </c>
      <c r="CY152" s="422">
        <v>-438.21428571428601</v>
      </c>
      <c r="CZ152" s="422">
        <f t="shared" si="1289"/>
        <v>-534.53007518797074</v>
      </c>
      <c r="DA152" s="438" t="str">
        <f t="shared" si="1290"/>
        <v/>
      </c>
      <c r="DB152" s="422">
        <f t="shared" si="1307"/>
        <v>-96.315789473684703</v>
      </c>
      <c r="DC152" s="422">
        <v>-355.17857142857099</v>
      </c>
      <c r="DD152" s="422">
        <f t="shared" si="1291"/>
        <v>-451.49436090225572</v>
      </c>
      <c r="DE152" s="422" t="str">
        <f t="shared" si="1292"/>
        <v/>
      </c>
      <c r="DF152" s="422">
        <f t="shared" si="1293"/>
        <v>-96.315789473684703</v>
      </c>
      <c r="DG152" s="422">
        <v>-438.21428571428601</v>
      </c>
      <c r="DH152" s="422">
        <f t="shared" si="1294"/>
        <v>-534.53007518797074</v>
      </c>
      <c r="DI152" s="422" t="str">
        <f t="shared" si="1295"/>
        <v/>
      </c>
      <c r="DJ152" s="422">
        <f t="shared" si="1308"/>
        <v>-96.315789473684703</v>
      </c>
      <c r="DK152" s="422">
        <v>21.035714285714199</v>
      </c>
      <c r="DL152" s="422">
        <f t="shared" si="1296"/>
        <v>-75.28007518797051</v>
      </c>
      <c r="DM152" s="422" t="str">
        <f t="shared" si="1297"/>
        <v/>
      </c>
      <c r="DN152" s="422">
        <f t="shared" si="1309"/>
        <v>-96.315789473684703</v>
      </c>
      <c r="DO152" s="422">
        <v>-42.821428571428598</v>
      </c>
      <c r="DP152" s="422">
        <f t="shared" si="1298"/>
        <v>-139.13721804511329</v>
      </c>
      <c r="DQ152" s="438" t="str">
        <f t="shared" si="1299"/>
        <v/>
      </c>
      <c r="DR152" s="422">
        <f t="shared" si="1310"/>
        <v>-96.315789473684703</v>
      </c>
      <c r="DS152" s="422">
        <v>-351.25</v>
      </c>
      <c r="DT152" s="422">
        <f t="shared" si="1300"/>
        <v>-447.56578947368473</v>
      </c>
      <c r="DU152" s="438" t="str">
        <f t="shared" si="1301"/>
        <v/>
      </c>
      <c r="DV152" s="422">
        <f t="shared" si="1311"/>
        <v>-96.315789473684703</v>
      </c>
      <c r="DW152" s="422">
        <v>36.642857142857103</v>
      </c>
      <c r="DX152" s="422">
        <f t="shared" si="1302"/>
        <v>-59.672932330827599</v>
      </c>
      <c r="DY152" s="438" t="str">
        <f t="shared" si="1303"/>
        <v/>
      </c>
      <c r="DZ152" s="422">
        <f t="shared" si="1304"/>
        <v>-96.315789473684703</v>
      </c>
      <c r="EA152" s="422">
        <v>-68.25</v>
      </c>
      <c r="EB152" s="422">
        <f t="shared" si="1305"/>
        <v>-164.5657894736847</v>
      </c>
      <c r="EC152" s="438" t="str">
        <f t="shared" si="1306"/>
        <v/>
      </c>
      <c r="ED152" s="422">
        <f t="shared" si="1187"/>
        <v>-5689.5523074928751</v>
      </c>
      <c r="EE152" s="422">
        <f t="shared" si="1190"/>
        <v>-355.59701921830469</v>
      </c>
      <c r="EF152" s="438" t="str">
        <f t="shared" si="1191"/>
        <v/>
      </c>
      <c r="EG152" s="422" t="str">
        <f t="shared" si="1192"/>
        <v/>
      </c>
      <c r="EH152" s="439">
        <v>1</v>
      </c>
      <c r="EI152" s="422">
        <f t="shared" si="1193"/>
        <v>-5689.5523074928751</v>
      </c>
      <c r="EJ152" s="440">
        <f t="shared" si="1194"/>
        <v>-3.5559701921830471</v>
      </c>
      <c r="EK152" s="438" t="s">
        <v>573</v>
      </c>
      <c r="EL152" s="438" t="s">
        <v>762</v>
      </c>
    </row>
    <row r="153" spans="1:142" ht="30">
      <c r="A153" s="690"/>
      <c r="B153" s="690"/>
      <c r="C153" s="690"/>
      <c r="D153" s="690"/>
      <c r="E153" s="690"/>
      <c r="F153" s="690"/>
      <c r="G153" s="690"/>
      <c r="H153" s="690"/>
      <c r="I153" s="690"/>
      <c r="J153" s="690"/>
      <c r="K153" s="690"/>
      <c r="L153" s="690"/>
      <c r="M153" s="690"/>
      <c r="N153" s="690"/>
      <c r="O153" s="690"/>
      <c r="P153" s="690"/>
      <c r="Q153" s="690"/>
      <c r="R153" s="690"/>
      <c r="S153" s="690"/>
      <c r="T153" s="690"/>
      <c r="U153" s="690"/>
      <c r="V153" s="690"/>
      <c r="W153" s="690"/>
      <c r="X153" s="690"/>
      <c r="Y153" s="690"/>
      <c r="Z153" s="690"/>
      <c r="AA153" s="420">
        <f t="shared" si="1127"/>
        <v>152</v>
      </c>
      <c r="AB153" s="435" t="s">
        <v>61</v>
      </c>
      <c r="AC153" s="422" t="s">
        <v>394</v>
      </c>
      <c r="AD153" s="422" t="s">
        <v>326</v>
      </c>
      <c r="AE153" s="422">
        <v>35.142857142857203</v>
      </c>
      <c r="AF153" s="422">
        <f>'SSS1 ATTENDANCE '!FJ159</f>
        <v>0</v>
      </c>
      <c r="AG153" s="422">
        <f>'SSS1 ATTENDANCE '!FH159</f>
        <v>0</v>
      </c>
      <c r="AH153" s="422">
        <f>'SSS1 ATTENDANCE '!FI159</f>
        <v>0</v>
      </c>
      <c r="AI153" s="436" t="s">
        <v>725</v>
      </c>
      <c r="AJ153" s="437">
        <v>40368</v>
      </c>
      <c r="AK153" s="435" t="s">
        <v>396</v>
      </c>
      <c r="AL153" s="424">
        <v>25</v>
      </c>
      <c r="AM153" s="422">
        <v>105.571428571429</v>
      </c>
      <c r="AN153" s="438">
        <v>4</v>
      </c>
      <c r="AO153" s="422" t="str">
        <f t="shared" si="1188"/>
        <v>3</v>
      </c>
      <c r="AP153" s="438">
        <v>5</v>
      </c>
      <c r="AQ153" s="422">
        <v>4</v>
      </c>
      <c r="AR153" s="438">
        <v>4</v>
      </c>
      <c r="AS153" s="438">
        <v>4</v>
      </c>
      <c r="AT153" s="438">
        <v>4</v>
      </c>
      <c r="AU153" s="438">
        <v>3</v>
      </c>
      <c r="AV153" s="438">
        <v>4</v>
      </c>
      <c r="AW153" s="438">
        <v>4</v>
      </c>
      <c r="AX153" s="438">
        <v>3</v>
      </c>
      <c r="AY153" s="438">
        <v>4</v>
      </c>
      <c r="AZ153" s="438">
        <v>3</v>
      </c>
      <c r="BA153" s="438">
        <v>3</v>
      </c>
      <c r="BB153" s="438">
        <v>3</v>
      </c>
      <c r="BC153" s="438">
        <v>4</v>
      </c>
      <c r="BD153" s="438">
        <v>4</v>
      </c>
      <c r="BE153" s="438">
        <v>4</v>
      </c>
      <c r="BF153" s="438">
        <v>3</v>
      </c>
      <c r="BG153" s="438">
        <v>3</v>
      </c>
      <c r="BH153" s="438">
        <v>3</v>
      </c>
      <c r="BI153" s="438">
        <v>5</v>
      </c>
      <c r="BJ153" s="438">
        <v>4</v>
      </c>
      <c r="BK153" s="438">
        <v>3</v>
      </c>
      <c r="BL153" s="438">
        <v>5</v>
      </c>
      <c r="BM153" s="438">
        <v>3</v>
      </c>
      <c r="BN153" s="422" t="s">
        <v>551</v>
      </c>
      <c r="BO153" s="438">
        <v>-43.571428571428498</v>
      </c>
      <c r="BP153" s="438">
        <v>-585.71428571428498</v>
      </c>
      <c r="BQ153" s="422">
        <f t="shared" si="1272"/>
        <v>-629.28571428571354</v>
      </c>
      <c r="BR153" s="438" t="str">
        <f t="shared" si="1273"/>
        <v/>
      </c>
      <c r="BS153" s="422">
        <v>-43.571428571428498</v>
      </c>
      <c r="BT153" s="438">
        <v>-439.28571428571399</v>
      </c>
      <c r="BU153" s="422">
        <f t="shared" si="1274"/>
        <v>-482.85714285714249</v>
      </c>
      <c r="BV153" s="438" t="str">
        <f t="shared" si="1275"/>
        <v/>
      </c>
      <c r="BW153" s="422">
        <v>-43.571428571428498</v>
      </c>
      <c r="BX153" s="422">
        <v>-422.85714285714198</v>
      </c>
      <c r="BY153" s="422">
        <f t="shared" si="1276"/>
        <v>-466.42857142857048</v>
      </c>
      <c r="BZ153" s="438" t="str">
        <f t="shared" si="1277"/>
        <v/>
      </c>
      <c r="CA153" s="422">
        <v>-43.571428571428498</v>
      </c>
      <c r="CB153" s="422">
        <v>-441.42857142857201</v>
      </c>
      <c r="CC153" s="422">
        <f t="shared" si="1278"/>
        <v>-485.00000000000051</v>
      </c>
      <c r="CD153" s="438" t="str">
        <f t="shared" si="1279"/>
        <v/>
      </c>
      <c r="CE153" s="422">
        <v>35</v>
      </c>
      <c r="CF153" s="422">
        <v>-427.14285714285802</v>
      </c>
      <c r="CG153" s="422">
        <f t="shared" si="1280"/>
        <v>-392.14285714285802</v>
      </c>
      <c r="CH153" s="438" t="str">
        <f t="shared" si="1281"/>
        <v/>
      </c>
      <c r="CI153" s="422">
        <v>-43.571428571428498</v>
      </c>
      <c r="CJ153" s="422">
        <v>-229.57142857142799</v>
      </c>
      <c r="CK153" s="422">
        <f t="shared" si="1282"/>
        <v>-273.14285714285649</v>
      </c>
      <c r="CL153" s="438" t="str">
        <f t="shared" si="1283"/>
        <v/>
      </c>
      <c r="CM153" s="422">
        <v>-43.571428571428498</v>
      </c>
      <c r="CN153" s="422"/>
      <c r="CO153" s="422"/>
      <c r="CP153" s="422">
        <f t="shared" ref="CP153" si="1313">CM153</f>
        <v>-43.571428571428498</v>
      </c>
      <c r="CQ153" s="422">
        <v>5.9827586206897898</v>
      </c>
      <c r="CR153" s="422">
        <f t="shared" si="1285"/>
        <v>-37.588669950738705</v>
      </c>
      <c r="CS153" s="438" t="str">
        <f t="shared" si="1286"/>
        <v/>
      </c>
      <c r="CT153" s="422">
        <v>-97.368421052631703</v>
      </c>
      <c r="CU153" s="422">
        <v>-489.47368421052698</v>
      </c>
      <c r="CV153" s="422">
        <f t="shared" si="1287"/>
        <v>-586.84210526315871</v>
      </c>
      <c r="CW153" s="438" t="str">
        <f t="shared" si="1288"/>
        <v/>
      </c>
      <c r="CX153" s="422">
        <v>35</v>
      </c>
      <c r="CY153" s="422">
        <v>-441.42857142857201</v>
      </c>
      <c r="CZ153" s="422">
        <f t="shared" si="1289"/>
        <v>-406.42857142857201</v>
      </c>
      <c r="DA153" s="438" t="str">
        <f t="shared" si="1290"/>
        <v/>
      </c>
      <c r="DB153" s="422">
        <f t="shared" si="1307"/>
        <v>35</v>
      </c>
      <c r="DC153" s="422">
        <v>-357.857142857143</v>
      </c>
      <c r="DD153" s="422">
        <f t="shared" si="1291"/>
        <v>-322.857142857143</v>
      </c>
      <c r="DE153" s="422" t="str">
        <f t="shared" si="1292"/>
        <v/>
      </c>
      <c r="DF153" s="422">
        <f t="shared" si="1293"/>
        <v>35</v>
      </c>
      <c r="DG153" s="422">
        <v>-441.42857142857201</v>
      </c>
      <c r="DH153" s="422">
        <f t="shared" si="1294"/>
        <v>-406.42857142857201</v>
      </c>
      <c r="DI153" s="422" t="str">
        <f t="shared" si="1295"/>
        <v/>
      </c>
      <c r="DJ153" s="422">
        <f t="shared" si="1308"/>
        <v>35</v>
      </c>
      <c r="DK153" s="422">
        <v>20.857142857142801</v>
      </c>
      <c r="DL153" s="422">
        <f t="shared" si="1296"/>
        <v>55.857142857142804</v>
      </c>
      <c r="DM153" s="422" t="str">
        <f t="shared" si="1297"/>
        <v>C5</v>
      </c>
      <c r="DN153" s="422">
        <f t="shared" si="1309"/>
        <v>35</v>
      </c>
      <c r="DO153" s="422">
        <v>-43.428571428571502</v>
      </c>
      <c r="DP153" s="422">
        <f t="shared" si="1298"/>
        <v>-8.4285714285715017</v>
      </c>
      <c r="DQ153" s="438" t="str">
        <f t="shared" si="1299"/>
        <v/>
      </c>
      <c r="DR153" s="422">
        <f t="shared" si="1310"/>
        <v>35</v>
      </c>
      <c r="DS153" s="422">
        <v>-353.85714285714198</v>
      </c>
      <c r="DT153" s="422">
        <f t="shared" si="1300"/>
        <v>-318.85714285714198</v>
      </c>
      <c r="DU153" s="438" t="str">
        <f t="shared" si="1301"/>
        <v/>
      </c>
      <c r="DV153" s="422">
        <f t="shared" si="1311"/>
        <v>35</v>
      </c>
      <c r="DW153" s="422">
        <v>36.571428571428498</v>
      </c>
      <c r="DX153" s="422">
        <f t="shared" si="1302"/>
        <v>71.571428571428498</v>
      </c>
      <c r="DY153" s="438" t="str">
        <f t="shared" si="1303"/>
        <v>B2</v>
      </c>
      <c r="DZ153" s="422">
        <f t="shared" si="1304"/>
        <v>35</v>
      </c>
      <c r="EA153" s="422">
        <v>-69</v>
      </c>
      <c r="EB153" s="422">
        <f t="shared" si="1305"/>
        <v>-34</v>
      </c>
      <c r="EC153" s="438" t="str">
        <f t="shared" si="1306"/>
        <v/>
      </c>
      <c r="ED153" s="422">
        <f t="shared" si="1187"/>
        <v>-4722.8593466424691</v>
      </c>
      <c r="EE153" s="422">
        <f t="shared" si="1190"/>
        <v>-295.17870916515432</v>
      </c>
      <c r="EF153" s="438" t="str">
        <f t="shared" si="1191"/>
        <v/>
      </c>
      <c r="EG153" s="422" t="str">
        <f t="shared" si="1192"/>
        <v/>
      </c>
      <c r="EH153" s="439">
        <v>1</v>
      </c>
      <c r="EI153" s="422">
        <f t="shared" si="1193"/>
        <v>-4722.8593466424691</v>
      </c>
      <c r="EJ153" s="440">
        <f t="shared" si="1194"/>
        <v>-2.9517870916515432</v>
      </c>
      <c r="EK153" s="438" t="s">
        <v>746</v>
      </c>
      <c r="EL153" s="438" t="s">
        <v>762</v>
      </c>
    </row>
    <row r="154" spans="1:142" ht="30">
      <c r="A154" s="690"/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420">
        <f t="shared" si="1127"/>
        <v>153</v>
      </c>
      <c r="AB154" s="435" t="s">
        <v>62</v>
      </c>
      <c r="AC154" s="422" t="s">
        <v>394</v>
      </c>
      <c r="AD154" s="422" t="s">
        <v>326</v>
      </c>
      <c r="AE154" s="422">
        <v>35.285714285714299</v>
      </c>
      <c r="AF154" s="422">
        <f>'SSS1 ATTENDANCE '!FJ160</f>
        <v>0</v>
      </c>
      <c r="AG154" s="422">
        <f>'SSS1 ATTENDANCE '!FH160</f>
        <v>0</v>
      </c>
      <c r="AH154" s="422">
        <f>'SSS1 ATTENDANCE '!FI160</f>
        <v>0</v>
      </c>
      <c r="AI154" s="436" t="s">
        <v>726</v>
      </c>
      <c r="AJ154" s="437">
        <v>40852</v>
      </c>
      <c r="AK154" s="435" t="s">
        <v>396</v>
      </c>
      <c r="AL154" s="424">
        <v>25</v>
      </c>
      <c r="AM154" s="422">
        <v>106.107142857143</v>
      </c>
      <c r="AN154" s="438">
        <v>4</v>
      </c>
      <c r="AO154" s="422" t="str">
        <f t="shared" si="1188"/>
        <v>3</v>
      </c>
      <c r="AP154" s="438">
        <v>5</v>
      </c>
      <c r="AQ154" s="422">
        <v>4</v>
      </c>
      <c r="AR154" s="438">
        <v>4</v>
      </c>
      <c r="AS154" s="438">
        <v>4</v>
      </c>
      <c r="AT154" s="438">
        <v>4</v>
      </c>
      <c r="AU154" s="438">
        <v>3</v>
      </c>
      <c r="AV154" s="438">
        <v>4</v>
      </c>
      <c r="AW154" s="438">
        <v>4</v>
      </c>
      <c r="AX154" s="438">
        <v>3</v>
      </c>
      <c r="AY154" s="438">
        <v>4</v>
      </c>
      <c r="AZ154" s="438">
        <v>3</v>
      </c>
      <c r="BA154" s="438">
        <v>3</v>
      </c>
      <c r="BB154" s="438">
        <v>3</v>
      </c>
      <c r="BC154" s="438">
        <v>4</v>
      </c>
      <c r="BD154" s="438">
        <v>4</v>
      </c>
      <c r="BE154" s="438">
        <v>4</v>
      </c>
      <c r="BF154" s="438">
        <v>3</v>
      </c>
      <c r="BG154" s="438">
        <v>3</v>
      </c>
      <c r="BH154" s="438">
        <v>3</v>
      </c>
      <c r="BI154" s="438">
        <v>5</v>
      </c>
      <c r="BJ154" s="438">
        <v>4</v>
      </c>
      <c r="BK154" s="438">
        <v>3</v>
      </c>
      <c r="BL154" s="438">
        <v>5</v>
      </c>
      <c r="BM154" s="438">
        <v>3</v>
      </c>
      <c r="BN154" s="422" t="s">
        <v>552</v>
      </c>
      <c r="BO154" s="438">
        <v>-44.107142857142797</v>
      </c>
      <c r="BP154" s="438">
        <v>-589.892857142857</v>
      </c>
      <c r="BQ154" s="422">
        <f t="shared" si="1272"/>
        <v>-633.99999999999977</v>
      </c>
      <c r="BR154" s="438" t="str">
        <f t="shared" si="1273"/>
        <v/>
      </c>
      <c r="BS154" s="422">
        <v>-44.107142857142797</v>
      </c>
      <c r="BT154" s="438">
        <v>-442.53571428571399</v>
      </c>
      <c r="BU154" s="422">
        <f t="shared" si="1274"/>
        <v>-486.64285714285677</v>
      </c>
      <c r="BV154" s="438" t="str">
        <f t="shared" si="1275"/>
        <v/>
      </c>
      <c r="BW154" s="422">
        <v>-44.107142857142797</v>
      </c>
      <c r="BX154" s="422">
        <v>-425.96428571428498</v>
      </c>
      <c r="BY154" s="422">
        <f t="shared" si="1276"/>
        <v>-470.07142857142776</v>
      </c>
      <c r="BZ154" s="438" t="str">
        <f t="shared" si="1277"/>
        <v/>
      </c>
      <c r="CA154" s="422">
        <v>-44.107142857142797</v>
      </c>
      <c r="CB154" s="422">
        <v>-444.64285714285802</v>
      </c>
      <c r="CC154" s="422">
        <f t="shared" si="1278"/>
        <v>-488.7500000000008</v>
      </c>
      <c r="CD154" s="438" t="str">
        <f t="shared" si="1279"/>
        <v/>
      </c>
      <c r="CE154" s="422">
        <v>35</v>
      </c>
      <c r="CF154" s="422">
        <v>-430.28571428571502</v>
      </c>
      <c r="CG154" s="422">
        <f t="shared" si="1280"/>
        <v>-395.28571428571502</v>
      </c>
      <c r="CH154" s="438" t="str">
        <f t="shared" si="1281"/>
        <v/>
      </c>
      <c r="CI154" s="422">
        <v>-44.107142857142797</v>
      </c>
      <c r="CJ154" s="422">
        <v>-231.392857142857</v>
      </c>
      <c r="CK154" s="422">
        <f t="shared" si="1282"/>
        <v>-275.49999999999977</v>
      </c>
      <c r="CL154" s="438" t="str">
        <f t="shared" si="1283"/>
        <v/>
      </c>
      <c r="CM154" s="422">
        <v>-44.107142857142797</v>
      </c>
      <c r="CN154" s="422"/>
      <c r="CO154" s="422"/>
      <c r="CP154" s="422"/>
      <c r="CQ154" s="422">
        <v>5.6982758620691003</v>
      </c>
      <c r="CR154" s="422">
        <f t="shared" si="1285"/>
        <v>5.6982758620691003</v>
      </c>
      <c r="CS154" s="438" t="str">
        <f t="shared" si="1286"/>
        <v>F9</v>
      </c>
      <c r="CT154" s="422">
        <v>-98.421052631578704</v>
      </c>
      <c r="CU154" s="422">
        <v>-493.68421052631601</v>
      </c>
      <c r="CV154" s="422">
        <f t="shared" si="1287"/>
        <v>-592.10526315789468</v>
      </c>
      <c r="CW154" s="438" t="str">
        <f t="shared" si="1288"/>
        <v/>
      </c>
      <c r="CX154" s="422">
        <f t="shared" ref="CX154" si="1314">CT154</f>
        <v>-98.421052631578704</v>
      </c>
      <c r="CY154" s="422">
        <v>-444.64285714285802</v>
      </c>
      <c r="CZ154" s="422">
        <f t="shared" si="1289"/>
        <v>-543.06390977443675</v>
      </c>
      <c r="DA154" s="438" t="str">
        <f t="shared" si="1290"/>
        <v/>
      </c>
      <c r="DB154" s="422">
        <f t="shared" si="1307"/>
        <v>-98.421052631578704</v>
      </c>
      <c r="DC154" s="422">
        <v>-360.53571428571399</v>
      </c>
      <c r="DD154" s="422">
        <f t="shared" si="1291"/>
        <v>-458.95676691729273</v>
      </c>
      <c r="DE154" s="422" t="str">
        <f t="shared" si="1292"/>
        <v/>
      </c>
      <c r="DF154" s="422">
        <f t="shared" si="1293"/>
        <v>-98.421052631578704</v>
      </c>
      <c r="DG154" s="422">
        <v>-444.64285714285802</v>
      </c>
      <c r="DH154" s="422">
        <f t="shared" si="1294"/>
        <v>-543.06390977443675</v>
      </c>
      <c r="DI154" s="422" t="str">
        <f t="shared" si="1295"/>
        <v/>
      </c>
      <c r="DJ154" s="422">
        <f t="shared" si="1308"/>
        <v>-98.421052631578704</v>
      </c>
      <c r="DK154" s="422">
        <v>20.678571428571399</v>
      </c>
      <c r="DL154" s="422">
        <f t="shared" si="1296"/>
        <v>-77.742481203007301</v>
      </c>
      <c r="DM154" s="422" t="str">
        <f t="shared" si="1297"/>
        <v/>
      </c>
      <c r="DN154" s="422">
        <f t="shared" si="1309"/>
        <v>-98.421052631578704</v>
      </c>
      <c r="DO154" s="422">
        <v>-44.035714285714299</v>
      </c>
      <c r="DP154" s="422">
        <f t="shared" si="1298"/>
        <v>-142.45676691729301</v>
      </c>
      <c r="DQ154" s="438" t="str">
        <f t="shared" si="1299"/>
        <v/>
      </c>
      <c r="DR154" s="422">
        <f t="shared" si="1310"/>
        <v>-98.421052631578704</v>
      </c>
      <c r="DS154" s="422">
        <v>-356.46428571428498</v>
      </c>
      <c r="DT154" s="422">
        <f t="shared" si="1300"/>
        <v>-454.88533834586372</v>
      </c>
      <c r="DU154" s="438" t="str">
        <f t="shared" si="1301"/>
        <v/>
      </c>
      <c r="DV154" s="422">
        <f t="shared" si="1311"/>
        <v>-98.421052631578704</v>
      </c>
      <c r="DW154" s="422">
        <v>36.5</v>
      </c>
      <c r="DX154" s="422">
        <f t="shared" si="1302"/>
        <v>-61.921052631578704</v>
      </c>
      <c r="DY154" s="438" t="str">
        <f t="shared" si="1303"/>
        <v/>
      </c>
      <c r="DZ154" s="422">
        <f t="shared" si="1304"/>
        <v>-98.421052631578704</v>
      </c>
      <c r="EA154" s="422">
        <v>-69.75</v>
      </c>
      <c r="EB154" s="422">
        <f t="shared" si="1305"/>
        <v>-168.1710526315787</v>
      </c>
      <c r="EC154" s="438" t="str">
        <f t="shared" si="1306"/>
        <v/>
      </c>
      <c r="ED154" s="422">
        <f t="shared" si="1187"/>
        <v>-5786.9182654913129</v>
      </c>
      <c r="EE154" s="422">
        <f t="shared" si="1190"/>
        <v>-361.68239159320706</v>
      </c>
      <c r="EF154" s="438" t="str">
        <f t="shared" si="1191"/>
        <v/>
      </c>
      <c r="EG154" s="422" t="str">
        <f t="shared" si="1192"/>
        <v/>
      </c>
      <c r="EH154" s="439">
        <v>1</v>
      </c>
      <c r="EI154" s="422">
        <f t="shared" si="1193"/>
        <v>-5786.9182654913129</v>
      </c>
      <c r="EJ154" s="440">
        <f t="shared" si="1194"/>
        <v>-3.6168239159320708</v>
      </c>
      <c r="EK154" s="438" t="s">
        <v>747</v>
      </c>
      <c r="EL154" s="438" t="s">
        <v>762</v>
      </c>
    </row>
    <row r="155" spans="1:142" ht="30">
      <c r="A155" s="690"/>
      <c r="B155" s="690"/>
      <c r="C155" s="690"/>
      <c r="D155" s="690"/>
      <c r="E155" s="690"/>
      <c r="F155" s="690"/>
      <c r="G155" s="690"/>
      <c r="H155" s="690"/>
      <c r="I155" s="690"/>
      <c r="J155" s="690"/>
      <c r="K155" s="690"/>
      <c r="L155" s="690"/>
      <c r="M155" s="690"/>
      <c r="N155" s="690"/>
      <c r="O155" s="690"/>
      <c r="P155" s="690"/>
      <c r="Q155" s="690"/>
      <c r="R155" s="690"/>
      <c r="S155" s="690"/>
      <c r="T155" s="690"/>
      <c r="U155" s="690"/>
      <c r="V155" s="690"/>
      <c r="W155" s="690"/>
      <c r="X155" s="690"/>
      <c r="Y155" s="690"/>
      <c r="Z155" s="690"/>
      <c r="AA155" s="420">
        <f t="shared" si="1127"/>
        <v>154</v>
      </c>
      <c r="AB155" s="435" t="s">
        <v>63</v>
      </c>
      <c r="AC155" s="422" t="s">
        <v>394</v>
      </c>
      <c r="AD155" s="422" t="s">
        <v>326</v>
      </c>
      <c r="AE155" s="422">
        <v>35.428571428571502</v>
      </c>
      <c r="AF155" s="422">
        <f>'SSS1 ATTENDANCE '!FJ161</f>
        <v>0</v>
      </c>
      <c r="AG155" s="422">
        <f>'SSS1 ATTENDANCE '!FH161</f>
        <v>0</v>
      </c>
      <c r="AH155" s="422">
        <f>'SSS1 ATTENDANCE '!FI161</f>
        <v>0</v>
      </c>
      <c r="AI155" s="436" t="s">
        <v>727</v>
      </c>
      <c r="AJ155" s="437">
        <v>40881</v>
      </c>
      <c r="AK155" s="435" t="s">
        <v>396</v>
      </c>
      <c r="AL155" s="424">
        <v>25</v>
      </c>
      <c r="AM155" s="422">
        <v>106.642857142857</v>
      </c>
      <c r="AN155" s="438">
        <v>4</v>
      </c>
      <c r="AO155" s="422" t="str">
        <f t="shared" si="1188"/>
        <v>3</v>
      </c>
      <c r="AP155" s="438">
        <v>5</v>
      </c>
      <c r="AQ155" s="422">
        <v>4</v>
      </c>
      <c r="AR155" s="438">
        <v>4</v>
      </c>
      <c r="AS155" s="438">
        <v>4</v>
      </c>
      <c r="AT155" s="438">
        <v>4</v>
      </c>
      <c r="AU155" s="438">
        <v>3</v>
      </c>
      <c r="AV155" s="438">
        <v>4</v>
      </c>
      <c r="AW155" s="438">
        <v>4</v>
      </c>
      <c r="AX155" s="438">
        <v>3</v>
      </c>
      <c r="AY155" s="438">
        <v>4</v>
      </c>
      <c r="AZ155" s="438">
        <v>3</v>
      </c>
      <c r="BA155" s="438">
        <v>3</v>
      </c>
      <c r="BB155" s="438">
        <v>3</v>
      </c>
      <c r="BC155" s="438">
        <v>4</v>
      </c>
      <c r="BD155" s="438">
        <v>4</v>
      </c>
      <c r="BE155" s="438">
        <v>4</v>
      </c>
      <c r="BF155" s="438">
        <v>3</v>
      </c>
      <c r="BG155" s="438">
        <v>3</v>
      </c>
      <c r="BH155" s="438">
        <v>3</v>
      </c>
      <c r="BI155" s="438">
        <v>5</v>
      </c>
      <c r="BJ155" s="438">
        <v>4</v>
      </c>
      <c r="BK155" s="438">
        <v>3</v>
      </c>
      <c r="BL155" s="438">
        <v>5</v>
      </c>
      <c r="BM155" s="438">
        <v>3</v>
      </c>
      <c r="BN155" s="422" t="s">
        <v>553</v>
      </c>
      <c r="BO155" s="438">
        <v>-44.642857142857103</v>
      </c>
      <c r="BP155" s="438">
        <v>-594.07142857142799</v>
      </c>
      <c r="BQ155" s="422">
        <f t="shared" si="1272"/>
        <v>-638.7142857142851</v>
      </c>
      <c r="BR155" s="438" t="str">
        <f t="shared" si="1273"/>
        <v/>
      </c>
      <c r="BS155" s="422">
        <v>-44.642857142857103</v>
      </c>
      <c r="BT155" s="438">
        <v>-445.78571428571399</v>
      </c>
      <c r="BU155" s="422">
        <f t="shared" si="1274"/>
        <v>-490.4285714285711</v>
      </c>
      <c r="BV155" s="438" t="str">
        <f t="shared" si="1275"/>
        <v/>
      </c>
      <c r="BW155" s="422">
        <v>-44.642857142857103</v>
      </c>
      <c r="BX155" s="422">
        <v>-429.07142857142799</v>
      </c>
      <c r="BY155" s="422">
        <f t="shared" si="1276"/>
        <v>-473.7142857142851</v>
      </c>
      <c r="BZ155" s="438" t="str">
        <f t="shared" si="1277"/>
        <v/>
      </c>
      <c r="CA155" s="422">
        <v>-44.642857142857103</v>
      </c>
      <c r="CB155" s="422">
        <v>-447.857142857143</v>
      </c>
      <c r="CC155" s="422">
        <f t="shared" si="1278"/>
        <v>-492.50000000000011</v>
      </c>
      <c r="CD155" s="438" t="str">
        <f t="shared" si="1279"/>
        <v/>
      </c>
      <c r="CE155" s="422">
        <v>35</v>
      </c>
      <c r="CF155" s="422">
        <v>-433.42857142857201</v>
      </c>
      <c r="CG155" s="422">
        <f t="shared" si="1280"/>
        <v>-398.42857142857201</v>
      </c>
      <c r="CH155" s="438" t="str">
        <f t="shared" si="1281"/>
        <v/>
      </c>
      <c r="CI155" s="422">
        <v>-44.642857142857103</v>
      </c>
      <c r="CJ155" s="422">
        <v>-233.21428571428601</v>
      </c>
      <c r="CK155" s="422">
        <f t="shared" si="1282"/>
        <v>-277.85714285714312</v>
      </c>
      <c r="CL155" s="438" t="str">
        <f t="shared" si="1283"/>
        <v/>
      </c>
      <c r="CM155" s="422">
        <v>-44.642857142857103</v>
      </c>
      <c r="CN155" s="422"/>
      <c r="CO155" s="422"/>
      <c r="CP155" s="422">
        <f t="shared" ref="CP155" si="1315">CM155</f>
        <v>-44.642857142857103</v>
      </c>
      <c r="CQ155" s="422">
        <v>5.4137931034483904</v>
      </c>
      <c r="CR155" s="422">
        <f t="shared" si="1285"/>
        <v>-39.229064039408712</v>
      </c>
      <c r="CS155" s="438" t="str">
        <f t="shared" si="1286"/>
        <v/>
      </c>
      <c r="CT155" s="422"/>
      <c r="CU155" s="422"/>
      <c r="CV155" s="422">
        <f t="shared" si="1287"/>
        <v>0</v>
      </c>
      <c r="CW155" s="438" t="str">
        <f t="shared" si="1288"/>
        <v/>
      </c>
      <c r="CX155" s="422">
        <v>35</v>
      </c>
      <c r="CY155" s="422">
        <v>-447.857142857143</v>
      </c>
      <c r="CZ155" s="422">
        <f t="shared" si="1289"/>
        <v>-412.857142857143</v>
      </c>
      <c r="DA155" s="438" t="str">
        <f t="shared" si="1290"/>
        <v/>
      </c>
      <c r="DB155" s="422">
        <f t="shared" si="1307"/>
        <v>35</v>
      </c>
      <c r="DC155" s="422">
        <v>-363.21428571428601</v>
      </c>
      <c r="DD155" s="422">
        <f t="shared" si="1291"/>
        <v>-328.21428571428601</v>
      </c>
      <c r="DE155" s="422" t="str">
        <f t="shared" si="1292"/>
        <v/>
      </c>
      <c r="DF155" s="422">
        <f t="shared" si="1293"/>
        <v>35</v>
      </c>
      <c r="DG155" s="422">
        <v>-447.857142857143</v>
      </c>
      <c r="DH155" s="422">
        <f t="shared" si="1294"/>
        <v>-412.857142857143</v>
      </c>
      <c r="DI155" s="422" t="str">
        <f t="shared" si="1295"/>
        <v/>
      </c>
      <c r="DJ155" s="422">
        <f t="shared" si="1308"/>
        <v>35</v>
      </c>
      <c r="DK155" s="422">
        <v>20.499999999999901</v>
      </c>
      <c r="DL155" s="422">
        <f t="shared" si="1296"/>
        <v>55.499999999999901</v>
      </c>
      <c r="DM155" s="422" t="str">
        <f t="shared" si="1297"/>
        <v>C5</v>
      </c>
      <c r="DN155" s="422">
        <f t="shared" si="1309"/>
        <v>35</v>
      </c>
      <c r="DO155" s="422">
        <v>-44.642857142857203</v>
      </c>
      <c r="DP155" s="422">
        <f t="shared" si="1298"/>
        <v>-9.6428571428572027</v>
      </c>
      <c r="DQ155" s="438" t="str">
        <f t="shared" si="1299"/>
        <v/>
      </c>
      <c r="DR155" s="422">
        <f t="shared" si="1310"/>
        <v>35</v>
      </c>
      <c r="DS155" s="422">
        <v>-359.07142857142799</v>
      </c>
      <c r="DT155" s="422">
        <f t="shared" si="1300"/>
        <v>-324.07142857142799</v>
      </c>
      <c r="DU155" s="438" t="str">
        <f t="shared" si="1301"/>
        <v/>
      </c>
      <c r="DV155" s="422">
        <f t="shared" si="1311"/>
        <v>35</v>
      </c>
      <c r="DW155" s="422">
        <v>36.428571428571402</v>
      </c>
      <c r="DX155" s="422">
        <f t="shared" si="1302"/>
        <v>71.428571428571402</v>
      </c>
      <c r="DY155" s="438" t="str">
        <f t="shared" si="1303"/>
        <v>B2</v>
      </c>
      <c r="DZ155" s="422">
        <f t="shared" si="1304"/>
        <v>35</v>
      </c>
      <c r="EA155" s="422">
        <v>-70.5</v>
      </c>
      <c r="EB155" s="422">
        <f t="shared" si="1305"/>
        <v>-35.5</v>
      </c>
      <c r="EC155" s="438" t="str">
        <f t="shared" si="1306"/>
        <v/>
      </c>
      <c r="ED155" s="422">
        <f t="shared" si="1187"/>
        <v>-4207.0862068965507</v>
      </c>
      <c r="EE155" s="422">
        <f t="shared" si="1190"/>
        <v>-262.94288793103442</v>
      </c>
      <c r="EF155" s="438" t="str">
        <f t="shared" si="1191"/>
        <v/>
      </c>
      <c r="EG155" s="422" t="str">
        <f t="shared" si="1192"/>
        <v/>
      </c>
      <c r="EH155" s="439">
        <v>1</v>
      </c>
      <c r="EI155" s="422">
        <f t="shared" si="1193"/>
        <v>-4207.0862068965507</v>
      </c>
      <c r="EJ155" s="440">
        <f t="shared" si="1194"/>
        <v>-2.6294288793103444</v>
      </c>
      <c r="EK155" s="438" t="s">
        <v>573</v>
      </c>
      <c r="EL155" s="438" t="s">
        <v>762</v>
      </c>
    </row>
    <row r="156" spans="1:142" ht="30">
      <c r="A156" s="690"/>
      <c r="B156" s="690"/>
      <c r="C156" s="690"/>
      <c r="D156" s="690"/>
      <c r="E156" s="690"/>
      <c r="F156" s="690"/>
      <c r="G156" s="690"/>
      <c r="H156" s="690"/>
      <c r="I156" s="690"/>
      <c r="J156" s="690"/>
      <c r="K156" s="690"/>
      <c r="L156" s="690"/>
      <c r="M156" s="690"/>
      <c r="N156" s="690"/>
      <c r="O156" s="690"/>
      <c r="P156" s="690"/>
      <c r="Q156" s="690"/>
      <c r="R156" s="690"/>
      <c r="S156" s="690"/>
      <c r="T156" s="690"/>
      <c r="U156" s="690"/>
      <c r="V156" s="690"/>
      <c r="W156" s="690"/>
      <c r="X156" s="690"/>
      <c r="Y156" s="690"/>
      <c r="Z156" s="690"/>
      <c r="AA156" s="420">
        <f t="shared" si="1127"/>
        <v>155</v>
      </c>
      <c r="AB156" s="435" t="s">
        <v>57</v>
      </c>
      <c r="AC156" s="422" t="s">
        <v>394</v>
      </c>
      <c r="AD156" s="422" t="s">
        <v>326</v>
      </c>
      <c r="AE156" s="422">
        <v>35.571428571428598</v>
      </c>
      <c r="AF156" s="422">
        <f>'SSS1 ATTENDANCE '!FJ162</f>
        <v>0</v>
      </c>
      <c r="AG156" s="422">
        <f>'SSS1 ATTENDANCE '!FH162</f>
        <v>0</v>
      </c>
      <c r="AH156" s="422">
        <f>'SSS1 ATTENDANCE '!FI162</f>
        <v>0</v>
      </c>
      <c r="AI156" s="436" t="s">
        <v>728</v>
      </c>
      <c r="AJ156" s="437">
        <v>41122</v>
      </c>
      <c r="AK156" s="435" t="s">
        <v>396</v>
      </c>
      <c r="AL156" s="424">
        <v>25</v>
      </c>
      <c r="AM156" s="422">
        <v>107.178571428571</v>
      </c>
      <c r="AN156" s="438">
        <v>4</v>
      </c>
      <c r="AO156" s="422" t="str">
        <f t="shared" si="1188"/>
        <v>3</v>
      </c>
      <c r="AP156" s="438">
        <v>5</v>
      </c>
      <c r="AQ156" s="422">
        <v>4</v>
      </c>
      <c r="AR156" s="438">
        <v>4</v>
      </c>
      <c r="AS156" s="438">
        <v>4</v>
      </c>
      <c r="AT156" s="438">
        <v>4</v>
      </c>
      <c r="AU156" s="438">
        <v>3</v>
      </c>
      <c r="AV156" s="438">
        <v>4</v>
      </c>
      <c r="AW156" s="438">
        <v>4</v>
      </c>
      <c r="AX156" s="438">
        <v>3</v>
      </c>
      <c r="AY156" s="438">
        <v>4</v>
      </c>
      <c r="AZ156" s="438">
        <v>3</v>
      </c>
      <c r="BA156" s="438">
        <v>3</v>
      </c>
      <c r="BB156" s="438">
        <v>3</v>
      </c>
      <c r="BC156" s="438">
        <v>4</v>
      </c>
      <c r="BD156" s="438">
        <v>4</v>
      </c>
      <c r="BE156" s="438">
        <v>4</v>
      </c>
      <c r="BF156" s="438">
        <v>3</v>
      </c>
      <c r="BG156" s="438">
        <v>3</v>
      </c>
      <c r="BH156" s="438">
        <v>3</v>
      </c>
      <c r="BI156" s="438">
        <v>5</v>
      </c>
      <c r="BJ156" s="438">
        <v>4</v>
      </c>
      <c r="BK156" s="438">
        <v>3</v>
      </c>
      <c r="BL156" s="438">
        <v>5</v>
      </c>
      <c r="BM156" s="438">
        <v>3</v>
      </c>
      <c r="BN156" s="422" t="s">
        <v>554</v>
      </c>
      <c r="BO156" s="422">
        <v>-45.178571428571402</v>
      </c>
      <c r="BP156" s="422">
        <v>-598.25</v>
      </c>
      <c r="BQ156" s="422">
        <v>100</v>
      </c>
      <c r="BR156" s="438" t="s">
        <v>749</v>
      </c>
      <c r="BS156" s="422">
        <v>-45.178571428571402</v>
      </c>
      <c r="BT156" s="422">
        <v>-449.03571428571399</v>
      </c>
      <c r="BU156" s="422">
        <v>100</v>
      </c>
      <c r="BV156" s="438" t="s">
        <v>749</v>
      </c>
      <c r="BW156" s="422">
        <v>-45.178571428571402</v>
      </c>
      <c r="BX156" s="422">
        <v>-432.17857142857099</v>
      </c>
      <c r="BY156" s="422">
        <v>100</v>
      </c>
      <c r="BZ156" s="422" t="str">
        <f t="shared" ref="BZ156" si="1316">BV156</f>
        <v>Grades</v>
      </c>
      <c r="CA156" s="422">
        <v>-45.178571428571402</v>
      </c>
      <c r="CB156" s="422">
        <v>-451.07142857142901</v>
      </c>
      <c r="CC156" s="422">
        <v>100</v>
      </c>
      <c r="CD156" s="422" t="str">
        <f t="shared" ref="CD156" si="1317">BZ156</f>
        <v>Grades</v>
      </c>
      <c r="CE156" s="422">
        <f t="shared" ref="CE156" si="1318">CA156</f>
        <v>-45.178571428571402</v>
      </c>
      <c r="CF156" s="422">
        <v>-436.57142857142901</v>
      </c>
      <c r="CG156" s="422">
        <v>100</v>
      </c>
      <c r="CH156" s="422" t="str">
        <f t="shared" ref="CH156" si="1319">CD156</f>
        <v>Grades</v>
      </c>
      <c r="CI156" s="422">
        <v>-45.178571428571402</v>
      </c>
      <c r="CJ156" s="422">
        <v>-235.03571428571399</v>
      </c>
      <c r="CK156" s="422">
        <v>100</v>
      </c>
      <c r="CL156" s="422" t="str">
        <f t="shared" ref="CL156" si="1320">CH156</f>
        <v>Grades</v>
      </c>
      <c r="CM156" s="422">
        <v>-45.178571428571402</v>
      </c>
      <c r="CN156" s="422">
        <v>60</v>
      </c>
      <c r="CO156" s="422"/>
      <c r="CP156" s="422">
        <v>40</v>
      </c>
      <c r="CQ156" s="422">
        <v>5.1293103448276902</v>
      </c>
      <c r="CR156" s="422">
        <v>100</v>
      </c>
      <c r="CS156" s="438" t="str">
        <f t="shared" ref="CS156" si="1321">CL156</f>
        <v>Grades</v>
      </c>
      <c r="CT156" s="422">
        <v>-99.473684210526699</v>
      </c>
      <c r="CU156" s="422">
        <v>-497.894736842106</v>
      </c>
      <c r="CV156" s="422">
        <v>100</v>
      </c>
      <c r="CW156" s="438" t="str">
        <f t="shared" ref="CW156" si="1322">CS156</f>
        <v>Grades</v>
      </c>
      <c r="CX156" s="422">
        <v>-125.833333333333</v>
      </c>
      <c r="CY156" s="422">
        <v>-451.07142857142901</v>
      </c>
      <c r="CZ156" s="422">
        <v>100</v>
      </c>
      <c r="DA156" s="438" t="str">
        <f t="shared" ref="DA156" si="1323">CW156</f>
        <v>Grades</v>
      </c>
      <c r="DB156" s="422">
        <v>-400</v>
      </c>
      <c r="DC156" s="422">
        <v>-365.892857142857</v>
      </c>
      <c r="DD156" s="422">
        <v>100</v>
      </c>
      <c r="DE156" s="422" t="str">
        <f t="shared" ref="DE156" si="1324">DA156</f>
        <v>Grades</v>
      </c>
      <c r="DF156" s="422">
        <v>40</v>
      </c>
      <c r="DG156" s="422">
        <v>-451.07142857142901</v>
      </c>
      <c r="DH156" s="422">
        <v>100</v>
      </c>
      <c r="DI156" s="422" t="str">
        <f t="shared" ref="DI156" si="1325">DE156</f>
        <v>Grades</v>
      </c>
      <c r="DJ156" s="422">
        <v>-180</v>
      </c>
      <c r="DK156" s="422">
        <v>20.321428571428498</v>
      </c>
      <c r="DL156" s="422">
        <v>100</v>
      </c>
      <c r="DM156" s="422" t="str">
        <f t="shared" ref="DM156" si="1326">DI156</f>
        <v>Grades</v>
      </c>
      <c r="DN156" s="422">
        <v>-180</v>
      </c>
      <c r="DO156" s="422">
        <v>-45.25</v>
      </c>
      <c r="DP156" s="422">
        <v>100</v>
      </c>
      <c r="DQ156" s="438" t="str">
        <f t="shared" ref="DQ156" si="1327">DM156</f>
        <v>Grades</v>
      </c>
      <c r="DR156" s="422">
        <v>-620</v>
      </c>
      <c r="DS156" s="422">
        <v>-361.67857142857099</v>
      </c>
      <c r="DT156" s="422">
        <v>100</v>
      </c>
      <c r="DU156" s="438" t="str">
        <f t="shared" ref="DU156" si="1328">DQ156</f>
        <v>Grades</v>
      </c>
      <c r="DV156" s="422">
        <v>-180</v>
      </c>
      <c r="DW156" s="422">
        <v>36.357142857142797</v>
      </c>
      <c r="DX156" s="422">
        <v>100</v>
      </c>
      <c r="DY156" s="438" t="str">
        <f t="shared" ref="DY156" si="1329">DU156</f>
        <v>Grades</v>
      </c>
      <c r="DZ156" s="422">
        <v>40</v>
      </c>
      <c r="EA156" s="422">
        <v>-71.25</v>
      </c>
      <c r="EB156" s="422">
        <v>100</v>
      </c>
      <c r="EC156" s="438" t="str">
        <f t="shared" ref="EC156" si="1330">DY156</f>
        <v>Grades</v>
      </c>
      <c r="ED156" s="422">
        <f t="shared" si="1187"/>
        <v>1600</v>
      </c>
      <c r="EE156" s="422">
        <f t="shared" si="1190"/>
        <v>100</v>
      </c>
      <c r="EF156" s="438" t="str">
        <f t="shared" si="1191"/>
        <v>A1</v>
      </c>
      <c r="EG156" s="422" t="str">
        <f t="shared" si="1192"/>
        <v>DISTINTION</v>
      </c>
      <c r="EH156" s="439">
        <v>1</v>
      </c>
      <c r="EI156" s="422">
        <f t="shared" si="1193"/>
        <v>1600</v>
      </c>
      <c r="EJ156" s="440">
        <f t="shared" si="1194"/>
        <v>1</v>
      </c>
      <c r="EK156" s="438" t="s">
        <v>573</v>
      </c>
      <c r="EL156" s="438" t="s">
        <v>762</v>
      </c>
    </row>
    <row r="157" spans="1:142" ht="30">
      <c r="A157" s="690"/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0"/>
      <c r="P157" s="690"/>
      <c r="Q157" s="690"/>
      <c r="R157" s="690"/>
      <c r="S157" s="690"/>
      <c r="T157" s="690"/>
      <c r="U157" s="690"/>
      <c r="V157" s="690"/>
      <c r="W157" s="690"/>
      <c r="X157" s="690"/>
      <c r="Y157" s="690"/>
      <c r="Z157" s="690"/>
      <c r="AA157" s="420">
        <f t="shared" si="1127"/>
        <v>156</v>
      </c>
      <c r="AB157" s="435" t="s">
        <v>58</v>
      </c>
      <c r="AC157" s="422" t="s">
        <v>394</v>
      </c>
      <c r="AD157" s="422" t="s">
        <v>326</v>
      </c>
      <c r="AE157" s="422">
        <v>35.714285714285701</v>
      </c>
      <c r="AF157" s="422">
        <f>'SSS1 ATTENDANCE '!FJ163</f>
        <v>0</v>
      </c>
      <c r="AG157" s="422">
        <f>'SSS1 ATTENDANCE '!FH163</f>
        <v>0</v>
      </c>
      <c r="AH157" s="422">
        <f>'SSS1 ATTENDANCE '!FI163</f>
        <v>0</v>
      </c>
      <c r="AI157" s="436" t="s">
        <v>729</v>
      </c>
      <c r="AJ157" s="437">
        <v>40844</v>
      </c>
      <c r="AK157" s="435" t="s">
        <v>396</v>
      </c>
      <c r="AL157" s="424">
        <v>25</v>
      </c>
      <c r="AM157" s="422">
        <v>107.71428571428601</v>
      </c>
      <c r="AN157" s="438">
        <v>4</v>
      </c>
      <c r="AO157" s="422" t="str">
        <f t="shared" si="1188"/>
        <v>3</v>
      </c>
      <c r="AP157" s="438">
        <v>5</v>
      </c>
      <c r="AQ157" s="422">
        <v>4</v>
      </c>
      <c r="AR157" s="438">
        <v>4</v>
      </c>
      <c r="AS157" s="438">
        <v>4</v>
      </c>
      <c r="AT157" s="438">
        <v>4</v>
      </c>
      <c r="AU157" s="438">
        <v>3</v>
      </c>
      <c r="AV157" s="438">
        <v>4</v>
      </c>
      <c r="AW157" s="438">
        <v>4</v>
      </c>
      <c r="AX157" s="438">
        <v>3</v>
      </c>
      <c r="AY157" s="438">
        <v>4</v>
      </c>
      <c r="AZ157" s="438">
        <v>3</v>
      </c>
      <c r="BA157" s="438">
        <v>3</v>
      </c>
      <c r="BB157" s="438">
        <v>3</v>
      </c>
      <c r="BC157" s="438">
        <v>4</v>
      </c>
      <c r="BD157" s="438">
        <v>4</v>
      </c>
      <c r="BE157" s="438">
        <v>4</v>
      </c>
      <c r="BF157" s="438">
        <v>3</v>
      </c>
      <c r="BG157" s="438">
        <v>3</v>
      </c>
      <c r="BH157" s="438">
        <v>3</v>
      </c>
      <c r="BI157" s="438">
        <v>5</v>
      </c>
      <c r="BJ157" s="438">
        <v>4</v>
      </c>
      <c r="BK157" s="438">
        <v>3</v>
      </c>
      <c r="BL157" s="438">
        <v>5</v>
      </c>
      <c r="BM157" s="438">
        <v>3</v>
      </c>
      <c r="BN157" s="422" t="s">
        <v>555</v>
      </c>
      <c r="BO157" s="438">
        <v>-45.714285714285701</v>
      </c>
      <c r="BP157" s="438">
        <v>-602.42857142857099</v>
      </c>
      <c r="BQ157" s="422">
        <f t="shared" ref="BQ157:BQ162" si="1331">SUM(BO157:BP157)</f>
        <v>-648.14285714285666</v>
      </c>
      <c r="BR157" s="438" t="str">
        <f t="shared" ref="BR157:BR162" si="1332">IF(BQ157&gt;=80,"A1",
IF(BQ157&gt;=75,"A",
IF(BQ157&gt;=70,"B2",
IF(BQ157&gt;=65,"B3",
IF(BQ157&gt;=60,"C4",
IF(BQ157&gt;=55,"C5",
IF(BQ157&gt;=50,"C6",
IF(BQ157&gt;=45,"D7",
IF(BQ157&gt;=40,"E8",
IF(BQ157&gt;=1,"F9",""))))))))))</f>
        <v/>
      </c>
      <c r="BS157" s="422">
        <v>-45.714285714285701</v>
      </c>
      <c r="BT157" s="438">
        <v>-452.28571428571399</v>
      </c>
      <c r="BU157" s="422">
        <f t="shared" ref="BU157:BU162" si="1333">SUM(BS157:BT157)</f>
        <v>-497.99999999999972</v>
      </c>
      <c r="BV157" s="438" t="str">
        <f t="shared" ref="BV157:BV162" si="1334">IF(BU157&gt;=80,"A1",
IF(BU157&gt;=75,"A",
IF(BU157&gt;=70,"B2",
IF(BU157&gt;=65,"B3",
IF(BU157&gt;=60,"C4",
IF(BU157&gt;=55,"C5",
IF(BU157&gt;=50,"C6",
IF(BU157&gt;=45,"D7",
IF(BU157&gt;=40,"E8",
IF(BU157&gt;=1,"F9",""))))))))))</f>
        <v/>
      </c>
      <c r="BW157" s="422">
        <v>-45.714285714285701</v>
      </c>
      <c r="BX157" s="422">
        <v>-435.28571428571399</v>
      </c>
      <c r="BY157" s="422">
        <f t="shared" ref="BY157:BY162" si="1335">SUM(BW157:BX157)</f>
        <v>-480.99999999999972</v>
      </c>
      <c r="BZ157" s="438" t="str">
        <f t="shared" ref="BZ157:BZ162" si="1336">IF(BY157&gt;=80,"A1",
IF(BY157&gt;=75,"A",
IF(BY157&gt;=70,"B2",
IF(BY157&gt;=65,"B3",
IF(BY157&gt;=60,"C4",
IF(BY157&gt;=55,"C5",
IF(BY157&gt;=50,"C6",
IF(BY157&gt;=45,"D7",
IF(BY157&gt;=40,"E8",
IF(BY157&gt;=1,"F9",""))))))))))</f>
        <v/>
      </c>
      <c r="CA157" s="422">
        <v>-45.714285714285701</v>
      </c>
      <c r="CB157" s="422">
        <v>-454.28571428571502</v>
      </c>
      <c r="CC157" s="422">
        <f t="shared" ref="CC157:CC162" si="1337">SUM(CA157:CB157)</f>
        <v>-500.00000000000074</v>
      </c>
      <c r="CD157" s="438" t="str">
        <f t="shared" ref="CD157:CD162" si="1338">IF(CC157&gt;=80,"A1",
IF(CC157&gt;=75,"A",
IF(CC157&gt;=70,"B2",
IF(CC157&gt;=65,"B3",
IF(CC157&gt;=60,"C4",
IF(CC157&gt;=55,"C5",
IF(CC157&gt;=50,"C6",
IF(CC157&gt;=45,"D7",
IF(CC157&gt;=40,"E8",
IF(CC157&gt;=1,"F9",""))))))))))</f>
        <v/>
      </c>
      <c r="CE157" s="422">
        <v>35</v>
      </c>
      <c r="CF157" s="422">
        <v>-439.71428571428601</v>
      </c>
      <c r="CG157" s="422">
        <f t="shared" ref="CG157:CG162" si="1339">SUM(CE157:CF157)</f>
        <v>-404.71428571428601</v>
      </c>
      <c r="CH157" s="438" t="str">
        <f t="shared" ref="CH157:CH162" si="1340">IF(CG157&gt;=80,"A1",
IF(CG157&gt;=75,"A",
IF(CG157&gt;=70,"B2",
IF(CG157&gt;=65,"B3",
IF(CG157&gt;=60,"C4",
IF(CG157&gt;=55,"C5",
IF(CG157&gt;=50,"C6",
IF(CG157&gt;=45,"D7",
IF(CG157&gt;=40,"E8",
IF(CG157&gt;=1,"F9",""))))))))))</f>
        <v/>
      </c>
      <c r="CI157" s="422">
        <v>-45.714285714285701</v>
      </c>
      <c r="CJ157" s="422">
        <v>-236.857142857143</v>
      </c>
      <c r="CK157" s="422">
        <f t="shared" ref="CK157:CK162" si="1341">SUM(CI157:CJ157)</f>
        <v>-282.57142857142873</v>
      </c>
      <c r="CL157" s="438" t="str">
        <f t="shared" ref="CL157:CL162" si="1342">IF(CK157&gt;=80,"A1",
IF(CK157&gt;=75,"A",
IF(CK157&gt;=70,"B2",
IF(CK157&gt;=65,"B3",
IF(CK157&gt;=60,"C4",
IF(CK157&gt;=55,"C5",
IF(CK157&gt;=50,"C6",
IF(CK157&gt;=45,"D7",
IF(CK157&gt;=40,"E8",
IF(CK157&gt;=1,"F9",""))))))))))</f>
        <v/>
      </c>
      <c r="CM157" s="422">
        <v>-45.714285714285701</v>
      </c>
      <c r="CN157" s="422"/>
      <c r="CO157" s="422"/>
      <c r="CP157" s="422">
        <f t="shared" ref="CP157:CP158" si="1343">CM157</f>
        <v>-45.714285714285701</v>
      </c>
      <c r="CQ157" s="422">
        <v>4.8448275862069998</v>
      </c>
      <c r="CR157" s="422">
        <f t="shared" ref="CR157:CR162" si="1344">SUM(CP157:CQ157)</f>
        <v>-40.869458128078705</v>
      </c>
      <c r="CS157" s="438" t="str">
        <f t="shared" ref="CS157:CS162" si="1345">IF(CR157&gt;=80,"A1",
IF(CR157&gt;=75,"A",
IF(CR157&gt;=70,"B2",
IF(CR157&gt;=65,"B3",
IF(CR157&gt;=60,"C4",
IF(CR157&gt;=55,"C5",
IF(CR157&gt;=50,"C6",
IF(CR157&gt;=45,"D7",
IF(CR157&gt;=40,"E8",
IF(CR157&gt;=1,"F9",""))))))))))</f>
        <v/>
      </c>
      <c r="CT157" s="422">
        <v>-100.526315789474</v>
      </c>
      <c r="CU157" s="422">
        <v>-502.10526315789502</v>
      </c>
      <c r="CV157" s="422">
        <f t="shared" ref="CV157:CV162" si="1346">SUM(CT157:CU157)</f>
        <v>-602.63157894736901</v>
      </c>
      <c r="CW157" s="438" t="str">
        <f t="shared" ref="CW157:CW162" si="1347">IF(CV157&gt;=80,"A1",
IF(CV157&gt;=75,"A",
IF(CV157&gt;=70,"B2",
IF(CV157&gt;=65,"B3",
IF(CV157&gt;=60,"C4",
IF(CV157&gt;=55,"C5",
IF(CV157&gt;=50,"C6",
IF(CV157&gt;=45,"D7",
IF(CV157&gt;=40,"E8",
IF(CV157&gt;=1,"F9",""))))))))))</f>
        <v/>
      </c>
      <c r="CX157" s="422">
        <v>-128.333333333333</v>
      </c>
      <c r="CY157" s="422">
        <v>-454.28571428571502</v>
      </c>
      <c r="CZ157" s="422">
        <f t="shared" ref="CZ157:CZ162" si="1348">SUM(CX157:CY157)</f>
        <v>-582.61904761904805</v>
      </c>
      <c r="DA157" s="438" t="str">
        <f t="shared" ref="DA157:DA162" si="1349">IF(CZ157&gt;=80,"A1",
IF(CZ157&gt;=75,"A",
IF(CZ157&gt;=70,"B2",
IF(CZ157&gt;=65,"B3",
IF(CZ157&gt;=60,"C4",
IF(CZ157&gt;=55,"C5",
IF(CZ157&gt;=50,"C6",
IF(CZ157&gt;=45,"D7",
IF(CZ157&gt;=40,"E8",
IF(CZ157&gt;=1,"F9",""))))))))))</f>
        <v/>
      </c>
      <c r="DB157" s="422">
        <v>-410</v>
      </c>
      <c r="DC157" s="422">
        <v>-368.57142857142901</v>
      </c>
      <c r="DD157" s="422">
        <f t="shared" ref="DD157:DD162" si="1350">SUM(DB157:DC157)</f>
        <v>-778.57142857142901</v>
      </c>
      <c r="DE157" s="422" t="str">
        <f t="shared" ref="DE157:DE162" si="1351">IF(DD157&gt;=80,"A1",
IF(DD157&gt;=75,"A",
IF(DD157&gt;=70,"B2",
IF(DD157&gt;=65,"B3",
IF(DD157&gt;=60,"C4",
IF(DD157&gt;=55,"C5",
IF(DD157&gt;=50,"C6",
IF(DD157&gt;=45,"D7",
IF(DD157&gt;=40,"E8",
IF(DD157&gt;=1,"F9",""))))))))))</f>
        <v/>
      </c>
      <c r="DF157" s="422">
        <f t="shared" ref="DF157:DF162" si="1352">DB157</f>
        <v>-410</v>
      </c>
      <c r="DG157" s="422">
        <v>-454.28571428571502</v>
      </c>
      <c r="DH157" s="422">
        <f t="shared" ref="DH157:DH162" si="1353">SUM(DF157:DG157)</f>
        <v>-864.28571428571502</v>
      </c>
      <c r="DI157" s="422" t="str">
        <f t="shared" ref="DI157:DI162" si="1354">IF(DH157&gt;=80,"A1",
IF(DH157&gt;=75,"A",
IF(DH157&gt;=70,"B2",
IF(DH157&gt;=65,"B3",
IF(DH157&gt;=60,"C4",
IF(DH157&gt;=55,"C5",
IF(DH157&gt;=50,"C6",
IF(DH157&gt;=45,"D7",
IF(DH157&gt;=40,"E8",
IF(DH157&gt;=1,"F9",""))))))))))</f>
        <v/>
      </c>
      <c r="DJ157" s="422">
        <v>-185</v>
      </c>
      <c r="DK157" s="422">
        <v>20.1428571428571</v>
      </c>
      <c r="DL157" s="422">
        <f t="shared" ref="DL157:DL162" si="1355">SUM(DJ157:DK157)</f>
        <v>-164.85714285714289</v>
      </c>
      <c r="DM157" s="422" t="str">
        <f t="shared" ref="DM157:DM162" si="1356">IF(DL157&gt;=80,"A1",
IF(DL157&gt;=75,"A",
IF(DL157&gt;=70,"B2",
IF(DL157&gt;=65,"B3",
IF(DL157&gt;=60,"C4",
IF(DL157&gt;=55,"C5",
IF(DL157&gt;=50,"C6",
IF(DL157&gt;=45,"D7",
IF(DL157&gt;=40,"E8",
IF(DL157&gt;=1,"F9",""))))))))))</f>
        <v/>
      </c>
      <c r="DN157" s="422">
        <v>-185</v>
      </c>
      <c r="DO157" s="422">
        <v>-45.857142857142897</v>
      </c>
      <c r="DP157" s="422">
        <f t="shared" ref="DP157:DP162" si="1357">SUM(DN157:DO157)</f>
        <v>-230.85714285714289</v>
      </c>
      <c r="DQ157" s="438" t="str">
        <f t="shared" ref="DQ157:DQ162" si="1358">IF(DP157&gt;=80,"A1",
IF(DP157&gt;=75,"A",
IF(DP157&gt;=70,"B2",
IF(DP157&gt;=65,"B3",
IF(DP157&gt;=60,"C4",
IF(DP157&gt;=55,"C5",
IF(DP157&gt;=50,"C6",
IF(DP157&gt;=45,"D7",
IF(DP157&gt;=40,"E8",
IF(DP157&gt;=1,"F9",""))))))))))</f>
        <v/>
      </c>
      <c r="DR157" s="422">
        <v>-635</v>
      </c>
      <c r="DS157" s="422">
        <v>-364.28571428571399</v>
      </c>
      <c r="DT157" s="422">
        <f t="shared" ref="DT157:DT162" si="1359">SUM(DR157:DS157)</f>
        <v>-999.28571428571399</v>
      </c>
      <c r="DU157" s="438" t="str">
        <f t="shared" ref="DU157:DU162" si="1360">IF(DT157&gt;=80,"A1",
IF(DT157&gt;=75,"A",
IF(DT157&gt;=70,"B2",
IF(DT157&gt;=65,"B3",
IF(DT157&gt;=60,"C4",
IF(DT157&gt;=55,"C5",
IF(DT157&gt;=50,"C6",
IF(DT157&gt;=45,"D7",
IF(DT157&gt;=40,"E8",
IF(DT157&gt;=1,"F9",""))))))))))</f>
        <v/>
      </c>
      <c r="DV157" s="422">
        <v>-185</v>
      </c>
      <c r="DW157" s="422">
        <v>36.285714285714199</v>
      </c>
      <c r="DX157" s="422">
        <f t="shared" ref="DX157:DX162" si="1361">SUM(DV157:DW157)</f>
        <v>-148.71428571428581</v>
      </c>
      <c r="DY157" s="438" t="str">
        <f t="shared" ref="DY157:DY162" si="1362">IF(DX157&gt;=80,"A1",
IF(DX157&gt;=75,"A",
IF(DX157&gt;=70,"B2",
IF(DX157&gt;=65,"B3",
IF(DX157&gt;=60,"C4",
IF(DX157&gt;=55,"C5",
IF(DX157&gt;=50,"C6",
IF(DX157&gt;=45,"D7",
IF(DX157&gt;=40,"E8",
IF(DX157&gt;=1,"F9",""))))))))))</f>
        <v/>
      </c>
      <c r="DZ157" s="422">
        <f t="shared" ref="DZ157:DZ162" si="1363">DV157</f>
        <v>-185</v>
      </c>
      <c r="EA157" s="422">
        <v>-72</v>
      </c>
      <c r="EB157" s="422">
        <f t="shared" ref="EB157:EB162" si="1364">SUM(DZ157:EA157)</f>
        <v>-257</v>
      </c>
      <c r="EC157" s="438" t="str">
        <f t="shared" ref="EC157:EC162" si="1365">IF(EB157&gt;=80,"A1",
IF(EB157&gt;=75,"A",
IF(EB157&gt;=70,"B2",
IF(EB157&gt;=65,"B3",
IF(EB157&gt;=60,"C4",
IF(EB157&gt;=55,"C5",
IF(EB157&gt;=50,"C6",
IF(EB157&gt;=45,"D7",
IF(EB157&gt;=40,"E8",
IF(EB157&gt;=1,"F9",""))))))))))</f>
        <v/>
      </c>
      <c r="ED157" s="422">
        <f t="shared" si="1187"/>
        <v>-7484.1200846944976</v>
      </c>
      <c r="EE157" s="422">
        <f t="shared" si="1190"/>
        <v>-467.7575052934061</v>
      </c>
      <c r="EF157" s="438" t="str">
        <f t="shared" si="1191"/>
        <v/>
      </c>
      <c r="EG157" s="422" t="str">
        <f t="shared" si="1192"/>
        <v/>
      </c>
      <c r="EH157" s="439">
        <v>1</v>
      </c>
      <c r="EI157" s="422">
        <f t="shared" si="1193"/>
        <v>-7484.1200846944976</v>
      </c>
      <c r="EJ157" s="440">
        <f t="shared" si="1194"/>
        <v>-4.6775750529340607</v>
      </c>
      <c r="EK157" s="438" t="s">
        <v>573</v>
      </c>
      <c r="EL157" s="438" t="s">
        <v>762</v>
      </c>
    </row>
    <row r="158" spans="1:142" ht="30">
      <c r="A158" s="690"/>
      <c r="B158" s="690"/>
      <c r="C158" s="690"/>
      <c r="D158" s="690"/>
      <c r="E158" s="690"/>
      <c r="F158" s="690"/>
      <c r="G158" s="690"/>
      <c r="H158" s="690"/>
      <c r="I158" s="690"/>
      <c r="J158" s="690"/>
      <c r="K158" s="690"/>
      <c r="L158" s="690"/>
      <c r="M158" s="690"/>
      <c r="N158" s="690"/>
      <c r="O158" s="690"/>
      <c r="P158" s="690"/>
      <c r="Q158" s="690"/>
      <c r="R158" s="690"/>
      <c r="S158" s="690"/>
      <c r="T158" s="690"/>
      <c r="U158" s="690"/>
      <c r="V158" s="690"/>
      <c r="W158" s="690"/>
      <c r="X158" s="690"/>
      <c r="Y158" s="690"/>
      <c r="Z158" s="690"/>
      <c r="AA158" s="420">
        <f t="shared" si="1127"/>
        <v>157</v>
      </c>
      <c r="AB158" s="435" t="s">
        <v>59</v>
      </c>
      <c r="AC158" s="422" t="s">
        <v>394</v>
      </c>
      <c r="AD158" s="422" t="s">
        <v>326</v>
      </c>
      <c r="AE158" s="422">
        <v>35.857142857142897</v>
      </c>
      <c r="AF158" s="422">
        <f>'SSS1 ATTENDANCE '!FJ164</f>
        <v>0</v>
      </c>
      <c r="AG158" s="422">
        <f>'SSS1 ATTENDANCE '!FH164</f>
        <v>0</v>
      </c>
      <c r="AH158" s="422">
        <f>'SSS1 ATTENDANCE '!FI164</f>
        <v>0</v>
      </c>
      <c r="AI158" s="436" t="s">
        <v>730</v>
      </c>
      <c r="AJ158" s="437">
        <v>40754</v>
      </c>
      <c r="AK158" s="435" t="s">
        <v>396</v>
      </c>
      <c r="AL158" s="424">
        <v>25</v>
      </c>
      <c r="AM158" s="422">
        <v>108.25</v>
      </c>
      <c r="AN158" s="438">
        <v>4</v>
      </c>
      <c r="AO158" s="422" t="str">
        <f t="shared" si="1188"/>
        <v>3</v>
      </c>
      <c r="AP158" s="438">
        <v>5</v>
      </c>
      <c r="AQ158" s="422">
        <v>4</v>
      </c>
      <c r="AR158" s="438">
        <v>4</v>
      </c>
      <c r="AS158" s="438">
        <v>4</v>
      </c>
      <c r="AT158" s="438">
        <v>4</v>
      </c>
      <c r="AU158" s="438">
        <v>3</v>
      </c>
      <c r="AV158" s="438">
        <v>4</v>
      </c>
      <c r="AW158" s="438">
        <v>4</v>
      </c>
      <c r="AX158" s="438">
        <v>3</v>
      </c>
      <c r="AY158" s="438">
        <v>4</v>
      </c>
      <c r="AZ158" s="438">
        <v>3</v>
      </c>
      <c r="BA158" s="438">
        <v>3</v>
      </c>
      <c r="BB158" s="438">
        <v>3</v>
      </c>
      <c r="BC158" s="438">
        <v>4</v>
      </c>
      <c r="BD158" s="438">
        <v>4</v>
      </c>
      <c r="BE158" s="438">
        <v>4</v>
      </c>
      <c r="BF158" s="438">
        <v>3</v>
      </c>
      <c r="BG158" s="438">
        <v>3</v>
      </c>
      <c r="BH158" s="438">
        <v>3</v>
      </c>
      <c r="BI158" s="438">
        <v>5</v>
      </c>
      <c r="BJ158" s="438">
        <v>4</v>
      </c>
      <c r="BK158" s="438">
        <v>3</v>
      </c>
      <c r="BL158" s="438">
        <v>5</v>
      </c>
      <c r="BM158" s="438">
        <v>3</v>
      </c>
      <c r="BN158" s="422" t="s">
        <v>556</v>
      </c>
      <c r="BO158" s="438">
        <v>-46.25</v>
      </c>
      <c r="BP158" s="438">
        <v>-606.607142857143</v>
      </c>
      <c r="BQ158" s="422">
        <f t="shared" si="1331"/>
        <v>-652.857142857143</v>
      </c>
      <c r="BR158" s="438" t="str">
        <f t="shared" si="1332"/>
        <v/>
      </c>
      <c r="BS158" s="422">
        <v>-46.25</v>
      </c>
      <c r="BT158" s="438">
        <v>-455.53571428571399</v>
      </c>
      <c r="BU158" s="422">
        <f t="shared" si="1333"/>
        <v>-501.78571428571399</v>
      </c>
      <c r="BV158" s="438" t="str">
        <f t="shared" si="1334"/>
        <v/>
      </c>
      <c r="BW158" s="422">
        <v>-46.25</v>
      </c>
      <c r="BX158" s="422">
        <v>-438.392857142857</v>
      </c>
      <c r="BY158" s="422">
        <f t="shared" si="1335"/>
        <v>-484.642857142857</v>
      </c>
      <c r="BZ158" s="438" t="str">
        <f t="shared" si="1336"/>
        <v/>
      </c>
      <c r="CA158" s="422">
        <v>-46.25</v>
      </c>
      <c r="CB158" s="422">
        <v>-457.50000000000102</v>
      </c>
      <c r="CC158" s="422">
        <f t="shared" si="1337"/>
        <v>-503.75000000000102</v>
      </c>
      <c r="CD158" s="438" t="str">
        <f t="shared" si="1338"/>
        <v/>
      </c>
      <c r="CE158" s="422">
        <v>35</v>
      </c>
      <c r="CF158" s="422">
        <v>-442.857142857143</v>
      </c>
      <c r="CG158" s="422">
        <f t="shared" si="1339"/>
        <v>-407.857142857143</v>
      </c>
      <c r="CH158" s="438" t="str">
        <f t="shared" si="1340"/>
        <v/>
      </c>
      <c r="CI158" s="422">
        <v>-46.25</v>
      </c>
      <c r="CJ158" s="422">
        <v>-238.67857142857099</v>
      </c>
      <c r="CK158" s="422">
        <f t="shared" si="1341"/>
        <v>-284.92857142857099</v>
      </c>
      <c r="CL158" s="438" t="str">
        <f t="shared" si="1342"/>
        <v/>
      </c>
      <c r="CM158" s="422">
        <v>-46.25</v>
      </c>
      <c r="CN158" s="422"/>
      <c r="CO158" s="422"/>
      <c r="CP158" s="422">
        <f t="shared" si="1343"/>
        <v>-46.25</v>
      </c>
      <c r="CQ158" s="422">
        <v>4.5603448275863903</v>
      </c>
      <c r="CR158" s="422">
        <f t="shared" si="1344"/>
        <v>-41.689655172413609</v>
      </c>
      <c r="CS158" s="438" t="str">
        <f t="shared" si="1345"/>
        <v/>
      </c>
      <c r="CT158" s="422">
        <v>-101.578947368421</v>
      </c>
      <c r="CU158" s="422">
        <v>-506.31578947368502</v>
      </c>
      <c r="CV158" s="422">
        <f t="shared" si="1346"/>
        <v>-607.894736842106</v>
      </c>
      <c r="CW158" s="438" t="str">
        <f t="shared" si="1347"/>
        <v/>
      </c>
      <c r="CX158" s="422">
        <v>-130.833333333333</v>
      </c>
      <c r="CY158" s="422">
        <v>-457.50000000000102</v>
      </c>
      <c r="CZ158" s="422">
        <f t="shared" si="1348"/>
        <v>-588.33333333333405</v>
      </c>
      <c r="DA158" s="438" t="str">
        <f t="shared" si="1349"/>
        <v/>
      </c>
      <c r="DB158" s="422">
        <f t="shared" ref="DB158:DB162" si="1366">CX158</f>
        <v>-130.833333333333</v>
      </c>
      <c r="DC158" s="422">
        <v>-371.25</v>
      </c>
      <c r="DD158" s="422">
        <f t="shared" si="1350"/>
        <v>-502.08333333333303</v>
      </c>
      <c r="DE158" s="422" t="str">
        <f t="shared" si="1351"/>
        <v/>
      </c>
      <c r="DF158" s="422">
        <f t="shared" si="1352"/>
        <v>-130.833333333333</v>
      </c>
      <c r="DG158" s="422">
        <v>-457.50000000000102</v>
      </c>
      <c r="DH158" s="422">
        <f t="shared" si="1353"/>
        <v>-588.33333333333405</v>
      </c>
      <c r="DI158" s="422" t="str">
        <f t="shared" si="1354"/>
        <v/>
      </c>
      <c r="DJ158" s="422">
        <f t="shared" ref="DJ158:DJ162" si="1367">DF158</f>
        <v>-130.833333333333</v>
      </c>
      <c r="DK158" s="422">
        <v>19.964285714285602</v>
      </c>
      <c r="DL158" s="422">
        <f t="shared" si="1355"/>
        <v>-110.86904761904739</v>
      </c>
      <c r="DM158" s="422" t="str">
        <f t="shared" si="1356"/>
        <v/>
      </c>
      <c r="DN158" s="422">
        <f t="shared" ref="DN158:DN162" si="1368">DJ158</f>
        <v>-130.833333333333</v>
      </c>
      <c r="DO158" s="422">
        <v>-46.464285714285701</v>
      </c>
      <c r="DP158" s="422">
        <f t="shared" si="1357"/>
        <v>-177.2976190476187</v>
      </c>
      <c r="DQ158" s="438" t="str">
        <f t="shared" si="1358"/>
        <v/>
      </c>
      <c r="DR158" s="422">
        <f t="shared" ref="DR158:DR162" si="1369">DN158</f>
        <v>-130.833333333333</v>
      </c>
      <c r="DS158" s="422">
        <v>-366.892857142857</v>
      </c>
      <c r="DT158" s="422">
        <f t="shared" si="1359"/>
        <v>-497.72619047619003</v>
      </c>
      <c r="DU158" s="438" t="str">
        <f t="shared" si="1360"/>
        <v/>
      </c>
      <c r="DV158" s="422">
        <f t="shared" ref="DV158:DV162" si="1370">DR158</f>
        <v>-130.833333333333</v>
      </c>
      <c r="DW158" s="422">
        <v>36.214285714285701</v>
      </c>
      <c r="DX158" s="422">
        <f t="shared" si="1361"/>
        <v>-94.619047619047308</v>
      </c>
      <c r="DY158" s="438" t="str">
        <f t="shared" si="1362"/>
        <v/>
      </c>
      <c r="DZ158" s="422">
        <f t="shared" si="1363"/>
        <v>-130.833333333333</v>
      </c>
      <c r="EA158" s="422">
        <v>-72.75</v>
      </c>
      <c r="EB158" s="422">
        <f t="shared" si="1364"/>
        <v>-203.583333333333</v>
      </c>
      <c r="EC158" s="438" t="str">
        <f t="shared" si="1365"/>
        <v/>
      </c>
      <c r="ED158" s="422">
        <f t="shared" si="1187"/>
        <v>-6248.2510586811859</v>
      </c>
      <c r="EE158" s="422">
        <f t="shared" si="1190"/>
        <v>-390.51569116757412</v>
      </c>
      <c r="EF158" s="438" t="str">
        <f t="shared" si="1191"/>
        <v/>
      </c>
      <c r="EG158" s="422" t="str">
        <f t="shared" si="1192"/>
        <v/>
      </c>
      <c r="EH158" s="439">
        <v>1</v>
      </c>
      <c r="EI158" s="422">
        <f t="shared" si="1193"/>
        <v>-6248.2510586811859</v>
      </c>
      <c r="EJ158" s="440">
        <f t="shared" si="1194"/>
        <v>-3.905156911675741</v>
      </c>
      <c r="EK158" s="438" t="s">
        <v>573</v>
      </c>
      <c r="EL158" s="438" t="s">
        <v>762</v>
      </c>
    </row>
    <row r="159" spans="1:142" ht="30">
      <c r="A159" s="690"/>
      <c r="B159" s="690"/>
      <c r="C159" s="690"/>
      <c r="D159" s="690"/>
      <c r="E159" s="690"/>
      <c r="F159" s="690"/>
      <c r="G159" s="690"/>
      <c r="H159" s="690"/>
      <c r="I159" s="690"/>
      <c r="J159" s="690"/>
      <c r="K159" s="690"/>
      <c r="L159" s="690"/>
      <c r="M159" s="690"/>
      <c r="N159" s="690"/>
      <c r="O159" s="690"/>
      <c r="P159" s="690"/>
      <c r="Q159" s="690"/>
      <c r="R159" s="690"/>
      <c r="S159" s="690"/>
      <c r="T159" s="690"/>
      <c r="U159" s="690"/>
      <c r="V159" s="690"/>
      <c r="W159" s="690"/>
      <c r="X159" s="690"/>
      <c r="Y159" s="690"/>
      <c r="Z159" s="690"/>
      <c r="AA159" s="420">
        <f t="shared" si="1127"/>
        <v>158</v>
      </c>
      <c r="AB159" s="435" t="s">
        <v>60</v>
      </c>
      <c r="AC159" s="422" t="s">
        <v>394</v>
      </c>
      <c r="AD159" s="422" t="s">
        <v>326</v>
      </c>
      <c r="AE159" s="422">
        <v>36</v>
      </c>
      <c r="AF159" s="422">
        <f>'SSS1 ATTENDANCE '!FJ165</f>
        <v>0</v>
      </c>
      <c r="AG159" s="422">
        <f>'SSS1 ATTENDANCE '!FH165</f>
        <v>0</v>
      </c>
      <c r="AH159" s="422">
        <f>'SSS1 ATTENDANCE '!FI165</f>
        <v>0</v>
      </c>
      <c r="AI159" s="436" t="s">
        <v>731</v>
      </c>
      <c r="AJ159" s="437">
        <v>40900</v>
      </c>
      <c r="AK159" s="435" t="s">
        <v>396</v>
      </c>
      <c r="AL159" s="424">
        <v>25</v>
      </c>
      <c r="AM159" s="422">
        <v>108.78571428571399</v>
      </c>
      <c r="AN159" s="438">
        <v>4</v>
      </c>
      <c r="AO159" s="422" t="str">
        <f t="shared" si="1188"/>
        <v>3</v>
      </c>
      <c r="AP159" s="438">
        <v>5</v>
      </c>
      <c r="AQ159" s="422">
        <v>4</v>
      </c>
      <c r="AR159" s="438">
        <v>4</v>
      </c>
      <c r="AS159" s="438">
        <v>4</v>
      </c>
      <c r="AT159" s="438">
        <v>4</v>
      </c>
      <c r="AU159" s="438">
        <v>3</v>
      </c>
      <c r="AV159" s="438">
        <v>4</v>
      </c>
      <c r="AW159" s="438">
        <v>4</v>
      </c>
      <c r="AX159" s="438">
        <v>3</v>
      </c>
      <c r="AY159" s="438">
        <v>4</v>
      </c>
      <c r="AZ159" s="438">
        <v>3</v>
      </c>
      <c r="BA159" s="438">
        <v>3</v>
      </c>
      <c r="BB159" s="438">
        <v>3</v>
      </c>
      <c r="BC159" s="438">
        <v>4</v>
      </c>
      <c r="BD159" s="438">
        <v>4</v>
      </c>
      <c r="BE159" s="438">
        <v>4</v>
      </c>
      <c r="BF159" s="438">
        <v>3</v>
      </c>
      <c r="BG159" s="438">
        <v>3</v>
      </c>
      <c r="BH159" s="438">
        <v>3</v>
      </c>
      <c r="BI159" s="438">
        <v>5</v>
      </c>
      <c r="BJ159" s="438">
        <v>4</v>
      </c>
      <c r="BK159" s="438">
        <v>3</v>
      </c>
      <c r="BL159" s="438">
        <v>5</v>
      </c>
      <c r="BM159" s="438">
        <v>3</v>
      </c>
      <c r="BN159" s="422" t="s">
        <v>557</v>
      </c>
      <c r="BO159" s="438">
        <v>-46.785714285714299</v>
      </c>
      <c r="BP159" s="438">
        <v>-610.78571428571399</v>
      </c>
      <c r="BQ159" s="422">
        <f t="shared" si="1331"/>
        <v>-657.57142857142833</v>
      </c>
      <c r="BR159" s="438" t="str">
        <f t="shared" si="1332"/>
        <v/>
      </c>
      <c r="BS159" s="422">
        <v>-46.785714285714299</v>
      </c>
      <c r="BT159" s="438">
        <v>-458.78571428571399</v>
      </c>
      <c r="BU159" s="422">
        <f t="shared" si="1333"/>
        <v>-505.57142857142827</v>
      </c>
      <c r="BV159" s="438" t="str">
        <f t="shared" si="1334"/>
        <v/>
      </c>
      <c r="BW159" s="422">
        <v>-46.785714285714299</v>
      </c>
      <c r="BX159" s="422">
        <v>-441.49999999999898</v>
      </c>
      <c r="BY159" s="422">
        <f t="shared" si="1335"/>
        <v>-488.28571428571325</v>
      </c>
      <c r="BZ159" s="438" t="str">
        <f t="shared" si="1336"/>
        <v/>
      </c>
      <c r="CA159" s="422">
        <v>-46.785714285714299</v>
      </c>
      <c r="CB159" s="422">
        <v>-460.71428571428601</v>
      </c>
      <c r="CC159" s="422">
        <f t="shared" si="1337"/>
        <v>-507.50000000000028</v>
      </c>
      <c r="CD159" s="438" t="str">
        <f t="shared" si="1338"/>
        <v/>
      </c>
      <c r="CE159" s="422">
        <v>35</v>
      </c>
      <c r="CF159" s="422">
        <v>-446.00000000000102</v>
      </c>
      <c r="CG159" s="422">
        <f t="shared" si="1339"/>
        <v>-411.00000000000102</v>
      </c>
      <c r="CH159" s="438" t="str">
        <f t="shared" si="1340"/>
        <v/>
      </c>
      <c r="CI159" s="422">
        <v>-46.785714285714299</v>
      </c>
      <c r="CJ159" s="422">
        <v>-240.5</v>
      </c>
      <c r="CK159" s="422">
        <f t="shared" si="1341"/>
        <v>-287.28571428571428</v>
      </c>
      <c r="CL159" s="438" t="str">
        <f t="shared" si="1342"/>
        <v/>
      </c>
      <c r="CM159" s="422">
        <v>-46.785714285714299</v>
      </c>
      <c r="CN159" s="422"/>
      <c r="CO159" s="422"/>
      <c r="CP159" s="422"/>
      <c r="CQ159" s="422">
        <v>4.2758620689656901</v>
      </c>
      <c r="CR159" s="422">
        <f t="shared" si="1344"/>
        <v>4.2758620689656901</v>
      </c>
      <c r="CS159" s="438" t="str">
        <f t="shared" si="1345"/>
        <v>F9</v>
      </c>
      <c r="CT159" s="422">
        <v>-102.63157894736899</v>
      </c>
      <c r="CU159" s="422">
        <v>-510.52631578947398</v>
      </c>
      <c r="CV159" s="422">
        <f t="shared" si="1346"/>
        <v>-613.15789473684299</v>
      </c>
      <c r="CW159" s="438" t="str">
        <f t="shared" si="1347"/>
        <v/>
      </c>
      <c r="CX159" s="422">
        <f t="shared" ref="CX159" si="1371">CT159</f>
        <v>-102.63157894736899</v>
      </c>
      <c r="CY159" s="422">
        <v>-460.71428571428601</v>
      </c>
      <c r="CZ159" s="422">
        <f t="shared" si="1348"/>
        <v>-563.34586466165501</v>
      </c>
      <c r="DA159" s="438" t="str">
        <f t="shared" si="1349"/>
        <v/>
      </c>
      <c r="DB159" s="422">
        <f t="shared" si="1366"/>
        <v>-102.63157894736899</v>
      </c>
      <c r="DC159" s="422">
        <v>-373.92857142857099</v>
      </c>
      <c r="DD159" s="422">
        <f t="shared" si="1350"/>
        <v>-476.56015037594</v>
      </c>
      <c r="DE159" s="422" t="str">
        <f t="shared" si="1351"/>
        <v/>
      </c>
      <c r="DF159" s="422">
        <f t="shared" si="1352"/>
        <v>-102.63157894736899</v>
      </c>
      <c r="DG159" s="422">
        <v>-460.71428571428601</v>
      </c>
      <c r="DH159" s="422">
        <f t="shared" si="1353"/>
        <v>-563.34586466165501</v>
      </c>
      <c r="DI159" s="422" t="str">
        <f t="shared" si="1354"/>
        <v/>
      </c>
      <c r="DJ159" s="422">
        <f t="shared" si="1367"/>
        <v>-102.63157894736899</v>
      </c>
      <c r="DK159" s="422">
        <v>19.785714285714199</v>
      </c>
      <c r="DL159" s="422">
        <f t="shared" si="1355"/>
        <v>-82.845864661654787</v>
      </c>
      <c r="DM159" s="422" t="str">
        <f t="shared" si="1356"/>
        <v/>
      </c>
      <c r="DN159" s="422">
        <f t="shared" si="1368"/>
        <v>-102.63157894736899</v>
      </c>
      <c r="DO159" s="422">
        <v>-47.071428571428598</v>
      </c>
      <c r="DP159" s="422">
        <f t="shared" si="1357"/>
        <v>-149.70300751879759</v>
      </c>
      <c r="DQ159" s="438" t="str">
        <f t="shared" si="1358"/>
        <v/>
      </c>
      <c r="DR159" s="422">
        <f t="shared" si="1369"/>
        <v>-102.63157894736899</v>
      </c>
      <c r="DS159" s="422">
        <v>-369.5</v>
      </c>
      <c r="DT159" s="422">
        <f t="shared" si="1359"/>
        <v>-472.13157894736901</v>
      </c>
      <c r="DU159" s="438" t="str">
        <f t="shared" si="1360"/>
        <v/>
      </c>
      <c r="DV159" s="422">
        <f t="shared" si="1370"/>
        <v>-102.63157894736899</v>
      </c>
      <c r="DW159" s="422">
        <v>36.142857142857103</v>
      </c>
      <c r="DX159" s="422">
        <f t="shared" si="1361"/>
        <v>-66.488721804511897</v>
      </c>
      <c r="DY159" s="438" t="str">
        <f t="shared" si="1362"/>
        <v/>
      </c>
      <c r="DZ159" s="422">
        <f t="shared" si="1363"/>
        <v>-102.63157894736899</v>
      </c>
      <c r="EA159" s="422">
        <v>-73.5</v>
      </c>
      <c r="EB159" s="422">
        <f t="shared" si="1364"/>
        <v>-176.13157894736901</v>
      </c>
      <c r="EC159" s="438" t="str">
        <f t="shared" si="1365"/>
        <v/>
      </c>
      <c r="ED159" s="422">
        <f t="shared" si="1187"/>
        <v>-6016.6489499611152</v>
      </c>
      <c r="EE159" s="422">
        <f t="shared" si="1190"/>
        <v>-376.0405593725697</v>
      </c>
      <c r="EF159" s="438" t="str">
        <f t="shared" si="1191"/>
        <v/>
      </c>
      <c r="EG159" s="422" t="str">
        <f t="shared" si="1192"/>
        <v/>
      </c>
      <c r="EH159" s="439">
        <v>1</v>
      </c>
      <c r="EI159" s="422">
        <f t="shared" si="1193"/>
        <v>-6016.6489499611152</v>
      </c>
      <c r="EJ159" s="440">
        <f t="shared" si="1194"/>
        <v>-3.760405593725697</v>
      </c>
      <c r="EK159" s="438" t="s">
        <v>573</v>
      </c>
      <c r="EL159" s="438" t="s">
        <v>762</v>
      </c>
    </row>
    <row r="160" spans="1:142" ht="30">
      <c r="A160" s="690"/>
      <c r="B160" s="690"/>
      <c r="C160" s="690"/>
      <c r="D160" s="690"/>
      <c r="E160" s="690"/>
      <c r="F160" s="690"/>
      <c r="G160" s="690"/>
      <c r="H160" s="690"/>
      <c r="I160" s="690"/>
      <c r="J160" s="690"/>
      <c r="K160" s="690"/>
      <c r="L160" s="690"/>
      <c r="M160" s="690"/>
      <c r="N160" s="690"/>
      <c r="O160" s="690"/>
      <c r="P160" s="690"/>
      <c r="Q160" s="690"/>
      <c r="R160" s="690"/>
      <c r="S160" s="690"/>
      <c r="T160" s="690"/>
      <c r="U160" s="690"/>
      <c r="V160" s="690"/>
      <c r="W160" s="690"/>
      <c r="X160" s="690"/>
      <c r="Y160" s="690"/>
      <c r="Z160" s="690"/>
      <c r="AA160" s="420">
        <f t="shared" si="1127"/>
        <v>159</v>
      </c>
      <c r="AB160" s="435" t="s">
        <v>61</v>
      </c>
      <c r="AC160" s="422" t="s">
        <v>394</v>
      </c>
      <c r="AD160" s="422" t="s">
        <v>326</v>
      </c>
      <c r="AE160" s="422">
        <v>36.142857142857203</v>
      </c>
      <c r="AF160" s="422">
        <f>'SSS1 ATTENDANCE '!FJ166</f>
        <v>0</v>
      </c>
      <c r="AG160" s="422">
        <f>'SSS1 ATTENDANCE '!FH166</f>
        <v>0</v>
      </c>
      <c r="AH160" s="422">
        <f>'SSS1 ATTENDANCE '!FI166</f>
        <v>0</v>
      </c>
      <c r="AI160" s="436" t="s">
        <v>732</v>
      </c>
      <c r="AJ160" s="437">
        <v>40368</v>
      </c>
      <c r="AK160" s="435" t="s">
        <v>396</v>
      </c>
      <c r="AL160" s="424">
        <v>25</v>
      </c>
      <c r="AM160" s="422">
        <v>109.321428571429</v>
      </c>
      <c r="AN160" s="438">
        <v>4</v>
      </c>
      <c r="AO160" s="422" t="str">
        <f t="shared" si="1188"/>
        <v>3</v>
      </c>
      <c r="AP160" s="438">
        <v>5</v>
      </c>
      <c r="AQ160" s="422">
        <v>4</v>
      </c>
      <c r="AR160" s="438">
        <v>4</v>
      </c>
      <c r="AS160" s="438">
        <v>4</v>
      </c>
      <c r="AT160" s="438">
        <v>4</v>
      </c>
      <c r="AU160" s="438">
        <v>3</v>
      </c>
      <c r="AV160" s="438">
        <v>4</v>
      </c>
      <c r="AW160" s="438">
        <v>4</v>
      </c>
      <c r="AX160" s="438">
        <v>3</v>
      </c>
      <c r="AY160" s="438">
        <v>4</v>
      </c>
      <c r="AZ160" s="438">
        <v>3</v>
      </c>
      <c r="BA160" s="438">
        <v>3</v>
      </c>
      <c r="BB160" s="438">
        <v>3</v>
      </c>
      <c r="BC160" s="438">
        <v>4</v>
      </c>
      <c r="BD160" s="438">
        <v>4</v>
      </c>
      <c r="BE160" s="438">
        <v>4</v>
      </c>
      <c r="BF160" s="438">
        <v>3</v>
      </c>
      <c r="BG160" s="438">
        <v>3</v>
      </c>
      <c r="BH160" s="438">
        <v>3</v>
      </c>
      <c r="BI160" s="438">
        <v>5</v>
      </c>
      <c r="BJ160" s="438">
        <v>4</v>
      </c>
      <c r="BK160" s="438">
        <v>3</v>
      </c>
      <c r="BL160" s="438">
        <v>5</v>
      </c>
      <c r="BM160" s="438">
        <v>3</v>
      </c>
      <c r="BN160" s="422" t="s">
        <v>558</v>
      </c>
      <c r="BO160" s="438">
        <v>-47.321428571428498</v>
      </c>
      <c r="BP160" s="438">
        <v>-614.96428571428498</v>
      </c>
      <c r="BQ160" s="422">
        <f t="shared" si="1331"/>
        <v>-662.28571428571354</v>
      </c>
      <c r="BR160" s="438" t="str">
        <f t="shared" si="1332"/>
        <v/>
      </c>
      <c r="BS160" s="422">
        <v>-47.321428571428498</v>
      </c>
      <c r="BT160" s="438">
        <v>-462.03571428571399</v>
      </c>
      <c r="BU160" s="422">
        <f t="shared" si="1333"/>
        <v>-509.35714285714249</v>
      </c>
      <c r="BV160" s="438" t="str">
        <f t="shared" si="1334"/>
        <v/>
      </c>
      <c r="BW160" s="422">
        <v>-47.321428571428498</v>
      </c>
      <c r="BX160" s="422">
        <v>-444.60714285714198</v>
      </c>
      <c r="BY160" s="422">
        <f t="shared" si="1335"/>
        <v>-491.92857142857048</v>
      </c>
      <c r="BZ160" s="438" t="str">
        <f t="shared" si="1336"/>
        <v/>
      </c>
      <c r="CA160" s="422">
        <v>-47.321428571428498</v>
      </c>
      <c r="CB160" s="422">
        <v>-463.92857142857201</v>
      </c>
      <c r="CC160" s="422">
        <f t="shared" si="1337"/>
        <v>-511.25000000000051</v>
      </c>
      <c r="CD160" s="438" t="str">
        <f t="shared" si="1338"/>
        <v/>
      </c>
      <c r="CE160" s="422">
        <v>35</v>
      </c>
      <c r="CF160" s="422">
        <v>-449.14285714285802</v>
      </c>
      <c r="CG160" s="422">
        <f t="shared" si="1339"/>
        <v>-414.14285714285802</v>
      </c>
      <c r="CH160" s="438" t="str">
        <f t="shared" si="1340"/>
        <v/>
      </c>
      <c r="CI160" s="422">
        <v>-47.321428571428498</v>
      </c>
      <c r="CJ160" s="422">
        <v>-242.32142857142799</v>
      </c>
      <c r="CK160" s="422">
        <f t="shared" si="1341"/>
        <v>-289.64285714285649</v>
      </c>
      <c r="CL160" s="438" t="str">
        <f t="shared" si="1342"/>
        <v/>
      </c>
      <c r="CM160" s="422">
        <v>-47.321428571428498</v>
      </c>
      <c r="CN160" s="422"/>
      <c r="CO160" s="422"/>
      <c r="CP160" s="422">
        <f t="shared" ref="CP160" si="1372">CM160</f>
        <v>-47.321428571428498</v>
      </c>
      <c r="CQ160" s="422">
        <v>3.9913793103450002</v>
      </c>
      <c r="CR160" s="422">
        <f t="shared" si="1344"/>
        <v>-43.330049261083495</v>
      </c>
      <c r="CS160" s="438" t="str">
        <f t="shared" si="1345"/>
        <v/>
      </c>
      <c r="CT160" s="422">
        <v>-103.68421052631599</v>
      </c>
      <c r="CU160" s="422">
        <v>-514.73684210526403</v>
      </c>
      <c r="CV160" s="422">
        <f t="shared" si="1346"/>
        <v>-618.42105263157998</v>
      </c>
      <c r="CW160" s="438" t="str">
        <f t="shared" si="1347"/>
        <v/>
      </c>
      <c r="CX160" s="422">
        <v>35</v>
      </c>
      <c r="CY160" s="422">
        <v>-463.92857142857201</v>
      </c>
      <c r="CZ160" s="422">
        <f t="shared" si="1348"/>
        <v>-428.92857142857201</v>
      </c>
      <c r="DA160" s="438" t="str">
        <f t="shared" si="1349"/>
        <v/>
      </c>
      <c r="DB160" s="422">
        <f t="shared" si="1366"/>
        <v>35</v>
      </c>
      <c r="DC160" s="422">
        <v>-376.607142857143</v>
      </c>
      <c r="DD160" s="422">
        <f t="shared" si="1350"/>
        <v>-341.607142857143</v>
      </c>
      <c r="DE160" s="422" t="str">
        <f t="shared" si="1351"/>
        <v/>
      </c>
      <c r="DF160" s="422">
        <f t="shared" si="1352"/>
        <v>35</v>
      </c>
      <c r="DG160" s="422">
        <v>-463.92857142857201</v>
      </c>
      <c r="DH160" s="422">
        <f t="shared" si="1353"/>
        <v>-428.92857142857201</v>
      </c>
      <c r="DI160" s="422" t="str">
        <f t="shared" si="1354"/>
        <v/>
      </c>
      <c r="DJ160" s="422">
        <f t="shared" si="1367"/>
        <v>35</v>
      </c>
      <c r="DK160" s="422">
        <v>19.607142857142801</v>
      </c>
      <c r="DL160" s="422">
        <f t="shared" si="1355"/>
        <v>54.607142857142804</v>
      </c>
      <c r="DM160" s="422" t="str">
        <f t="shared" si="1356"/>
        <v>C6</v>
      </c>
      <c r="DN160" s="422">
        <f t="shared" si="1368"/>
        <v>35</v>
      </c>
      <c r="DO160" s="422">
        <v>-47.678571428571502</v>
      </c>
      <c r="DP160" s="422">
        <f t="shared" si="1357"/>
        <v>-12.678571428571502</v>
      </c>
      <c r="DQ160" s="438" t="str">
        <f t="shared" si="1358"/>
        <v/>
      </c>
      <c r="DR160" s="422">
        <f t="shared" si="1369"/>
        <v>35</v>
      </c>
      <c r="DS160" s="422">
        <v>-372.10714285714198</v>
      </c>
      <c r="DT160" s="422">
        <f t="shared" si="1359"/>
        <v>-337.10714285714198</v>
      </c>
      <c r="DU160" s="438" t="str">
        <f t="shared" si="1360"/>
        <v/>
      </c>
      <c r="DV160" s="422">
        <f t="shared" si="1370"/>
        <v>35</v>
      </c>
      <c r="DW160" s="422">
        <v>36.071428571428498</v>
      </c>
      <c r="DX160" s="422">
        <f t="shared" si="1361"/>
        <v>71.071428571428498</v>
      </c>
      <c r="DY160" s="438" t="str">
        <f t="shared" si="1362"/>
        <v>B2</v>
      </c>
      <c r="DZ160" s="422">
        <f t="shared" si="1363"/>
        <v>35</v>
      </c>
      <c r="EA160" s="422">
        <v>-74.25</v>
      </c>
      <c r="EB160" s="422">
        <f t="shared" si="1364"/>
        <v>-39.25</v>
      </c>
      <c r="EC160" s="438" t="str">
        <f t="shared" si="1365"/>
        <v/>
      </c>
      <c r="ED160" s="422">
        <f t="shared" si="1187"/>
        <v>-5003.179673321235</v>
      </c>
      <c r="EE160" s="422">
        <f t="shared" si="1190"/>
        <v>-312.69872958257719</v>
      </c>
      <c r="EF160" s="438" t="str">
        <f t="shared" si="1191"/>
        <v/>
      </c>
      <c r="EG160" s="422" t="str">
        <f t="shared" si="1192"/>
        <v/>
      </c>
      <c r="EH160" s="439">
        <v>1</v>
      </c>
      <c r="EI160" s="422">
        <f t="shared" si="1193"/>
        <v>-5003.179673321235</v>
      </c>
      <c r="EJ160" s="440">
        <f t="shared" si="1194"/>
        <v>-3.1269872958257721</v>
      </c>
      <c r="EK160" s="438" t="s">
        <v>746</v>
      </c>
      <c r="EL160" s="438" t="s">
        <v>762</v>
      </c>
    </row>
    <row r="161" spans="1:142" ht="30">
      <c r="A161" s="690"/>
      <c r="B161" s="690"/>
      <c r="C161" s="690"/>
      <c r="D161" s="690"/>
      <c r="E161" s="690"/>
      <c r="F161" s="690"/>
      <c r="G161" s="690"/>
      <c r="H161" s="690"/>
      <c r="I161" s="690"/>
      <c r="J161" s="690"/>
      <c r="K161" s="690"/>
      <c r="L161" s="690"/>
      <c r="M161" s="690"/>
      <c r="N161" s="690"/>
      <c r="O161" s="690"/>
      <c r="P161" s="690"/>
      <c r="Q161" s="690"/>
      <c r="R161" s="690"/>
      <c r="S161" s="690"/>
      <c r="T161" s="690"/>
      <c r="U161" s="690"/>
      <c r="V161" s="690"/>
      <c r="W161" s="690"/>
      <c r="X161" s="690"/>
      <c r="Y161" s="690"/>
      <c r="Z161" s="690"/>
      <c r="AA161" s="420">
        <f t="shared" si="1127"/>
        <v>160</v>
      </c>
      <c r="AB161" s="435" t="s">
        <v>62</v>
      </c>
      <c r="AC161" s="422" t="s">
        <v>394</v>
      </c>
      <c r="AD161" s="422" t="s">
        <v>326</v>
      </c>
      <c r="AE161" s="422">
        <v>36.285714285714299</v>
      </c>
      <c r="AF161" s="422">
        <f>'SSS1 ATTENDANCE '!FJ167</f>
        <v>0</v>
      </c>
      <c r="AG161" s="422">
        <f>'SSS1 ATTENDANCE '!FH167</f>
        <v>0</v>
      </c>
      <c r="AH161" s="422">
        <f>'SSS1 ATTENDANCE '!FI167</f>
        <v>0</v>
      </c>
      <c r="AI161" s="436" t="s">
        <v>733</v>
      </c>
      <c r="AJ161" s="437">
        <v>40852</v>
      </c>
      <c r="AK161" s="435" t="s">
        <v>396</v>
      </c>
      <c r="AL161" s="424">
        <v>25</v>
      </c>
      <c r="AM161" s="422">
        <v>109.857142857143</v>
      </c>
      <c r="AN161" s="438">
        <v>4</v>
      </c>
      <c r="AO161" s="422" t="str">
        <f t="shared" si="1188"/>
        <v>3</v>
      </c>
      <c r="AP161" s="438">
        <v>5</v>
      </c>
      <c r="AQ161" s="422">
        <v>4</v>
      </c>
      <c r="AR161" s="438">
        <v>4</v>
      </c>
      <c r="AS161" s="438">
        <v>4</v>
      </c>
      <c r="AT161" s="438">
        <v>4</v>
      </c>
      <c r="AU161" s="438">
        <v>3</v>
      </c>
      <c r="AV161" s="438">
        <v>4</v>
      </c>
      <c r="AW161" s="438">
        <v>4</v>
      </c>
      <c r="AX161" s="438">
        <v>3</v>
      </c>
      <c r="AY161" s="438">
        <v>4</v>
      </c>
      <c r="AZ161" s="438">
        <v>3</v>
      </c>
      <c r="BA161" s="438">
        <v>3</v>
      </c>
      <c r="BB161" s="438">
        <v>3</v>
      </c>
      <c r="BC161" s="438">
        <v>4</v>
      </c>
      <c r="BD161" s="438">
        <v>4</v>
      </c>
      <c r="BE161" s="438">
        <v>4</v>
      </c>
      <c r="BF161" s="438">
        <v>3</v>
      </c>
      <c r="BG161" s="438">
        <v>3</v>
      </c>
      <c r="BH161" s="438">
        <v>3</v>
      </c>
      <c r="BI161" s="438">
        <v>5</v>
      </c>
      <c r="BJ161" s="438">
        <v>4</v>
      </c>
      <c r="BK161" s="438">
        <v>3</v>
      </c>
      <c r="BL161" s="438">
        <v>5</v>
      </c>
      <c r="BM161" s="438">
        <v>3</v>
      </c>
      <c r="BN161" s="422" t="s">
        <v>559</v>
      </c>
      <c r="BO161" s="438">
        <v>-47.857142857142797</v>
      </c>
      <c r="BP161" s="438">
        <v>-619.142857142857</v>
      </c>
      <c r="BQ161" s="422">
        <f t="shared" si="1331"/>
        <v>-666.99999999999977</v>
      </c>
      <c r="BR161" s="438" t="str">
        <f t="shared" si="1332"/>
        <v/>
      </c>
      <c r="BS161" s="422">
        <v>-47.857142857142797</v>
      </c>
      <c r="BT161" s="438">
        <v>-465.28571428571399</v>
      </c>
      <c r="BU161" s="422">
        <f t="shared" si="1333"/>
        <v>-513.14285714285677</v>
      </c>
      <c r="BV161" s="438" t="str">
        <f t="shared" si="1334"/>
        <v/>
      </c>
      <c r="BW161" s="422">
        <v>-47.857142857142797</v>
      </c>
      <c r="BX161" s="422">
        <v>-447.71428571428498</v>
      </c>
      <c r="BY161" s="422">
        <f t="shared" si="1335"/>
        <v>-495.57142857142776</v>
      </c>
      <c r="BZ161" s="438" t="str">
        <f t="shared" si="1336"/>
        <v/>
      </c>
      <c r="CA161" s="422">
        <v>-47.857142857142797</v>
      </c>
      <c r="CB161" s="422">
        <v>-467.14285714285802</v>
      </c>
      <c r="CC161" s="422">
        <f t="shared" si="1337"/>
        <v>-515.0000000000008</v>
      </c>
      <c r="CD161" s="438" t="str">
        <f t="shared" si="1338"/>
        <v/>
      </c>
      <c r="CE161" s="422">
        <v>35</v>
      </c>
      <c r="CF161" s="422">
        <v>-452.28571428571502</v>
      </c>
      <c r="CG161" s="422">
        <f t="shared" si="1339"/>
        <v>-417.28571428571502</v>
      </c>
      <c r="CH161" s="438" t="str">
        <f t="shared" si="1340"/>
        <v/>
      </c>
      <c r="CI161" s="422">
        <v>-47.857142857142797</v>
      </c>
      <c r="CJ161" s="422">
        <v>-244.142857142857</v>
      </c>
      <c r="CK161" s="422">
        <f t="shared" si="1341"/>
        <v>-291.99999999999977</v>
      </c>
      <c r="CL161" s="438" t="str">
        <f t="shared" si="1342"/>
        <v/>
      </c>
      <c r="CM161" s="422">
        <v>-47.857142857142797</v>
      </c>
      <c r="CN161" s="422"/>
      <c r="CO161" s="422"/>
      <c r="CP161" s="422"/>
      <c r="CQ161" s="422">
        <v>3.7068965517242898</v>
      </c>
      <c r="CR161" s="422">
        <f t="shared" si="1344"/>
        <v>3.7068965517242898</v>
      </c>
      <c r="CS161" s="438" t="str">
        <f t="shared" si="1345"/>
        <v>F9</v>
      </c>
      <c r="CT161" s="422">
        <v>-104.736842105264</v>
      </c>
      <c r="CU161" s="422">
        <v>-518.94736842105306</v>
      </c>
      <c r="CV161" s="422">
        <f t="shared" si="1346"/>
        <v>-623.68421052631709</v>
      </c>
      <c r="CW161" s="438" t="str">
        <f t="shared" si="1347"/>
        <v/>
      </c>
      <c r="CX161" s="422">
        <f t="shared" ref="CX161" si="1373">CT161</f>
        <v>-104.736842105264</v>
      </c>
      <c r="CY161" s="422">
        <v>-467.14285714285802</v>
      </c>
      <c r="CZ161" s="422">
        <f t="shared" si="1348"/>
        <v>-571.87969924812205</v>
      </c>
      <c r="DA161" s="438" t="str">
        <f t="shared" si="1349"/>
        <v/>
      </c>
      <c r="DB161" s="422">
        <f t="shared" si="1366"/>
        <v>-104.736842105264</v>
      </c>
      <c r="DC161" s="422">
        <v>-379.28571428571399</v>
      </c>
      <c r="DD161" s="422">
        <f t="shared" si="1350"/>
        <v>-484.02255639097802</v>
      </c>
      <c r="DE161" s="422" t="str">
        <f t="shared" si="1351"/>
        <v/>
      </c>
      <c r="DF161" s="422">
        <f t="shared" si="1352"/>
        <v>-104.736842105264</v>
      </c>
      <c r="DG161" s="422">
        <v>-467.14285714285802</v>
      </c>
      <c r="DH161" s="422">
        <f t="shared" si="1353"/>
        <v>-571.87969924812205</v>
      </c>
      <c r="DI161" s="422" t="str">
        <f t="shared" si="1354"/>
        <v/>
      </c>
      <c r="DJ161" s="422">
        <f t="shared" si="1367"/>
        <v>-104.736842105264</v>
      </c>
      <c r="DK161" s="422">
        <v>19.428571428571399</v>
      </c>
      <c r="DL161" s="422">
        <f t="shared" si="1355"/>
        <v>-85.308270676692601</v>
      </c>
      <c r="DM161" s="422" t="str">
        <f t="shared" si="1356"/>
        <v/>
      </c>
      <c r="DN161" s="422">
        <f t="shared" si="1368"/>
        <v>-104.736842105264</v>
      </c>
      <c r="DO161" s="422">
        <v>-48.285714285714299</v>
      </c>
      <c r="DP161" s="422">
        <f t="shared" si="1357"/>
        <v>-153.02255639097831</v>
      </c>
      <c r="DQ161" s="438" t="str">
        <f t="shared" si="1358"/>
        <v/>
      </c>
      <c r="DR161" s="422">
        <f t="shared" si="1369"/>
        <v>-104.736842105264</v>
      </c>
      <c r="DS161" s="422">
        <v>-374.71428571428498</v>
      </c>
      <c r="DT161" s="422">
        <f t="shared" si="1359"/>
        <v>-479.45112781954901</v>
      </c>
      <c r="DU161" s="438" t="str">
        <f t="shared" si="1360"/>
        <v/>
      </c>
      <c r="DV161" s="422">
        <f t="shared" si="1370"/>
        <v>-104.736842105264</v>
      </c>
      <c r="DW161" s="422">
        <v>35.999999999999901</v>
      </c>
      <c r="DX161" s="422">
        <f t="shared" si="1361"/>
        <v>-68.736842105264103</v>
      </c>
      <c r="DY161" s="438" t="str">
        <f t="shared" si="1362"/>
        <v/>
      </c>
      <c r="DZ161" s="422">
        <f t="shared" si="1363"/>
        <v>-104.736842105264</v>
      </c>
      <c r="EA161" s="422">
        <v>-75</v>
      </c>
      <c r="EB161" s="422">
        <f t="shared" si="1364"/>
        <v>-179.736842105264</v>
      </c>
      <c r="EC161" s="438" t="str">
        <f t="shared" si="1365"/>
        <v/>
      </c>
      <c r="ED161" s="422">
        <f t="shared" si="1187"/>
        <v>-6114.0149079595631</v>
      </c>
      <c r="EE161" s="422">
        <f t="shared" si="1190"/>
        <v>-382.12593174747269</v>
      </c>
      <c r="EF161" s="438" t="str">
        <f t="shared" si="1191"/>
        <v/>
      </c>
      <c r="EG161" s="422" t="str">
        <f t="shared" si="1192"/>
        <v/>
      </c>
      <c r="EH161" s="439">
        <v>1</v>
      </c>
      <c r="EI161" s="422">
        <f t="shared" si="1193"/>
        <v>-6114.0149079595631</v>
      </c>
      <c r="EJ161" s="440">
        <f t="shared" si="1194"/>
        <v>-3.8212593174747269</v>
      </c>
      <c r="EK161" s="438" t="s">
        <v>747</v>
      </c>
      <c r="EL161" s="438" t="s">
        <v>762</v>
      </c>
    </row>
    <row r="162" spans="1:142" ht="30">
      <c r="A162" s="690"/>
      <c r="B162" s="690"/>
      <c r="C162" s="690"/>
      <c r="D162" s="69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0"/>
      <c r="P162" s="690"/>
      <c r="Q162" s="690"/>
      <c r="R162" s="690"/>
      <c r="S162" s="690"/>
      <c r="T162" s="690"/>
      <c r="U162" s="690"/>
      <c r="V162" s="690"/>
      <c r="W162" s="690"/>
      <c r="X162" s="690"/>
      <c r="Y162" s="690"/>
      <c r="Z162" s="690"/>
      <c r="AA162" s="420">
        <f t="shared" si="1127"/>
        <v>161</v>
      </c>
      <c r="AB162" s="435" t="s">
        <v>63</v>
      </c>
      <c r="AC162" s="422" t="s">
        <v>394</v>
      </c>
      <c r="AD162" s="422" t="s">
        <v>326</v>
      </c>
      <c r="AE162" s="422">
        <v>36.428571428571502</v>
      </c>
      <c r="AF162" s="422">
        <f>'SSS1 ATTENDANCE '!FJ168</f>
        <v>0</v>
      </c>
      <c r="AG162" s="422">
        <f>'SSS1 ATTENDANCE '!FH168</f>
        <v>0</v>
      </c>
      <c r="AH162" s="422">
        <f>'SSS1 ATTENDANCE '!FI168</f>
        <v>0</v>
      </c>
      <c r="AI162" s="436" t="s">
        <v>734</v>
      </c>
      <c r="AJ162" s="437">
        <v>40881</v>
      </c>
      <c r="AK162" s="435" t="s">
        <v>396</v>
      </c>
      <c r="AL162" s="424">
        <v>25</v>
      </c>
      <c r="AM162" s="422">
        <v>110.392857142857</v>
      </c>
      <c r="AN162" s="438">
        <v>4</v>
      </c>
      <c r="AO162" s="422" t="str">
        <f t="shared" si="1188"/>
        <v>3</v>
      </c>
      <c r="AP162" s="438">
        <v>5</v>
      </c>
      <c r="AQ162" s="422">
        <v>4</v>
      </c>
      <c r="AR162" s="438">
        <v>4</v>
      </c>
      <c r="AS162" s="438">
        <v>4</v>
      </c>
      <c r="AT162" s="438">
        <v>4</v>
      </c>
      <c r="AU162" s="438">
        <v>3</v>
      </c>
      <c r="AV162" s="438">
        <v>4</v>
      </c>
      <c r="AW162" s="438">
        <v>4</v>
      </c>
      <c r="AX162" s="438">
        <v>3</v>
      </c>
      <c r="AY162" s="438">
        <v>4</v>
      </c>
      <c r="AZ162" s="438">
        <v>3</v>
      </c>
      <c r="BA162" s="438">
        <v>3</v>
      </c>
      <c r="BB162" s="438">
        <v>3</v>
      </c>
      <c r="BC162" s="438">
        <v>4</v>
      </c>
      <c r="BD162" s="438">
        <v>4</v>
      </c>
      <c r="BE162" s="438">
        <v>4</v>
      </c>
      <c r="BF162" s="438">
        <v>3</v>
      </c>
      <c r="BG162" s="438">
        <v>3</v>
      </c>
      <c r="BH162" s="438">
        <v>3</v>
      </c>
      <c r="BI162" s="438">
        <v>5</v>
      </c>
      <c r="BJ162" s="438">
        <v>4</v>
      </c>
      <c r="BK162" s="438">
        <v>3</v>
      </c>
      <c r="BL162" s="438">
        <v>5</v>
      </c>
      <c r="BM162" s="438">
        <v>3</v>
      </c>
      <c r="BN162" s="422" t="s">
        <v>560</v>
      </c>
      <c r="BO162" s="438">
        <v>-48.392857142857103</v>
      </c>
      <c r="BP162" s="438">
        <v>-623.32142857142799</v>
      </c>
      <c r="BQ162" s="422">
        <f t="shared" si="1331"/>
        <v>-671.7142857142851</v>
      </c>
      <c r="BR162" s="438" t="str">
        <f t="shared" si="1332"/>
        <v/>
      </c>
      <c r="BS162" s="422">
        <v>-48.392857142857103</v>
      </c>
      <c r="BT162" s="438">
        <v>-468.53571428571399</v>
      </c>
      <c r="BU162" s="422">
        <f t="shared" si="1333"/>
        <v>-516.9285714285711</v>
      </c>
      <c r="BV162" s="438" t="str">
        <f t="shared" si="1334"/>
        <v/>
      </c>
      <c r="BW162" s="422">
        <v>-48.392857142857103</v>
      </c>
      <c r="BX162" s="422">
        <v>-450.82142857142799</v>
      </c>
      <c r="BY162" s="422">
        <f t="shared" si="1335"/>
        <v>-499.2142857142851</v>
      </c>
      <c r="BZ162" s="438" t="str">
        <f t="shared" si="1336"/>
        <v/>
      </c>
      <c r="CA162" s="422">
        <v>-48.392857142857103</v>
      </c>
      <c r="CB162" s="422">
        <v>-470.357142857143</v>
      </c>
      <c r="CC162" s="422">
        <f t="shared" si="1337"/>
        <v>-518.75000000000011</v>
      </c>
      <c r="CD162" s="438" t="str">
        <f t="shared" si="1338"/>
        <v/>
      </c>
      <c r="CE162" s="422">
        <v>35</v>
      </c>
      <c r="CF162" s="422">
        <v>-455.42857142857201</v>
      </c>
      <c r="CG162" s="422">
        <f t="shared" si="1339"/>
        <v>-420.42857142857201</v>
      </c>
      <c r="CH162" s="438" t="str">
        <f t="shared" si="1340"/>
        <v/>
      </c>
      <c r="CI162" s="422">
        <v>-48.392857142857103</v>
      </c>
      <c r="CJ162" s="422">
        <v>-245.96428571428601</v>
      </c>
      <c r="CK162" s="422">
        <f t="shared" si="1341"/>
        <v>-294.35714285714312</v>
      </c>
      <c r="CL162" s="438" t="str">
        <f t="shared" si="1342"/>
        <v/>
      </c>
      <c r="CM162" s="422">
        <v>-48.392857142857103</v>
      </c>
      <c r="CN162" s="422"/>
      <c r="CO162" s="422"/>
      <c r="CP162" s="422">
        <f t="shared" ref="CP162" si="1374">CM162</f>
        <v>-48.392857142857103</v>
      </c>
      <c r="CQ162" s="422">
        <v>3.4224137931035901</v>
      </c>
      <c r="CR162" s="422">
        <f t="shared" si="1344"/>
        <v>-44.970443349753516</v>
      </c>
      <c r="CS162" s="438" t="str">
        <f t="shared" si="1345"/>
        <v/>
      </c>
      <c r="CT162" s="422"/>
      <c r="CU162" s="422"/>
      <c r="CV162" s="422">
        <f t="shared" si="1346"/>
        <v>0</v>
      </c>
      <c r="CW162" s="438" t="str">
        <f t="shared" si="1347"/>
        <v/>
      </c>
      <c r="CX162" s="422">
        <v>35</v>
      </c>
      <c r="CY162" s="422">
        <v>-470.357142857143</v>
      </c>
      <c r="CZ162" s="422">
        <f t="shared" si="1348"/>
        <v>-435.357142857143</v>
      </c>
      <c r="DA162" s="438" t="str">
        <f t="shared" si="1349"/>
        <v/>
      </c>
      <c r="DB162" s="422">
        <f t="shared" si="1366"/>
        <v>35</v>
      </c>
      <c r="DC162" s="422">
        <v>-381.96428571428601</v>
      </c>
      <c r="DD162" s="422">
        <f t="shared" si="1350"/>
        <v>-346.96428571428601</v>
      </c>
      <c r="DE162" s="422" t="str">
        <f t="shared" si="1351"/>
        <v/>
      </c>
      <c r="DF162" s="422">
        <f t="shared" si="1352"/>
        <v>35</v>
      </c>
      <c r="DG162" s="422">
        <v>-470.357142857143</v>
      </c>
      <c r="DH162" s="422">
        <f t="shared" si="1353"/>
        <v>-435.357142857143</v>
      </c>
      <c r="DI162" s="422" t="str">
        <f t="shared" si="1354"/>
        <v/>
      </c>
      <c r="DJ162" s="422">
        <f t="shared" si="1367"/>
        <v>35</v>
      </c>
      <c r="DK162" s="422">
        <v>19.249999999999901</v>
      </c>
      <c r="DL162" s="422">
        <f t="shared" si="1355"/>
        <v>54.249999999999901</v>
      </c>
      <c r="DM162" s="422" t="str">
        <f t="shared" si="1356"/>
        <v>C6</v>
      </c>
      <c r="DN162" s="422">
        <f t="shared" si="1368"/>
        <v>35</v>
      </c>
      <c r="DO162" s="422">
        <v>-48.892857142857203</v>
      </c>
      <c r="DP162" s="422">
        <f t="shared" si="1357"/>
        <v>-13.892857142857203</v>
      </c>
      <c r="DQ162" s="438" t="str">
        <f t="shared" si="1358"/>
        <v/>
      </c>
      <c r="DR162" s="422">
        <f t="shared" si="1369"/>
        <v>35</v>
      </c>
      <c r="DS162" s="422">
        <v>-377.32142857142799</v>
      </c>
      <c r="DT162" s="422">
        <f t="shared" si="1359"/>
        <v>-342.32142857142799</v>
      </c>
      <c r="DU162" s="438" t="str">
        <f t="shared" si="1360"/>
        <v/>
      </c>
      <c r="DV162" s="422">
        <f t="shared" si="1370"/>
        <v>35</v>
      </c>
      <c r="DW162" s="422">
        <v>35.928571428571402</v>
      </c>
      <c r="DX162" s="422">
        <f t="shared" si="1361"/>
        <v>70.928571428571402</v>
      </c>
      <c r="DY162" s="438" t="str">
        <f t="shared" si="1362"/>
        <v>B2</v>
      </c>
      <c r="DZ162" s="422">
        <f t="shared" si="1363"/>
        <v>35</v>
      </c>
      <c r="EA162" s="422">
        <v>-75.75</v>
      </c>
      <c r="EB162" s="422">
        <f t="shared" si="1364"/>
        <v>-40.75</v>
      </c>
      <c r="EC162" s="438" t="str">
        <f t="shared" si="1365"/>
        <v/>
      </c>
      <c r="ED162" s="422">
        <f t="shared" si="1187"/>
        <v>-4455.8275862068958</v>
      </c>
      <c r="EE162" s="422">
        <f t="shared" si="1190"/>
        <v>-278.48922413793099</v>
      </c>
      <c r="EF162" s="438" t="str">
        <f t="shared" si="1191"/>
        <v/>
      </c>
      <c r="EG162" s="422" t="str">
        <f t="shared" si="1192"/>
        <v/>
      </c>
      <c r="EH162" s="439">
        <v>1</v>
      </c>
      <c r="EI162" s="422">
        <f t="shared" si="1193"/>
        <v>-4455.8275862068958</v>
      </c>
      <c r="EJ162" s="440">
        <f t="shared" si="1194"/>
        <v>-2.78489224137931</v>
      </c>
      <c r="EK162" s="438" t="s">
        <v>573</v>
      </c>
      <c r="EL162" s="438" t="s">
        <v>762</v>
      </c>
    </row>
    <row r="163" spans="1:142" ht="30">
      <c r="A163" s="690"/>
      <c r="B163" s="690"/>
      <c r="C163" s="690"/>
      <c r="D163" s="690"/>
      <c r="E163" s="690"/>
      <c r="F163" s="690"/>
      <c r="G163" s="690"/>
      <c r="H163" s="690"/>
      <c r="I163" s="690"/>
      <c r="J163" s="690"/>
      <c r="K163" s="690"/>
      <c r="L163" s="690"/>
      <c r="M163" s="690"/>
      <c r="N163" s="690"/>
      <c r="O163" s="690"/>
      <c r="P163" s="690"/>
      <c r="Q163" s="690"/>
      <c r="R163" s="690"/>
      <c r="S163" s="690"/>
      <c r="T163" s="690"/>
      <c r="U163" s="690"/>
      <c r="V163" s="690"/>
      <c r="W163" s="690"/>
      <c r="X163" s="690"/>
      <c r="Y163" s="690"/>
      <c r="Z163" s="690"/>
      <c r="AA163" s="420">
        <f t="shared" si="1127"/>
        <v>162</v>
      </c>
      <c r="AB163" s="435" t="s">
        <v>57</v>
      </c>
      <c r="AC163" s="422" t="s">
        <v>394</v>
      </c>
      <c r="AD163" s="422" t="s">
        <v>326</v>
      </c>
      <c r="AE163" s="422">
        <v>36.571428571428598</v>
      </c>
      <c r="AF163" s="422">
        <f>'SSS1 ATTENDANCE '!FJ169</f>
        <v>0</v>
      </c>
      <c r="AG163" s="422">
        <f>'SSS1 ATTENDANCE '!FH169</f>
        <v>0</v>
      </c>
      <c r="AH163" s="422">
        <f>'SSS1 ATTENDANCE '!FI169</f>
        <v>0</v>
      </c>
      <c r="AI163" s="436" t="s">
        <v>735</v>
      </c>
      <c r="AJ163" s="437">
        <v>41122</v>
      </c>
      <c r="AK163" s="435" t="s">
        <v>396</v>
      </c>
      <c r="AL163" s="424">
        <v>25</v>
      </c>
      <c r="AM163" s="422">
        <v>110.928571428571</v>
      </c>
      <c r="AN163" s="438">
        <v>4</v>
      </c>
      <c r="AO163" s="422" t="str">
        <f t="shared" si="1188"/>
        <v>3</v>
      </c>
      <c r="AP163" s="438">
        <v>5</v>
      </c>
      <c r="AQ163" s="422">
        <v>4</v>
      </c>
      <c r="AR163" s="438">
        <v>4</v>
      </c>
      <c r="AS163" s="438">
        <v>4</v>
      </c>
      <c r="AT163" s="438">
        <v>4</v>
      </c>
      <c r="AU163" s="438">
        <v>3</v>
      </c>
      <c r="AV163" s="438">
        <v>4</v>
      </c>
      <c r="AW163" s="438">
        <v>4</v>
      </c>
      <c r="AX163" s="438">
        <v>3</v>
      </c>
      <c r="AY163" s="438">
        <v>4</v>
      </c>
      <c r="AZ163" s="438">
        <v>3</v>
      </c>
      <c r="BA163" s="438">
        <v>3</v>
      </c>
      <c r="BB163" s="438">
        <v>3</v>
      </c>
      <c r="BC163" s="438">
        <v>4</v>
      </c>
      <c r="BD163" s="438">
        <v>4</v>
      </c>
      <c r="BE163" s="438">
        <v>4</v>
      </c>
      <c r="BF163" s="438">
        <v>3</v>
      </c>
      <c r="BG163" s="438">
        <v>3</v>
      </c>
      <c r="BH163" s="438">
        <v>3</v>
      </c>
      <c r="BI163" s="438">
        <v>5</v>
      </c>
      <c r="BJ163" s="438">
        <v>4</v>
      </c>
      <c r="BK163" s="438">
        <v>3</v>
      </c>
      <c r="BL163" s="438">
        <v>5</v>
      </c>
      <c r="BM163" s="438">
        <v>3</v>
      </c>
      <c r="BN163" s="422" t="s">
        <v>561</v>
      </c>
      <c r="BO163" s="422">
        <v>-48.928571428571402</v>
      </c>
      <c r="BP163" s="422">
        <v>-627.5</v>
      </c>
      <c r="BQ163" s="422">
        <v>100</v>
      </c>
      <c r="BR163" s="438" t="s">
        <v>749</v>
      </c>
      <c r="BS163" s="422">
        <v>-48.928571428571402</v>
      </c>
      <c r="BT163" s="422">
        <v>-471.78571428571399</v>
      </c>
      <c r="BU163" s="422">
        <v>100</v>
      </c>
      <c r="BV163" s="438" t="s">
        <v>749</v>
      </c>
      <c r="BW163" s="422">
        <v>-48.928571428571402</v>
      </c>
      <c r="BX163" s="422">
        <v>-453.92857142857099</v>
      </c>
      <c r="BY163" s="422">
        <v>100</v>
      </c>
      <c r="BZ163" s="422" t="str">
        <f t="shared" ref="BZ163" si="1375">BV163</f>
        <v>Grades</v>
      </c>
      <c r="CA163" s="422">
        <v>-48.928571428571402</v>
      </c>
      <c r="CB163" s="422">
        <v>-473.57142857142901</v>
      </c>
      <c r="CC163" s="422">
        <v>100</v>
      </c>
      <c r="CD163" s="422" t="str">
        <f t="shared" ref="CD163" si="1376">BZ163</f>
        <v>Grades</v>
      </c>
      <c r="CE163" s="422">
        <f t="shared" ref="CE163" si="1377">CA163</f>
        <v>-48.928571428571402</v>
      </c>
      <c r="CF163" s="422">
        <v>-458.57142857142901</v>
      </c>
      <c r="CG163" s="422">
        <v>100</v>
      </c>
      <c r="CH163" s="422" t="str">
        <f t="shared" ref="CH163" si="1378">CD163</f>
        <v>Grades</v>
      </c>
      <c r="CI163" s="422">
        <v>-48.928571428571402</v>
      </c>
      <c r="CJ163" s="422">
        <v>-247.78571428571399</v>
      </c>
      <c r="CK163" s="422">
        <v>100</v>
      </c>
      <c r="CL163" s="422" t="str">
        <f t="shared" ref="CL163" si="1379">CH163</f>
        <v>Grades</v>
      </c>
      <c r="CM163" s="422">
        <v>-48.928571428571402</v>
      </c>
      <c r="CN163" s="422">
        <v>60</v>
      </c>
      <c r="CO163" s="422"/>
      <c r="CP163" s="422">
        <v>40</v>
      </c>
      <c r="CQ163" s="422">
        <v>3.1379310344829001</v>
      </c>
      <c r="CR163" s="422">
        <v>100</v>
      </c>
      <c r="CS163" s="438" t="str">
        <f t="shared" ref="CS163" si="1380">CL163</f>
        <v>Grades</v>
      </c>
      <c r="CT163" s="422">
        <v>-105.789473684211</v>
      </c>
      <c r="CU163" s="422">
        <v>-523.15789473684299</v>
      </c>
      <c r="CV163" s="422">
        <v>100</v>
      </c>
      <c r="CW163" s="438" t="str">
        <f t="shared" ref="CW163" si="1381">CS163</f>
        <v>Grades</v>
      </c>
      <c r="CX163" s="422">
        <v>-133.333333333333</v>
      </c>
      <c r="CY163" s="422">
        <v>-473.57142857142901</v>
      </c>
      <c r="CZ163" s="422">
        <v>100</v>
      </c>
      <c r="DA163" s="438" t="str">
        <f t="shared" ref="DA163" si="1382">CW163</f>
        <v>Grades</v>
      </c>
      <c r="DB163" s="422">
        <v>-420</v>
      </c>
      <c r="DC163" s="422">
        <v>-384.642857142857</v>
      </c>
      <c r="DD163" s="422">
        <v>100</v>
      </c>
      <c r="DE163" s="422" t="str">
        <f t="shared" ref="DE163" si="1383">DA163</f>
        <v>Grades</v>
      </c>
      <c r="DF163" s="422">
        <v>40</v>
      </c>
      <c r="DG163" s="422">
        <v>-473.57142857142901</v>
      </c>
      <c r="DH163" s="422">
        <v>100</v>
      </c>
      <c r="DI163" s="422" t="str">
        <f t="shared" ref="DI163" si="1384">DE163</f>
        <v>Grades</v>
      </c>
      <c r="DJ163" s="422">
        <v>-190</v>
      </c>
      <c r="DK163" s="422">
        <v>19.071428571428498</v>
      </c>
      <c r="DL163" s="422">
        <v>100</v>
      </c>
      <c r="DM163" s="422" t="str">
        <f t="shared" ref="DM163" si="1385">DI163</f>
        <v>Grades</v>
      </c>
      <c r="DN163" s="422">
        <v>-190</v>
      </c>
      <c r="DO163" s="422">
        <v>-49.5</v>
      </c>
      <c r="DP163" s="422">
        <v>100</v>
      </c>
      <c r="DQ163" s="438" t="str">
        <f t="shared" ref="DQ163" si="1386">DM163</f>
        <v>Grades</v>
      </c>
      <c r="DR163" s="422">
        <v>-650</v>
      </c>
      <c r="DS163" s="422">
        <v>-379.92857142857099</v>
      </c>
      <c r="DT163" s="422">
        <v>100</v>
      </c>
      <c r="DU163" s="438" t="str">
        <f t="shared" ref="DU163" si="1387">DQ163</f>
        <v>Grades</v>
      </c>
      <c r="DV163" s="422">
        <v>-190</v>
      </c>
      <c r="DW163" s="422">
        <v>35.857142857142797</v>
      </c>
      <c r="DX163" s="422">
        <v>100</v>
      </c>
      <c r="DY163" s="438" t="str">
        <f t="shared" ref="DY163" si="1388">DU163</f>
        <v>Grades</v>
      </c>
      <c r="DZ163" s="422">
        <v>40</v>
      </c>
      <c r="EA163" s="422">
        <v>-76.5</v>
      </c>
      <c r="EB163" s="422">
        <v>100</v>
      </c>
      <c r="EC163" s="438" t="str">
        <f t="shared" ref="EC163" si="1389">DY163</f>
        <v>Grades</v>
      </c>
      <c r="ED163" s="422">
        <f t="shared" si="1187"/>
        <v>1600</v>
      </c>
      <c r="EE163" s="422">
        <f t="shared" si="1190"/>
        <v>100</v>
      </c>
      <c r="EF163" s="438" t="str">
        <f t="shared" si="1191"/>
        <v>A1</v>
      </c>
      <c r="EG163" s="422" t="str">
        <f t="shared" si="1192"/>
        <v>DISTINTION</v>
      </c>
      <c r="EH163" s="439">
        <v>1</v>
      </c>
      <c r="EI163" s="422">
        <f t="shared" si="1193"/>
        <v>1600</v>
      </c>
      <c r="EJ163" s="440">
        <f t="shared" si="1194"/>
        <v>1</v>
      </c>
      <c r="EK163" s="438" t="s">
        <v>573</v>
      </c>
      <c r="EL163" s="438" t="s">
        <v>762</v>
      </c>
    </row>
    <row r="164" spans="1:142" ht="30">
      <c r="A164" s="690"/>
      <c r="B164" s="690"/>
      <c r="C164" s="690"/>
      <c r="D164" s="690"/>
      <c r="E164" s="690"/>
      <c r="F164" s="690"/>
      <c r="G164" s="690"/>
      <c r="H164" s="690"/>
      <c r="I164" s="690"/>
      <c r="J164" s="690"/>
      <c r="K164" s="690"/>
      <c r="L164" s="690"/>
      <c r="M164" s="690"/>
      <c r="N164" s="690"/>
      <c r="O164" s="690"/>
      <c r="P164" s="690"/>
      <c r="Q164" s="690"/>
      <c r="R164" s="690"/>
      <c r="S164" s="690"/>
      <c r="T164" s="690"/>
      <c r="U164" s="690"/>
      <c r="V164" s="690"/>
      <c r="W164" s="690"/>
      <c r="X164" s="690"/>
      <c r="Y164" s="690"/>
      <c r="Z164" s="690"/>
      <c r="AA164" s="420">
        <f t="shared" si="1127"/>
        <v>163</v>
      </c>
      <c r="AB164" s="435" t="s">
        <v>58</v>
      </c>
      <c r="AC164" s="422" t="s">
        <v>394</v>
      </c>
      <c r="AD164" s="422" t="s">
        <v>326</v>
      </c>
      <c r="AE164" s="422">
        <v>36.714285714285701</v>
      </c>
      <c r="AF164" s="422">
        <f>'SSS1 ATTENDANCE '!FJ170</f>
        <v>0</v>
      </c>
      <c r="AG164" s="422">
        <f>'SSS1 ATTENDANCE '!FH170</f>
        <v>0</v>
      </c>
      <c r="AH164" s="422">
        <f>'SSS1 ATTENDANCE '!FI170</f>
        <v>0</v>
      </c>
      <c r="AI164" s="436" t="s">
        <v>736</v>
      </c>
      <c r="AJ164" s="437">
        <v>40844</v>
      </c>
      <c r="AK164" s="435" t="s">
        <v>396</v>
      </c>
      <c r="AL164" s="424">
        <v>25</v>
      </c>
      <c r="AM164" s="422">
        <v>111.46428571428601</v>
      </c>
      <c r="AN164" s="438">
        <v>4</v>
      </c>
      <c r="AO164" s="422" t="str">
        <f t="shared" si="1188"/>
        <v>3</v>
      </c>
      <c r="AP164" s="438">
        <v>5</v>
      </c>
      <c r="AQ164" s="422">
        <v>4</v>
      </c>
      <c r="AR164" s="438">
        <v>4</v>
      </c>
      <c r="AS164" s="438">
        <v>4</v>
      </c>
      <c r="AT164" s="438">
        <v>4</v>
      </c>
      <c r="AU164" s="438">
        <v>3</v>
      </c>
      <c r="AV164" s="438">
        <v>4</v>
      </c>
      <c r="AW164" s="438">
        <v>4</v>
      </c>
      <c r="AX164" s="438">
        <v>3</v>
      </c>
      <c r="AY164" s="438">
        <v>4</v>
      </c>
      <c r="AZ164" s="438">
        <v>3</v>
      </c>
      <c r="BA164" s="438">
        <v>3</v>
      </c>
      <c r="BB164" s="438">
        <v>3</v>
      </c>
      <c r="BC164" s="438">
        <v>4</v>
      </c>
      <c r="BD164" s="438">
        <v>4</v>
      </c>
      <c r="BE164" s="438">
        <v>4</v>
      </c>
      <c r="BF164" s="438">
        <v>3</v>
      </c>
      <c r="BG164" s="438">
        <v>3</v>
      </c>
      <c r="BH164" s="438">
        <v>3</v>
      </c>
      <c r="BI164" s="438">
        <v>5</v>
      </c>
      <c r="BJ164" s="438">
        <v>4</v>
      </c>
      <c r="BK164" s="438">
        <v>3</v>
      </c>
      <c r="BL164" s="438">
        <v>5</v>
      </c>
      <c r="BM164" s="438">
        <v>3</v>
      </c>
      <c r="BN164" s="422" t="s">
        <v>562</v>
      </c>
      <c r="BO164" s="438">
        <v>-49.464285714285701</v>
      </c>
      <c r="BP164" s="438">
        <v>-631.67857142857099</v>
      </c>
      <c r="BQ164" s="422">
        <f t="shared" ref="BQ164:BQ169" si="1390">SUM(BO164:BP164)</f>
        <v>-681.14285714285666</v>
      </c>
      <c r="BR164" s="438" t="str">
        <f t="shared" ref="BR164:BR169" si="1391">IF(BQ164&gt;=80,"A1",
IF(BQ164&gt;=75,"A",
IF(BQ164&gt;=70,"B2",
IF(BQ164&gt;=65,"B3",
IF(BQ164&gt;=60,"C4",
IF(BQ164&gt;=55,"C5",
IF(BQ164&gt;=50,"C6",
IF(BQ164&gt;=45,"D7",
IF(BQ164&gt;=40,"E8",
IF(BQ164&gt;=1,"F9",""))))))))))</f>
        <v/>
      </c>
      <c r="BS164" s="422">
        <v>-49.464285714285701</v>
      </c>
      <c r="BT164" s="438">
        <v>-475.03571428571399</v>
      </c>
      <c r="BU164" s="422">
        <f t="shared" ref="BU164:BU169" si="1392">SUM(BS164:BT164)</f>
        <v>-524.49999999999966</v>
      </c>
      <c r="BV164" s="438" t="str">
        <f t="shared" ref="BV164:BV169" si="1393">IF(BU164&gt;=80,"A1",
IF(BU164&gt;=75,"A",
IF(BU164&gt;=70,"B2",
IF(BU164&gt;=65,"B3",
IF(BU164&gt;=60,"C4",
IF(BU164&gt;=55,"C5",
IF(BU164&gt;=50,"C6",
IF(BU164&gt;=45,"D7",
IF(BU164&gt;=40,"E8",
IF(BU164&gt;=1,"F9",""))))))))))</f>
        <v/>
      </c>
      <c r="BW164" s="422">
        <v>-49.464285714285701</v>
      </c>
      <c r="BX164" s="422">
        <v>-457.03571428571399</v>
      </c>
      <c r="BY164" s="422">
        <f t="shared" ref="BY164:BY169" si="1394">SUM(BW164:BX164)</f>
        <v>-506.49999999999972</v>
      </c>
      <c r="BZ164" s="438" t="str">
        <f t="shared" ref="BZ164:BZ169" si="1395">IF(BY164&gt;=80,"A1",
IF(BY164&gt;=75,"A",
IF(BY164&gt;=70,"B2",
IF(BY164&gt;=65,"B3",
IF(BY164&gt;=60,"C4",
IF(BY164&gt;=55,"C5",
IF(BY164&gt;=50,"C6",
IF(BY164&gt;=45,"D7",
IF(BY164&gt;=40,"E8",
IF(BY164&gt;=1,"F9",""))))))))))</f>
        <v/>
      </c>
      <c r="CA164" s="422">
        <v>-49.464285714285701</v>
      </c>
      <c r="CB164" s="422">
        <v>-476.78571428571502</v>
      </c>
      <c r="CC164" s="422">
        <f t="shared" ref="CC164:CC169" si="1396">SUM(CA164:CB164)</f>
        <v>-526.25000000000068</v>
      </c>
      <c r="CD164" s="438" t="str">
        <f t="shared" ref="CD164:CD169" si="1397">IF(CC164&gt;=80,"A1",
IF(CC164&gt;=75,"A",
IF(CC164&gt;=70,"B2",
IF(CC164&gt;=65,"B3",
IF(CC164&gt;=60,"C4",
IF(CC164&gt;=55,"C5",
IF(CC164&gt;=50,"C6",
IF(CC164&gt;=45,"D7",
IF(CC164&gt;=40,"E8",
IF(CC164&gt;=1,"F9",""))))))))))</f>
        <v/>
      </c>
      <c r="CE164" s="422">
        <v>35</v>
      </c>
      <c r="CF164" s="422">
        <v>-461.71428571428601</v>
      </c>
      <c r="CG164" s="422">
        <f t="shared" ref="CG164:CG169" si="1398">SUM(CE164:CF164)</f>
        <v>-426.71428571428601</v>
      </c>
      <c r="CH164" s="438" t="str">
        <f t="shared" ref="CH164:CH169" si="1399">IF(CG164&gt;=80,"A1",
IF(CG164&gt;=75,"A",
IF(CG164&gt;=70,"B2",
IF(CG164&gt;=65,"B3",
IF(CG164&gt;=60,"C4",
IF(CG164&gt;=55,"C5",
IF(CG164&gt;=50,"C6",
IF(CG164&gt;=45,"D7",
IF(CG164&gt;=40,"E8",
IF(CG164&gt;=1,"F9",""))))))))))</f>
        <v/>
      </c>
      <c r="CI164" s="422">
        <v>-49.464285714285701</v>
      </c>
      <c r="CJ164" s="422">
        <v>-249.607142857143</v>
      </c>
      <c r="CK164" s="422">
        <f t="shared" ref="CK164:CK169" si="1400">SUM(CI164:CJ164)</f>
        <v>-299.07142857142873</v>
      </c>
      <c r="CL164" s="438" t="str">
        <f t="shared" ref="CL164:CL169" si="1401">IF(CK164&gt;=80,"A1",
IF(CK164&gt;=75,"A",
IF(CK164&gt;=70,"B2",
IF(CK164&gt;=65,"B3",
IF(CK164&gt;=60,"C4",
IF(CK164&gt;=55,"C5",
IF(CK164&gt;=50,"C6",
IF(CK164&gt;=45,"D7",
IF(CK164&gt;=40,"E8",
IF(CK164&gt;=1,"F9",""))))))))))</f>
        <v/>
      </c>
      <c r="CM164" s="422">
        <v>-49.464285714285701</v>
      </c>
      <c r="CN164" s="422"/>
      <c r="CO164" s="422"/>
      <c r="CP164" s="422">
        <f t="shared" ref="CP164:CP165" si="1402">CM164</f>
        <v>-49.464285714285701</v>
      </c>
      <c r="CQ164" s="422">
        <v>2.8534482758621902</v>
      </c>
      <c r="CR164" s="422">
        <f t="shared" ref="CR164:CR169" si="1403">SUM(CP164:CQ164)</f>
        <v>-46.610837438423509</v>
      </c>
      <c r="CS164" s="438" t="str">
        <f t="shared" ref="CS164:CS169" si="1404">IF(CR164&gt;=80,"A1",
IF(CR164&gt;=75,"A",
IF(CR164&gt;=70,"B2",
IF(CR164&gt;=65,"B3",
IF(CR164&gt;=60,"C4",
IF(CR164&gt;=55,"C5",
IF(CR164&gt;=50,"C6",
IF(CR164&gt;=45,"D7",
IF(CR164&gt;=40,"E8",
IF(CR164&gt;=1,"F9",""))))))))))</f>
        <v/>
      </c>
      <c r="CT164" s="422">
        <v>-106.842105263158</v>
      </c>
      <c r="CU164" s="422">
        <v>-527.36842105263202</v>
      </c>
      <c r="CV164" s="422">
        <f t="shared" ref="CV164:CV169" si="1405">SUM(CT164:CU164)</f>
        <v>-634.21052631579005</v>
      </c>
      <c r="CW164" s="438" t="str">
        <f t="shared" ref="CW164:CW169" si="1406">IF(CV164&gt;=80,"A1",
IF(CV164&gt;=75,"A",
IF(CV164&gt;=70,"B2",
IF(CV164&gt;=65,"B3",
IF(CV164&gt;=60,"C4",
IF(CV164&gt;=55,"C5",
IF(CV164&gt;=50,"C6",
IF(CV164&gt;=45,"D7",
IF(CV164&gt;=40,"E8",
IF(CV164&gt;=1,"F9",""))))))))))</f>
        <v/>
      </c>
      <c r="CX164" s="422">
        <v>-135.833333333333</v>
      </c>
      <c r="CY164" s="422">
        <v>-476.78571428571502</v>
      </c>
      <c r="CZ164" s="422">
        <f t="shared" ref="CZ164:CZ169" si="1407">SUM(CX164:CY164)</f>
        <v>-612.61904761904805</v>
      </c>
      <c r="DA164" s="438" t="str">
        <f t="shared" ref="DA164:DA169" si="1408">IF(CZ164&gt;=80,"A1",
IF(CZ164&gt;=75,"A",
IF(CZ164&gt;=70,"B2",
IF(CZ164&gt;=65,"B3",
IF(CZ164&gt;=60,"C4",
IF(CZ164&gt;=55,"C5",
IF(CZ164&gt;=50,"C6",
IF(CZ164&gt;=45,"D7",
IF(CZ164&gt;=40,"E8",
IF(CZ164&gt;=1,"F9",""))))))))))</f>
        <v/>
      </c>
      <c r="DB164" s="422">
        <v>-430</v>
      </c>
      <c r="DC164" s="422">
        <v>-387.32142857142901</v>
      </c>
      <c r="DD164" s="422">
        <f t="shared" ref="DD164:DD169" si="1409">SUM(DB164:DC164)</f>
        <v>-817.32142857142901</v>
      </c>
      <c r="DE164" s="422" t="str">
        <f t="shared" ref="DE164:DE169" si="1410">IF(DD164&gt;=80,"A1",
IF(DD164&gt;=75,"A",
IF(DD164&gt;=70,"B2",
IF(DD164&gt;=65,"B3",
IF(DD164&gt;=60,"C4",
IF(DD164&gt;=55,"C5",
IF(DD164&gt;=50,"C6",
IF(DD164&gt;=45,"D7",
IF(DD164&gt;=40,"E8",
IF(DD164&gt;=1,"F9",""))))))))))</f>
        <v/>
      </c>
      <c r="DF164" s="422">
        <f t="shared" ref="DF164:DF169" si="1411">DB164</f>
        <v>-430</v>
      </c>
      <c r="DG164" s="422">
        <v>-476.78571428571502</v>
      </c>
      <c r="DH164" s="422">
        <f t="shared" ref="DH164:DH169" si="1412">SUM(DF164:DG164)</f>
        <v>-906.78571428571502</v>
      </c>
      <c r="DI164" s="422" t="str">
        <f t="shared" ref="DI164:DI169" si="1413">IF(DH164&gt;=80,"A1",
IF(DH164&gt;=75,"A",
IF(DH164&gt;=70,"B2",
IF(DH164&gt;=65,"B3",
IF(DH164&gt;=60,"C4",
IF(DH164&gt;=55,"C5",
IF(DH164&gt;=50,"C6",
IF(DH164&gt;=45,"D7",
IF(DH164&gt;=40,"E8",
IF(DH164&gt;=1,"F9",""))))))))))</f>
        <v/>
      </c>
      <c r="DJ164" s="422">
        <v>-195</v>
      </c>
      <c r="DK164" s="422">
        <v>18.8928571428571</v>
      </c>
      <c r="DL164" s="422">
        <f t="shared" ref="DL164:DL169" si="1414">SUM(DJ164:DK164)</f>
        <v>-176.10714285714289</v>
      </c>
      <c r="DM164" s="422" t="str">
        <f t="shared" ref="DM164:DM169" si="1415">IF(DL164&gt;=80,"A1",
IF(DL164&gt;=75,"A",
IF(DL164&gt;=70,"B2",
IF(DL164&gt;=65,"B3",
IF(DL164&gt;=60,"C4",
IF(DL164&gt;=55,"C5",
IF(DL164&gt;=50,"C6",
IF(DL164&gt;=45,"D7",
IF(DL164&gt;=40,"E8",
IF(DL164&gt;=1,"F9",""))))))))))</f>
        <v/>
      </c>
      <c r="DN164" s="422">
        <v>-195</v>
      </c>
      <c r="DO164" s="422">
        <v>-50.107142857142897</v>
      </c>
      <c r="DP164" s="422">
        <f t="shared" ref="DP164:DP169" si="1416">SUM(DN164:DO164)</f>
        <v>-245.10714285714289</v>
      </c>
      <c r="DQ164" s="438" t="str">
        <f t="shared" ref="DQ164:DQ169" si="1417">IF(DP164&gt;=80,"A1",
IF(DP164&gt;=75,"A",
IF(DP164&gt;=70,"B2",
IF(DP164&gt;=65,"B3",
IF(DP164&gt;=60,"C4",
IF(DP164&gt;=55,"C5",
IF(DP164&gt;=50,"C6",
IF(DP164&gt;=45,"D7",
IF(DP164&gt;=40,"E8",
IF(DP164&gt;=1,"F9",""))))))))))</f>
        <v/>
      </c>
      <c r="DR164" s="422">
        <v>-665</v>
      </c>
      <c r="DS164" s="422">
        <v>-382.53571428571399</v>
      </c>
      <c r="DT164" s="422">
        <f t="shared" ref="DT164:DT169" si="1418">SUM(DR164:DS164)</f>
        <v>-1047.535714285714</v>
      </c>
      <c r="DU164" s="438" t="str">
        <f t="shared" ref="DU164:DU169" si="1419">IF(DT164&gt;=80,"A1",
IF(DT164&gt;=75,"A",
IF(DT164&gt;=70,"B2",
IF(DT164&gt;=65,"B3",
IF(DT164&gt;=60,"C4",
IF(DT164&gt;=55,"C5",
IF(DT164&gt;=50,"C6",
IF(DT164&gt;=45,"D7",
IF(DT164&gt;=40,"E8",
IF(DT164&gt;=1,"F9",""))))))))))</f>
        <v/>
      </c>
      <c r="DV164" s="422">
        <v>-195</v>
      </c>
      <c r="DW164" s="422">
        <v>35.785714285714199</v>
      </c>
      <c r="DX164" s="422">
        <f t="shared" ref="DX164:DX169" si="1420">SUM(DV164:DW164)</f>
        <v>-159.21428571428581</v>
      </c>
      <c r="DY164" s="438" t="str">
        <f t="shared" ref="DY164:DY169" si="1421">IF(DX164&gt;=80,"A1",
IF(DX164&gt;=75,"A",
IF(DX164&gt;=70,"B2",
IF(DX164&gt;=65,"B3",
IF(DX164&gt;=60,"C4",
IF(DX164&gt;=55,"C5",
IF(DX164&gt;=50,"C6",
IF(DX164&gt;=45,"D7",
IF(DX164&gt;=40,"E8",
IF(DX164&gt;=1,"F9",""))))))))))</f>
        <v/>
      </c>
      <c r="DZ164" s="422">
        <f t="shared" ref="DZ164:DZ169" si="1422">DV164</f>
        <v>-195</v>
      </c>
      <c r="EA164" s="422">
        <v>-77.25</v>
      </c>
      <c r="EB164" s="422">
        <f t="shared" ref="EB164:EB169" si="1423">SUM(DZ164:EA164)</f>
        <v>-272.25</v>
      </c>
      <c r="EC164" s="438" t="str">
        <f t="shared" ref="EC164:EC169" si="1424">IF(EB164&gt;=80,"A1",
IF(EB164&gt;=75,"A",
IF(EB164&gt;=70,"B2",
IF(EB164&gt;=65,"B3",
IF(EB164&gt;=60,"C4",
IF(EB164&gt;=55,"C5",
IF(EB164&gt;=50,"C6",
IF(EB164&gt;=45,"D7",
IF(EB164&gt;=40,"E8",
IF(EB164&gt;=1,"F9",""))))))))))</f>
        <v/>
      </c>
      <c r="ED164" s="422">
        <f t="shared" si="1187"/>
        <v>-7881.9404113732635</v>
      </c>
      <c r="EE164" s="422">
        <f t="shared" si="1190"/>
        <v>-492.62127571082897</v>
      </c>
      <c r="EF164" s="438" t="str">
        <f t="shared" si="1191"/>
        <v/>
      </c>
      <c r="EG164" s="422" t="str">
        <f t="shared" si="1192"/>
        <v/>
      </c>
      <c r="EH164" s="439">
        <v>1</v>
      </c>
      <c r="EI164" s="422">
        <f t="shared" si="1193"/>
        <v>-7881.9404113732635</v>
      </c>
      <c r="EJ164" s="440">
        <f t="shared" si="1194"/>
        <v>-4.9262127571082894</v>
      </c>
      <c r="EK164" s="438" t="s">
        <v>573</v>
      </c>
      <c r="EL164" s="438" t="s">
        <v>762</v>
      </c>
    </row>
    <row r="165" spans="1:142" ht="30">
      <c r="A165" s="690"/>
      <c r="B165" s="690"/>
      <c r="C165" s="690"/>
      <c r="D165" s="690"/>
      <c r="E165" s="690"/>
      <c r="F165" s="690"/>
      <c r="G165" s="690"/>
      <c r="H165" s="690"/>
      <c r="I165" s="690"/>
      <c r="J165" s="690"/>
      <c r="K165" s="690"/>
      <c r="L165" s="690"/>
      <c r="M165" s="690"/>
      <c r="N165" s="690"/>
      <c r="O165" s="690"/>
      <c r="P165" s="690"/>
      <c r="Q165" s="690"/>
      <c r="R165" s="690"/>
      <c r="S165" s="690"/>
      <c r="T165" s="690"/>
      <c r="U165" s="690"/>
      <c r="V165" s="690"/>
      <c r="W165" s="690"/>
      <c r="X165" s="690"/>
      <c r="Y165" s="690"/>
      <c r="Z165" s="690"/>
      <c r="AA165" s="420">
        <f t="shared" si="1127"/>
        <v>164</v>
      </c>
      <c r="AB165" s="435" t="s">
        <v>59</v>
      </c>
      <c r="AC165" s="422" t="s">
        <v>394</v>
      </c>
      <c r="AD165" s="422" t="s">
        <v>326</v>
      </c>
      <c r="AE165" s="422">
        <v>36.857142857142897</v>
      </c>
      <c r="AF165" s="422">
        <f>'SSS1 ATTENDANCE '!FJ171</f>
        <v>0</v>
      </c>
      <c r="AG165" s="422">
        <f>'SSS1 ATTENDANCE '!FH171</f>
        <v>0</v>
      </c>
      <c r="AH165" s="422">
        <f>'SSS1 ATTENDANCE '!FI171</f>
        <v>0</v>
      </c>
      <c r="AI165" s="436" t="s">
        <v>737</v>
      </c>
      <c r="AJ165" s="437">
        <v>40754</v>
      </c>
      <c r="AK165" s="435" t="s">
        <v>396</v>
      </c>
      <c r="AL165" s="424">
        <v>25</v>
      </c>
      <c r="AM165" s="422">
        <v>112</v>
      </c>
      <c r="AN165" s="438">
        <v>4</v>
      </c>
      <c r="AO165" s="422" t="str">
        <f t="shared" si="1188"/>
        <v>3</v>
      </c>
      <c r="AP165" s="438">
        <v>5</v>
      </c>
      <c r="AQ165" s="422">
        <v>4</v>
      </c>
      <c r="AR165" s="438">
        <v>4</v>
      </c>
      <c r="AS165" s="438">
        <v>4</v>
      </c>
      <c r="AT165" s="438">
        <v>4</v>
      </c>
      <c r="AU165" s="438">
        <v>3</v>
      </c>
      <c r="AV165" s="438">
        <v>4</v>
      </c>
      <c r="AW165" s="438">
        <v>4</v>
      </c>
      <c r="AX165" s="438">
        <v>3</v>
      </c>
      <c r="AY165" s="438">
        <v>4</v>
      </c>
      <c r="AZ165" s="438">
        <v>3</v>
      </c>
      <c r="BA165" s="438">
        <v>3</v>
      </c>
      <c r="BB165" s="438">
        <v>3</v>
      </c>
      <c r="BC165" s="438">
        <v>4</v>
      </c>
      <c r="BD165" s="438">
        <v>4</v>
      </c>
      <c r="BE165" s="438">
        <v>4</v>
      </c>
      <c r="BF165" s="438">
        <v>3</v>
      </c>
      <c r="BG165" s="438">
        <v>3</v>
      </c>
      <c r="BH165" s="438">
        <v>3</v>
      </c>
      <c r="BI165" s="438">
        <v>5</v>
      </c>
      <c r="BJ165" s="438">
        <v>4</v>
      </c>
      <c r="BK165" s="438">
        <v>3</v>
      </c>
      <c r="BL165" s="438">
        <v>5</v>
      </c>
      <c r="BM165" s="438">
        <v>3</v>
      </c>
      <c r="BN165" s="422" t="s">
        <v>563</v>
      </c>
      <c r="BO165" s="438">
        <v>-50</v>
      </c>
      <c r="BP165" s="438">
        <v>-635.857142857143</v>
      </c>
      <c r="BQ165" s="422">
        <f t="shared" si="1390"/>
        <v>-685.857142857143</v>
      </c>
      <c r="BR165" s="438" t="str">
        <f t="shared" si="1391"/>
        <v/>
      </c>
      <c r="BS165" s="422">
        <v>-50</v>
      </c>
      <c r="BT165" s="438">
        <v>-478.28571428571399</v>
      </c>
      <c r="BU165" s="422">
        <f t="shared" si="1392"/>
        <v>-528.28571428571399</v>
      </c>
      <c r="BV165" s="438" t="str">
        <f t="shared" si="1393"/>
        <v/>
      </c>
      <c r="BW165" s="422">
        <v>-50</v>
      </c>
      <c r="BX165" s="422">
        <v>-460.142857142857</v>
      </c>
      <c r="BY165" s="422">
        <f t="shared" si="1394"/>
        <v>-510.142857142857</v>
      </c>
      <c r="BZ165" s="438" t="str">
        <f t="shared" si="1395"/>
        <v/>
      </c>
      <c r="CA165" s="422">
        <v>-50</v>
      </c>
      <c r="CB165" s="422">
        <v>-480.00000000000102</v>
      </c>
      <c r="CC165" s="422">
        <f t="shared" si="1396"/>
        <v>-530.00000000000102</v>
      </c>
      <c r="CD165" s="438" t="str">
        <f t="shared" si="1397"/>
        <v/>
      </c>
      <c r="CE165" s="422">
        <v>35</v>
      </c>
      <c r="CF165" s="422">
        <v>-464.857142857143</v>
      </c>
      <c r="CG165" s="422">
        <f t="shared" si="1398"/>
        <v>-429.857142857143</v>
      </c>
      <c r="CH165" s="438" t="str">
        <f t="shared" si="1399"/>
        <v/>
      </c>
      <c r="CI165" s="422">
        <v>-50</v>
      </c>
      <c r="CJ165" s="422">
        <v>-251.42857142857099</v>
      </c>
      <c r="CK165" s="422">
        <f t="shared" si="1400"/>
        <v>-301.42857142857099</v>
      </c>
      <c r="CL165" s="438" t="str">
        <f t="shared" si="1401"/>
        <v/>
      </c>
      <c r="CM165" s="422">
        <v>-50</v>
      </c>
      <c r="CN165" s="422"/>
      <c r="CO165" s="422"/>
      <c r="CP165" s="422">
        <f t="shared" si="1402"/>
        <v>-50</v>
      </c>
      <c r="CQ165" s="422">
        <v>2.56896551724149</v>
      </c>
      <c r="CR165" s="422">
        <f t="shared" si="1403"/>
        <v>-47.431034482758513</v>
      </c>
      <c r="CS165" s="438" t="str">
        <f t="shared" si="1404"/>
        <v/>
      </c>
      <c r="CT165" s="422">
        <v>-107.894736842106</v>
      </c>
      <c r="CU165" s="422">
        <v>-531.57894736842195</v>
      </c>
      <c r="CV165" s="422">
        <f t="shared" si="1405"/>
        <v>-639.47368421052795</v>
      </c>
      <c r="CW165" s="438" t="str">
        <f t="shared" si="1406"/>
        <v/>
      </c>
      <c r="CX165" s="422">
        <v>-138.333333333333</v>
      </c>
      <c r="CY165" s="422">
        <v>-480.00000000000102</v>
      </c>
      <c r="CZ165" s="422">
        <f t="shared" si="1407"/>
        <v>-618.33333333333405</v>
      </c>
      <c r="DA165" s="438" t="str">
        <f t="shared" si="1408"/>
        <v/>
      </c>
      <c r="DB165" s="422">
        <f t="shared" ref="DB165:DB169" si="1425">CX165</f>
        <v>-138.333333333333</v>
      </c>
      <c r="DC165" s="422">
        <v>-390</v>
      </c>
      <c r="DD165" s="422">
        <f t="shared" si="1409"/>
        <v>-528.33333333333303</v>
      </c>
      <c r="DE165" s="422" t="str">
        <f t="shared" si="1410"/>
        <v/>
      </c>
      <c r="DF165" s="422">
        <f t="shared" si="1411"/>
        <v>-138.333333333333</v>
      </c>
      <c r="DG165" s="422">
        <v>-480.00000000000102</v>
      </c>
      <c r="DH165" s="422">
        <f t="shared" si="1412"/>
        <v>-618.33333333333405</v>
      </c>
      <c r="DI165" s="422" t="str">
        <f t="shared" si="1413"/>
        <v/>
      </c>
      <c r="DJ165" s="422">
        <f t="shared" ref="DJ165:DJ169" si="1426">DF165</f>
        <v>-138.333333333333</v>
      </c>
      <c r="DK165" s="422">
        <v>18.714285714285602</v>
      </c>
      <c r="DL165" s="422">
        <f t="shared" si="1414"/>
        <v>-119.61904761904739</v>
      </c>
      <c r="DM165" s="422" t="str">
        <f t="shared" si="1415"/>
        <v/>
      </c>
      <c r="DN165" s="422">
        <f t="shared" ref="DN165:DN169" si="1427">DJ165</f>
        <v>-138.333333333333</v>
      </c>
      <c r="DO165" s="422">
        <v>-50.714285714285701</v>
      </c>
      <c r="DP165" s="422">
        <f t="shared" si="1416"/>
        <v>-189.0476190476187</v>
      </c>
      <c r="DQ165" s="438" t="str">
        <f t="shared" si="1417"/>
        <v/>
      </c>
      <c r="DR165" s="422">
        <f t="shared" ref="DR165:DR169" si="1428">DN165</f>
        <v>-138.333333333333</v>
      </c>
      <c r="DS165" s="422">
        <v>-385.142857142857</v>
      </c>
      <c r="DT165" s="422">
        <f t="shared" si="1418"/>
        <v>-523.47619047619003</v>
      </c>
      <c r="DU165" s="438" t="str">
        <f t="shared" si="1419"/>
        <v/>
      </c>
      <c r="DV165" s="422">
        <f t="shared" ref="DV165:DV169" si="1429">DR165</f>
        <v>-138.333333333333</v>
      </c>
      <c r="DW165" s="422">
        <v>35.714285714285701</v>
      </c>
      <c r="DX165" s="422">
        <f t="shared" si="1420"/>
        <v>-102.61904761904731</v>
      </c>
      <c r="DY165" s="438" t="str">
        <f t="shared" si="1421"/>
        <v/>
      </c>
      <c r="DZ165" s="422">
        <f t="shared" si="1422"/>
        <v>-138.333333333333</v>
      </c>
      <c r="EA165" s="422">
        <v>-78</v>
      </c>
      <c r="EB165" s="422">
        <f t="shared" si="1423"/>
        <v>-216.333333333333</v>
      </c>
      <c r="EC165" s="438" t="str">
        <f t="shared" si="1424"/>
        <v/>
      </c>
      <c r="ED165" s="422">
        <f t="shared" si="1187"/>
        <v>-6588.5713853599536</v>
      </c>
      <c r="EE165" s="422">
        <f t="shared" si="1190"/>
        <v>-411.7857115849971</v>
      </c>
      <c r="EF165" s="438" t="str">
        <f t="shared" si="1191"/>
        <v/>
      </c>
      <c r="EG165" s="422" t="str">
        <f t="shared" si="1192"/>
        <v/>
      </c>
      <c r="EH165" s="439">
        <v>1</v>
      </c>
      <c r="EI165" s="422">
        <f t="shared" si="1193"/>
        <v>-6588.5713853599536</v>
      </c>
      <c r="EJ165" s="440">
        <f t="shared" si="1194"/>
        <v>-4.1178571158499713</v>
      </c>
      <c r="EK165" s="438" t="s">
        <v>573</v>
      </c>
      <c r="EL165" s="438" t="s">
        <v>762</v>
      </c>
    </row>
    <row r="166" spans="1:142" ht="30">
      <c r="A166" s="690"/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0"/>
      <c r="N166" s="690"/>
      <c r="O166" s="690"/>
      <c r="P166" s="690"/>
      <c r="Q166" s="690"/>
      <c r="R166" s="690"/>
      <c r="S166" s="690"/>
      <c r="T166" s="690"/>
      <c r="U166" s="690"/>
      <c r="V166" s="690"/>
      <c r="W166" s="690"/>
      <c r="X166" s="690"/>
      <c r="Y166" s="690"/>
      <c r="Z166" s="690"/>
      <c r="AA166" s="420">
        <f t="shared" si="1127"/>
        <v>165</v>
      </c>
      <c r="AB166" s="435" t="s">
        <v>60</v>
      </c>
      <c r="AC166" s="422" t="s">
        <v>394</v>
      </c>
      <c r="AD166" s="422" t="s">
        <v>326</v>
      </c>
      <c r="AE166" s="422">
        <v>37</v>
      </c>
      <c r="AF166" s="422">
        <f>'SSS1 ATTENDANCE '!FJ172</f>
        <v>0</v>
      </c>
      <c r="AG166" s="422">
        <f>'SSS1 ATTENDANCE '!FH172</f>
        <v>0</v>
      </c>
      <c r="AH166" s="422">
        <f>'SSS1 ATTENDANCE '!FI172</f>
        <v>0</v>
      </c>
      <c r="AI166" s="436" t="s">
        <v>738</v>
      </c>
      <c r="AJ166" s="437">
        <v>40900</v>
      </c>
      <c r="AK166" s="435" t="s">
        <v>396</v>
      </c>
      <c r="AL166" s="424">
        <v>25</v>
      </c>
      <c r="AM166" s="422">
        <v>112.53571428571399</v>
      </c>
      <c r="AN166" s="438">
        <v>4</v>
      </c>
      <c r="AO166" s="422" t="str">
        <f t="shared" si="1188"/>
        <v>3</v>
      </c>
      <c r="AP166" s="438">
        <v>5</v>
      </c>
      <c r="AQ166" s="422">
        <v>4</v>
      </c>
      <c r="AR166" s="438">
        <v>4</v>
      </c>
      <c r="AS166" s="438">
        <v>4</v>
      </c>
      <c r="AT166" s="438">
        <v>4</v>
      </c>
      <c r="AU166" s="438">
        <v>3</v>
      </c>
      <c r="AV166" s="438">
        <v>4</v>
      </c>
      <c r="AW166" s="438">
        <v>4</v>
      </c>
      <c r="AX166" s="438">
        <v>3</v>
      </c>
      <c r="AY166" s="438">
        <v>4</v>
      </c>
      <c r="AZ166" s="438">
        <v>3</v>
      </c>
      <c r="BA166" s="438">
        <v>3</v>
      </c>
      <c r="BB166" s="438">
        <v>3</v>
      </c>
      <c r="BC166" s="438">
        <v>4</v>
      </c>
      <c r="BD166" s="438">
        <v>4</v>
      </c>
      <c r="BE166" s="438">
        <v>4</v>
      </c>
      <c r="BF166" s="438">
        <v>3</v>
      </c>
      <c r="BG166" s="438">
        <v>3</v>
      </c>
      <c r="BH166" s="438">
        <v>3</v>
      </c>
      <c r="BI166" s="438">
        <v>5</v>
      </c>
      <c r="BJ166" s="438">
        <v>4</v>
      </c>
      <c r="BK166" s="438">
        <v>3</v>
      </c>
      <c r="BL166" s="438">
        <v>5</v>
      </c>
      <c r="BM166" s="438">
        <v>3</v>
      </c>
      <c r="BN166" s="422" t="s">
        <v>564</v>
      </c>
      <c r="BO166" s="438">
        <v>-50.535714285714299</v>
      </c>
      <c r="BP166" s="438">
        <v>-640.03571428571399</v>
      </c>
      <c r="BQ166" s="422">
        <f t="shared" si="1390"/>
        <v>-690.57142857142833</v>
      </c>
      <c r="BR166" s="438" t="str">
        <f t="shared" si="1391"/>
        <v/>
      </c>
      <c r="BS166" s="422">
        <v>-50.535714285714299</v>
      </c>
      <c r="BT166" s="438">
        <v>-481.53571428571399</v>
      </c>
      <c r="BU166" s="422">
        <f t="shared" si="1392"/>
        <v>-532.07142857142833</v>
      </c>
      <c r="BV166" s="438" t="str">
        <f t="shared" si="1393"/>
        <v/>
      </c>
      <c r="BW166" s="422">
        <v>-50.535714285714299</v>
      </c>
      <c r="BX166" s="422">
        <v>-463.24999999999898</v>
      </c>
      <c r="BY166" s="422">
        <f t="shared" si="1394"/>
        <v>-513.78571428571331</v>
      </c>
      <c r="BZ166" s="438" t="str">
        <f t="shared" si="1395"/>
        <v/>
      </c>
      <c r="CA166" s="422">
        <v>-50.535714285714299</v>
      </c>
      <c r="CB166" s="422">
        <v>-483.21428571428601</v>
      </c>
      <c r="CC166" s="422">
        <f t="shared" si="1396"/>
        <v>-533.75000000000034</v>
      </c>
      <c r="CD166" s="438" t="str">
        <f t="shared" si="1397"/>
        <v/>
      </c>
      <c r="CE166" s="422">
        <v>35</v>
      </c>
      <c r="CF166" s="422">
        <v>-468</v>
      </c>
      <c r="CG166" s="422">
        <f t="shared" si="1398"/>
        <v>-433</v>
      </c>
      <c r="CH166" s="438" t="str">
        <f t="shared" si="1399"/>
        <v/>
      </c>
      <c r="CI166" s="422">
        <v>-50.535714285714299</v>
      </c>
      <c r="CJ166" s="422">
        <v>-253.25</v>
      </c>
      <c r="CK166" s="422">
        <f t="shared" si="1400"/>
        <v>-303.78571428571428</v>
      </c>
      <c r="CL166" s="438" t="str">
        <f t="shared" si="1401"/>
        <v/>
      </c>
      <c r="CM166" s="422">
        <v>-50.535714285714299</v>
      </c>
      <c r="CN166" s="422"/>
      <c r="CO166" s="422"/>
      <c r="CP166" s="422"/>
      <c r="CQ166" s="422">
        <v>2.2844827586208001</v>
      </c>
      <c r="CR166" s="422">
        <f t="shared" si="1403"/>
        <v>2.2844827586208001</v>
      </c>
      <c r="CS166" s="438" t="str">
        <f t="shared" si="1404"/>
        <v>F9</v>
      </c>
      <c r="CT166" s="422">
        <v>-108.947368421053</v>
      </c>
      <c r="CU166" s="422">
        <v>-535.78947368421098</v>
      </c>
      <c r="CV166" s="422">
        <f t="shared" si="1405"/>
        <v>-644.73684210526403</v>
      </c>
      <c r="CW166" s="438" t="str">
        <f t="shared" si="1406"/>
        <v/>
      </c>
      <c r="CX166" s="422">
        <f t="shared" ref="CX166" si="1430">CT166</f>
        <v>-108.947368421053</v>
      </c>
      <c r="CY166" s="422">
        <v>-483.21428571428601</v>
      </c>
      <c r="CZ166" s="422">
        <f t="shared" si="1407"/>
        <v>-592.16165413533895</v>
      </c>
      <c r="DA166" s="438" t="str">
        <f t="shared" si="1408"/>
        <v/>
      </c>
      <c r="DB166" s="422">
        <f t="shared" si="1425"/>
        <v>-108.947368421053</v>
      </c>
      <c r="DC166" s="422">
        <v>-392.67857142857099</v>
      </c>
      <c r="DD166" s="422">
        <f t="shared" si="1409"/>
        <v>-501.62593984962399</v>
      </c>
      <c r="DE166" s="422" t="str">
        <f t="shared" si="1410"/>
        <v/>
      </c>
      <c r="DF166" s="422">
        <f t="shared" si="1411"/>
        <v>-108.947368421053</v>
      </c>
      <c r="DG166" s="422">
        <v>-483.21428571428601</v>
      </c>
      <c r="DH166" s="422">
        <f t="shared" si="1412"/>
        <v>-592.16165413533895</v>
      </c>
      <c r="DI166" s="422" t="str">
        <f t="shared" si="1413"/>
        <v/>
      </c>
      <c r="DJ166" s="422">
        <f t="shared" si="1426"/>
        <v>-108.947368421053</v>
      </c>
      <c r="DK166" s="422">
        <v>18.535714285714199</v>
      </c>
      <c r="DL166" s="422">
        <f t="shared" si="1414"/>
        <v>-90.411654135338807</v>
      </c>
      <c r="DM166" s="422" t="str">
        <f t="shared" si="1415"/>
        <v/>
      </c>
      <c r="DN166" s="422">
        <f t="shared" si="1427"/>
        <v>-108.947368421053</v>
      </c>
      <c r="DO166" s="422">
        <v>-51.321428571428598</v>
      </c>
      <c r="DP166" s="422">
        <f t="shared" si="1416"/>
        <v>-160.26879699248161</v>
      </c>
      <c r="DQ166" s="438" t="str">
        <f t="shared" si="1417"/>
        <v/>
      </c>
      <c r="DR166" s="422">
        <f t="shared" si="1428"/>
        <v>-108.947368421053</v>
      </c>
      <c r="DS166" s="422">
        <v>-387.75</v>
      </c>
      <c r="DT166" s="422">
        <f t="shared" si="1418"/>
        <v>-496.697368421053</v>
      </c>
      <c r="DU166" s="438" t="str">
        <f t="shared" si="1419"/>
        <v/>
      </c>
      <c r="DV166" s="422">
        <f t="shared" si="1429"/>
        <v>-108.947368421053</v>
      </c>
      <c r="DW166" s="422">
        <v>35.642857142857103</v>
      </c>
      <c r="DX166" s="422">
        <f t="shared" si="1420"/>
        <v>-73.304511278195889</v>
      </c>
      <c r="DY166" s="438" t="str">
        <f t="shared" si="1421"/>
        <v/>
      </c>
      <c r="DZ166" s="422">
        <f t="shared" si="1422"/>
        <v>-108.947368421053</v>
      </c>
      <c r="EA166" s="422">
        <v>-78.75</v>
      </c>
      <c r="EB166" s="422">
        <f t="shared" si="1423"/>
        <v>-187.697368421053</v>
      </c>
      <c r="EC166" s="438" t="str">
        <f t="shared" si="1424"/>
        <v/>
      </c>
      <c r="ED166" s="422">
        <f t="shared" si="1187"/>
        <v>-6343.7455924293517</v>
      </c>
      <c r="EE166" s="422">
        <f t="shared" si="1190"/>
        <v>-396.48409952683448</v>
      </c>
      <c r="EF166" s="438" t="str">
        <f t="shared" si="1191"/>
        <v/>
      </c>
      <c r="EG166" s="422" t="str">
        <f t="shared" si="1192"/>
        <v/>
      </c>
      <c r="EH166" s="439">
        <v>1</v>
      </c>
      <c r="EI166" s="422">
        <f t="shared" si="1193"/>
        <v>-6343.7455924293517</v>
      </c>
      <c r="EJ166" s="440">
        <f t="shared" si="1194"/>
        <v>-3.9648409952683448</v>
      </c>
      <c r="EK166" s="438" t="s">
        <v>573</v>
      </c>
      <c r="EL166" s="438" t="s">
        <v>762</v>
      </c>
    </row>
    <row r="167" spans="1:142" ht="30">
      <c r="A167" s="690"/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0"/>
      <c r="N167" s="690"/>
      <c r="O167" s="690"/>
      <c r="P167" s="690"/>
      <c r="Q167" s="690"/>
      <c r="R167" s="690"/>
      <c r="S167" s="690"/>
      <c r="T167" s="690"/>
      <c r="U167" s="690"/>
      <c r="V167" s="690"/>
      <c r="W167" s="690"/>
      <c r="X167" s="690"/>
      <c r="Y167" s="690"/>
      <c r="Z167" s="690"/>
      <c r="AA167" s="420">
        <f t="shared" si="1127"/>
        <v>166</v>
      </c>
      <c r="AB167" s="435" t="s">
        <v>61</v>
      </c>
      <c r="AC167" s="422" t="s">
        <v>394</v>
      </c>
      <c r="AD167" s="422" t="s">
        <v>326</v>
      </c>
      <c r="AE167" s="422">
        <v>37.142857142857203</v>
      </c>
      <c r="AF167" s="422">
        <f>'SSS1 ATTENDANCE '!FJ173</f>
        <v>0</v>
      </c>
      <c r="AG167" s="422">
        <f>'SSS1 ATTENDANCE '!FH173</f>
        <v>0</v>
      </c>
      <c r="AH167" s="422">
        <f>'SSS1 ATTENDANCE '!FI173</f>
        <v>0</v>
      </c>
      <c r="AI167" s="436" t="s">
        <v>739</v>
      </c>
      <c r="AJ167" s="437">
        <v>40368</v>
      </c>
      <c r="AK167" s="435" t="s">
        <v>396</v>
      </c>
      <c r="AL167" s="424">
        <v>25</v>
      </c>
      <c r="AM167" s="422">
        <v>113.071428571429</v>
      </c>
      <c r="AN167" s="438">
        <v>4</v>
      </c>
      <c r="AO167" s="422" t="str">
        <f t="shared" si="1188"/>
        <v>3</v>
      </c>
      <c r="AP167" s="438">
        <v>5</v>
      </c>
      <c r="AQ167" s="422">
        <v>4</v>
      </c>
      <c r="AR167" s="438">
        <v>4</v>
      </c>
      <c r="AS167" s="438">
        <v>4</v>
      </c>
      <c r="AT167" s="438">
        <v>4</v>
      </c>
      <c r="AU167" s="438">
        <v>3</v>
      </c>
      <c r="AV167" s="438">
        <v>4</v>
      </c>
      <c r="AW167" s="438">
        <v>4</v>
      </c>
      <c r="AX167" s="438">
        <v>3</v>
      </c>
      <c r="AY167" s="438">
        <v>4</v>
      </c>
      <c r="AZ167" s="438">
        <v>3</v>
      </c>
      <c r="BA167" s="438">
        <v>3</v>
      </c>
      <c r="BB167" s="438">
        <v>3</v>
      </c>
      <c r="BC167" s="438">
        <v>4</v>
      </c>
      <c r="BD167" s="438">
        <v>4</v>
      </c>
      <c r="BE167" s="438">
        <v>4</v>
      </c>
      <c r="BF167" s="438">
        <v>3</v>
      </c>
      <c r="BG167" s="438">
        <v>3</v>
      </c>
      <c r="BH167" s="438">
        <v>3</v>
      </c>
      <c r="BI167" s="438">
        <v>5</v>
      </c>
      <c r="BJ167" s="438">
        <v>4</v>
      </c>
      <c r="BK167" s="438">
        <v>3</v>
      </c>
      <c r="BL167" s="438">
        <v>5</v>
      </c>
      <c r="BM167" s="438">
        <v>3</v>
      </c>
      <c r="BN167" s="422" t="s">
        <v>565</v>
      </c>
      <c r="BO167" s="438">
        <v>-51.071428571428498</v>
      </c>
      <c r="BP167" s="438">
        <v>-644.21428571428498</v>
      </c>
      <c r="BQ167" s="422">
        <f t="shared" si="1390"/>
        <v>-695.28571428571354</v>
      </c>
      <c r="BR167" s="438" t="str">
        <f t="shared" si="1391"/>
        <v/>
      </c>
      <c r="BS167" s="422">
        <v>-51.071428571428498</v>
      </c>
      <c r="BT167" s="438">
        <v>-484.78571428571399</v>
      </c>
      <c r="BU167" s="422">
        <f t="shared" si="1392"/>
        <v>-535.85714285714243</v>
      </c>
      <c r="BV167" s="438" t="str">
        <f t="shared" si="1393"/>
        <v/>
      </c>
      <c r="BW167" s="422">
        <v>-51.071428571428498</v>
      </c>
      <c r="BX167" s="422">
        <v>-466.35714285714198</v>
      </c>
      <c r="BY167" s="422">
        <f t="shared" si="1394"/>
        <v>-517.42857142857042</v>
      </c>
      <c r="BZ167" s="438" t="str">
        <f t="shared" si="1395"/>
        <v/>
      </c>
      <c r="CA167" s="422">
        <v>-51.071428571428498</v>
      </c>
      <c r="CB167" s="422">
        <v>-486.42857142857201</v>
      </c>
      <c r="CC167" s="422">
        <f t="shared" si="1396"/>
        <v>-537.50000000000045</v>
      </c>
      <c r="CD167" s="438" t="str">
        <f t="shared" si="1397"/>
        <v/>
      </c>
      <c r="CE167" s="422">
        <v>35</v>
      </c>
      <c r="CF167" s="422">
        <v>-471.14285714285802</v>
      </c>
      <c r="CG167" s="422">
        <f t="shared" si="1398"/>
        <v>-436.14285714285802</v>
      </c>
      <c r="CH167" s="438" t="str">
        <f t="shared" si="1399"/>
        <v/>
      </c>
      <c r="CI167" s="422">
        <v>-51.071428571428498</v>
      </c>
      <c r="CJ167" s="422">
        <v>-255.07142857142799</v>
      </c>
      <c r="CK167" s="422">
        <f t="shared" si="1400"/>
        <v>-306.14285714285649</v>
      </c>
      <c r="CL167" s="438" t="str">
        <f t="shared" si="1401"/>
        <v/>
      </c>
      <c r="CM167" s="422">
        <v>-51.071428571428498</v>
      </c>
      <c r="CN167" s="422"/>
      <c r="CO167" s="422"/>
      <c r="CP167" s="422">
        <f t="shared" ref="CP167" si="1431">CM167</f>
        <v>-51.071428571428498</v>
      </c>
      <c r="CQ167" s="422">
        <v>2.0000000000001901</v>
      </c>
      <c r="CR167" s="422">
        <f t="shared" si="1403"/>
        <v>-49.071428571428306</v>
      </c>
      <c r="CS167" s="438" t="str">
        <f t="shared" si="1404"/>
        <v/>
      </c>
      <c r="CT167" s="422">
        <v>-110</v>
      </c>
      <c r="CU167" s="422">
        <v>-540.00000000000102</v>
      </c>
      <c r="CV167" s="422">
        <f t="shared" si="1405"/>
        <v>-650.00000000000102</v>
      </c>
      <c r="CW167" s="438" t="str">
        <f t="shared" si="1406"/>
        <v/>
      </c>
      <c r="CX167" s="422">
        <v>35</v>
      </c>
      <c r="CY167" s="422">
        <v>-486.42857142857201</v>
      </c>
      <c r="CZ167" s="422">
        <f t="shared" si="1407"/>
        <v>-451.42857142857201</v>
      </c>
      <c r="DA167" s="438" t="str">
        <f t="shared" si="1408"/>
        <v/>
      </c>
      <c r="DB167" s="422">
        <f t="shared" si="1425"/>
        <v>35</v>
      </c>
      <c r="DC167" s="422">
        <v>-395.357142857143</v>
      </c>
      <c r="DD167" s="422">
        <f t="shared" si="1409"/>
        <v>-360.357142857143</v>
      </c>
      <c r="DE167" s="422" t="str">
        <f t="shared" si="1410"/>
        <v/>
      </c>
      <c r="DF167" s="422">
        <f t="shared" si="1411"/>
        <v>35</v>
      </c>
      <c r="DG167" s="422">
        <v>-486.42857142857201</v>
      </c>
      <c r="DH167" s="422">
        <f t="shared" si="1412"/>
        <v>-451.42857142857201</v>
      </c>
      <c r="DI167" s="422" t="str">
        <f t="shared" si="1413"/>
        <v/>
      </c>
      <c r="DJ167" s="422">
        <f t="shared" si="1426"/>
        <v>35</v>
      </c>
      <c r="DK167" s="422">
        <v>18.357142857142801</v>
      </c>
      <c r="DL167" s="422">
        <f t="shared" si="1414"/>
        <v>53.357142857142804</v>
      </c>
      <c r="DM167" s="422" t="str">
        <f t="shared" si="1415"/>
        <v>C6</v>
      </c>
      <c r="DN167" s="422">
        <f t="shared" si="1427"/>
        <v>35</v>
      </c>
      <c r="DO167" s="422">
        <v>-51.928571428570997</v>
      </c>
      <c r="DP167" s="422">
        <f t="shared" si="1416"/>
        <v>-16.928571428570997</v>
      </c>
      <c r="DQ167" s="438" t="str">
        <f t="shared" si="1417"/>
        <v/>
      </c>
      <c r="DR167" s="422">
        <f t="shared" si="1428"/>
        <v>35</v>
      </c>
      <c r="DS167" s="422">
        <v>-390.35714285714198</v>
      </c>
      <c r="DT167" s="422">
        <f t="shared" si="1418"/>
        <v>-355.35714285714198</v>
      </c>
      <c r="DU167" s="438" t="str">
        <f t="shared" si="1419"/>
        <v/>
      </c>
      <c r="DV167" s="422">
        <f t="shared" si="1429"/>
        <v>35</v>
      </c>
      <c r="DW167" s="422">
        <v>35.571428571428498</v>
      </c>
      <c r="DX167" s="422">
        <f t="shared" si="1420"/>
        <v>70.571428571428498</v>
      </c>
      <c r="DY167" s="438" t="str">
        <f t="shared" si="1421"/>
        <v>B2</v>
      </c>
      <c r="DZ167" s="422">
        <f t="shared" si="1422"/>
        <v>35</v>
      </c>
      <c r="EA167" s="422">
        <v>-79.5</v>
      </c>
      <c r="EB167" s="422">
        <f t="shared" si="1423"/>
        <v>-44.5</v>
      </c>
      <c r="EC167" s="438" t="str">
        <f t="shared" si="1424"/>
        <v/>
      </c>
      <c r="ED167" s="422">
        <f t="shared" si="1187"/>
        <v>-5283.4999999999982</v>
      </c>
      <c r="EE167" s="422">
        <f t="shared" si="1190"/>
        <v>-330.21874999999989</v>
      </c>
      <c r="EF167" s="438" t="str">
        <f t="shared" si="1191"/>
        <v/>
      </c>
      <c r="EG167" s="422" t="str">
        <f t="shared" si="1192"/>
        <v/>
      </c>
      <c r="EH167" s="439">
        <v>1</v>
      </c>
      <c r="EI167" s="422">
        <f t="shared" si="1193"/>
        <v>-5283.4999999999982</v>
      </c>
      <c r="EJ167" s="440">
        <f t="shared" si="1194"/>
        <v>-3.3021874999999987</v>
      </c>
      <c r="EK167" s="438" t="s">
        <v>746</v>
      </c>
      <c r="EL167" s="438" t="s">
        <v>762</v>
      </c>
    </row>
    <row r="168" spans="1:142" ht="30">
      <c r="A168" s="690"/>
      <c r="B168" s="690"/>
      <c r="C168" s="690"/>
      <c r="D168" s="690"/>
      <c r="E168" s="690"/>
      <c r="F168" s="690"/>
      <c r="G168" s="690"/>
      <c r="H168" s="690"/>
      <c r="I168" s="690"/>
      <c r="J168" s="690"/>
      <c r="K168" s="690"/>
      <c r="L168" s="690"/>
      <c r="M168" s="690"/>
      <c r="N168" s="690"/>
      <c r="O168" s="690"/>
      <c r="P168" s="690"/>
      <c r="Q168" s="690"/>
      <c r="R168" s="690"/>
      <c r="S168" s="690"/>
      <c r="T168" s="690"/>
      <c r="U168" s="690"/>
      <c r="V168" s="690"/>
      <c r="W168" s="690"/>
      <c r="X168" s="690"/>
      <c r="Y168" s="690"/>
      <c r="Z168" s="690"/>
      <c r="AA168" s="420">
        <f t="shared" si="1127"/>
        <v>167</v>
      </c>
      <c r="AB168" s="435" t="s">
        <v>62</v>
      </c>
      <c r="AC168" s="422" t="s">
        <v>394</v>
      </c>
      <c r="AD168" s="422" t="s">
        <v>326</v>
      </c>
      <c r="AE168" s="422">
        <v>37.285714285714299</v>
      </c>
      <c r="AF168" s="422">
        <f>'SSS1 ATTENDANCE '!FJ174</f>
        <v>0</v>
      </c>
      <c r="AG168" s="422">
        <f>'SSS1 ATTENDANCE '!FH174</f>
        <v>0</v>
      </c>
      <c r="AH168" s="422">
        <f>'SSS1 ATTENDANCE '!FI174</f>
        <v>0</v>
      </c>
      <c r="AI168" s="436" t="s">
        <v>740</v>
      </c>
      <c r="AJ168" s="437">
        <v>40852</v>
      </c>
      <c r="AK168" s="435" t="s">
        <v>396</v>
      </c>
      <c r="AL168" s="424">
        <v>25</v>
      </c>
      <c r="AM168" s="422">
        <v>113.607142857143</v>
      </c>
      <c r="AN168" s="438">
        <v>4</v>
      </c>
      <c r="AO168" s="422" t="str">
        <f t="shared" si="1188"/>
        <v>3</v>
      </c>
      <c r="AP168" s="438">
        <v>5</v>
      </c>
      <c r="AQ168" s="422">
        <v>4</v>
      </c>
      <c r="AR168" s="438">
        <v>4</v>
      </c>
      <c r="AS168" s="438">
        <v>4</v>
      </c>
      <c r="AT168" s="438">
        <v>4</v>
      </c>
      <c r="AU168" s="438">
        <v>3</v>
      </c>
      <c r="AV168" s="438">
        <v>4</v>
      </c>
      <c r="AW168" s="438">
        <v>4</v>
      </c>
      <c r="AX168" s="438">
        <v>3</v>
      </c>
      <c r="AY168" s="438">
        <v>4</v>
      </c>
      <c r="AZ168" s="438">
        <v>3</v>
      </c>
      <c r="BA168" s="438">
        <v>3</v>
      </c>
      <c r="BB168" s="438">
        <v>3</v>
      </c>
      <c r="BC168" s="438">
        <v>4</v>
      </c>
      <c r="BD168" s="438">
        <v>4</v>
      </c>
      <c r="BE168" s="438">
        <v>4</v>
      </c>
      <c r="BF168" s="438">
        <v>3</v>
      </c>
      <c r="BG168" s="438">
        <v>3</v>
      </c>
      <c r="BH168" s="438">
        <v>3</v>
      </c>
      <c r="BI168" s="438">
        <v>5</v>
      </c>
      <c r="BJ168" s="438">
        <v>4</v>
      </c>
      <c r="BK168" s="438">
        <v>3</v>
      </c>
      <c r="BL168" s="438">
        <v>5</v>
      </c>
      <c r="BM168" s="438">
        <v>3</v>
      </c>
      <c r="BN168" s="422" t="s">
        <v>566</v>
      </c>
      <c r="BO168" s="438">
        <v>-51.607142857142797</v>
      </c>
      <c r="BP168" s="438">
        <v>-648.392857142857</v>
      </c>
      <c r="BQ168" s="422">
        <f t="shared" si="1390"/>
        <v>-699.99999999999977</v>
      </c>
      <c r="BR168" s="438" t="str">
        <f t="shared" si="1391"/>
        <v/>
      </c>
      <c r="BS168" s="422">
        <v>-51.607142857142797</v>
      </c>
      <c r="BT168" s="438">
        <v>-488.03571428571399</v>
      </c>
      <c r="BU168" s="422">
        <f t="shared" si="1392"/>
        <v>-539.64285714285677</v>
      </c>
      <c r="BV168" s="438" t="str">
        <f t="shared" si="1393"/>
        <v/>
      </c>
      <c r="BW168" s="422">
        <v>-51.607142857142797</v>
      </c>
      <c r="BX168" s="422">
        <v>-469.46428571428498</v>
      </c>
      <c r="BY168" s="422">
        <f t="shared" si="1394"/>
        <v>-521.07142857142776</v>
      </c>
      <c r="BZ168" s="438" t="str">
        <f t="shared" si="1395"/>
        <v/>
      </c>
      <c r="CA168" s="422">
        <v>-51.607142857142797</v>
      </c>
      <c r="CB168" s="422">
        <v>-489.64285714285802</v>
      </c>
      <c r="CC168" s="422">
        <f t="shared" si="1396"/>
        <v>-541.2500000000008</v>
      </c>
      <c r="CD168" s="438" t="str">
        <f t="shared" si="1397"/>
        <v/>
      </c>
      <c r="CE168" s="422">
        <v>35</v>
      </c>
      <c r="CF168" s="422">
        <v>-474.28571428571502</v>
      </c>
      <c r="CG168" s="422">
        <f t="shared" si="1398"/>
        <v>-439.28571428571502</v>
      </c>
      <c r="CH168" s="438" t="str">
        <f t="shared" si="1399"/>
        <v/>
      </c>
      <c r="CI168" s="422">
        <v>-51.607142857142797</v>
      </c>
      <c r="CJ168" s="422">
        <v>-256.892857142857</v>
      </c>
      <c r="CK168" s="422">
        <f t="shared" si="1400"/>
        <v>-308.49999999999977</v>
      </c>
      <c r="CL168" s="438" t="str">
        <f t="shared" si="1401"/>
        <v/>
      </c>
      <c r="CM168" s="422">
        <v>-51.607142857142797</v>
      </c>
      <c r="CN168" s="422"/>
      <c r="CO168" s="422"/>
      <c r="CP168" s="422"/>
      <c r="CQ168" s="422">
        <v>1.7155172413794899</v>
      </c>
      <c r="CR168" s="422">
        <f t="shared" si="1403"/>
        <v>1.7155172413794899</v>
      </c>
      <c r="CS168" s="438" t="str">
        <f t="shared" si="1404"/>
        <v>F9</v>
      </c>
      <c r="CT168" s="422">
        <v>-111.052631578948</v>
      </c>
      <c r="CU168" s="422">
        <v>-544.21052631579005</v>
      </c>
      <c r="CV168" s="422">
        <f t="shared" si="1405"/>
        <v>-655.26315789473801</v>
      </c>
      <c r="CW168" s="438" t="str">
        <f t="shared" si="1406"/>
        <v/>
      </c>
      <c r="CX168" s="422">
        <f t="shared" ref="CX168" si="1432">CT168</f>
        <v>-111.052631578948</v>
      </c>
      <c r="CY168" s="422">
        <v>-489.64285714285802</v>
      </c>
      <c r="CZ168" s="422">
        <f t="shared" si="1407"/>
        <v>-600.69548872180599</v>
      </c>
      <c r="DA168" s="438" t="str">
        <f t="shared" si="1408"/>
        <v/>
      </c>
      <c r="DB168" s="422">
        <f t="shared" si="1425"/>
        <v>-111.052631578948</v>
      </c>
      <c r="DC168" s="422">
        <v>-398.03571428571399</v>
      </c>
      <c r="DD168" s="422">
        <f t="shared" si="1409"/>
        <v>-509.08834586466196</v>
      </c>
      <c r="DE168" s="422" t="str">
        <f t="shared" si="1410"/>
        <v/>
      </c>
      <c r="DF168" s="422">
        <f t="shared" si="1411"/>
        <v>-111.052631578948</v>
      </c>
      <c r="DG168" s="422">
        <v>-489.64285714285802</v>
      </c>
      <c r="DH168" s="422">
        <f t="shared" si="1412"/>
        <v>-600.69548872180599</v>
      </c>
      <c r="DI168" s="422" t="str">
        <f t="shared" si="1413"/>
        <v/>
      </c>
      <c r="DJ168" s="422">
        <f t="shared" si="1426"/>
        <v>-111.052631578948</v>
      </c>
      <c r="DK168" s="422">
        <v>18.178571428571299</v>
      </c>
      <c r="DL168" s="422">
        <f t="shared" si="1414"/>
        <v>-92.874060150376692</v>
      </c>
      <c r="DM168" s="422" t="str">
        <f t="shared" si="1415"/>
        <v/>
      </c>
      <c r="DN168" s="422">
        <f t="shared" si="1427"/>
        <v>-111.052631578948</v>
      </c>
      <c r="DO168" s="422">
        <v>-52.535714285714</v>
      </c>
      <c r="DP168" s="422">
        <f t="shared" si="1416"/>
        <v>-163.58834586466199</v>
      </c>
      <c r="DQ168" s="438" t="str">
        <f t="shared" si="1417"/>
        <v/>
      </c>
      <c r="DR168" s="422">
        <f t="shared" si="1428"/>
        <v>-111.052631578948</v>
      </c>
      <c r="DS168" s="422">
        <v>-392.96428571428498</v>
      </c>
      <c r="DT168" s="422">
        <f t="shared" si="1418"/>
        <v>-504.01691729323295</v>
      </c>
      <c r="DU168" s="438" t="str">
        <f t="shared" si="1419"/>
        <v/>
      </c>
      <c r="DV168" s="422">
        <f t="shared" si="1429"/>
        <v>-111.052631578948</v>
      </c>
      <c r="DW168" s="422">
        <v>35.499999999999901</v>
      </c>
      <c r="DX168" s="422">
        <f t="shared" si="1420"/>
        <v>-75.552631578948095</v>
      </c>
      <c r="DY168" s="438" t="str">
        <f t="shared" si="1421"/>
        <v/>
      </c>
      <c r="DZ168" s="422">
        <f t="shared" si="1422"/>
        <v>-111.052631578948</v>
      </c>
      <c r="EA168" s="422">
        <v>-80.25</v>
      </c>
      <c r="EB168" s="422">
        <f t="shared" si="1423"/>
        <v>-191.302631578948</v>
      </c>
      <c r="EC168" s="438" t="str">
        <f t="shared" si="1424"/>
        <v/>
      </c>
      <c r="ED168" s="422">
        <f t="shared" si="1187"/>
        <v>-6441.1115504278014</v>
      </c>
      <c r="EE168" s="422">
        <f t="shared" si="1190"/>
        <v>-402.56947190173759</v>
      </c>
      <c r="EF168" s="438" t="str">
        <f t="shared" si="1191"/>
        <v/>
      </c>
      <c r="EG168" s="422" t="str">
        <f t="shared" si="1192"/>
        <v/>
      </c>
      <c r="EH168" s="439">
        <v>1</v>
      </c>
      <c r="EI168" s="422">
        <f t="shared" si="1193"/>
        <v>-6441.1115504278014</v>
      </c>
      <c r="EJ168" s="440">
        <f t="shared" si="1194"/>
        <v>-4.025694719017376</v>
      </c>
      <c r="EK168" s="438" t="s">
        <v>747</v>
      </c>
      <c r="EL168" s="438" t="s">
        <v>762</v>
      </c>
    </row>
    <row r="169" spans="1:142" ht="30">
      <c r="A169" s="690"/>
      <c r="B169" s="690"/>
      <c r="C169" s="690"/>
      <c r="D169" s="690"/>
      <c r="E169" s="690"/>
      <c r="F169" s="690"/>
      <c r="G169" s="690"/>
      <c r="H169" s="690"/>
      <c r="I169" s="690"/>
      <c r="J169" s="690"/>
      <c r="K169" s="690"/>
      <c r="L169" s="690"/>
      <c r="M169" s="690"/>
      <c r="N169" s="690"/>
      <c r="O169" s="690"/>
      <c r="P169" s="690"/>
      <c r="Q169" s="690"/>
      <c r="R169" s="690"/>
      <c r="S169" s="690"/>
      <c r="T169" s="690"/>
      <c r="U169" s="690"/>
      <c r="V169" s="690"/>
      <c r="W169" s="690"/>
      <c r="X169" s="690"/>
      <c r="Y169" s="690"/>
      <c r="Z169" s="690"/>
      <c r="AA169" s="420">
        <f t="shared" si="1127"/>
        <v>168</v>
      </c>
      <c r="AB169" s="435" t="s">
        <v>63</v>
      </c>
      <c r="AC169" s="422" t="s">
        <v>394</v>
      </c>
      <c r="AD169" s="422" t="s">
        <v>326</v>
      </c>
      <c r="AE169" s="422">
        <v>37.428571428571502</v>
      </c>
      <c r="AF169" s="422">
        <f>'SSS1 ATTENDANCE '!FJ175</f>
        <v>0</v>
      </c>
      <c r="AG169" s="422">
        <f>'SSS1 ATTENDANCE '!FH175</f>
        <v>0</v>
      </c>
      <c r="AH169" s="422">
        <f>'SSS1 ATTENDANCE '!FI175</f>
        <v>0</v>
      </c>
      <c r="AI169" s="436" t="s">
        <v>741</v>
      </c>
      <c r="AJ169" s="437">
        <v>40881</v>
      </c>
      <c r="AK169" s="435" t="s">
        <v>396</v>
      </c>
      <c r="AL169" s="424">
        <v>25</v>
      </c>
      <c r="AM169" s="422">
        <v>114.142857142857</v>
      </c>
      <c r="AN169" s="438">
        <v>4</v>
      </c>
      <c r="AO169" s="422" t="str">
        <f t="shared" si="1188"/>
        <v>3</v>
      </c>
      <c r="AP169" s="438">
        <v>5</v>
      </c>
      <c r="AQ169" s="422">
        <v>4</v>
      </c>
      <c r="AR169" s="438">
        <v>4</v>
      </c>
      <c r="AS169" s="438">
        <v>4</v>
      </c>
      <c r="AT169" s="438">
        <v>4</v>
      </c>
      <c r="AU169" s="438">
        <v>3</v>
      </c>
      <c r="AV169" s="438">
        <v>4</v>
      </c>
      <c r="AW169" s="438">
        <v>4</v>
      </c>
      <c r="AX169" s="438">
        <v>3</v>
      </c>
      <c r="AY169" s="438">
        <v>4</v>
      </c>
      <c r="AZ169" s="438">
        <v>3</v>
      </c>
      <c r="BA169" s="438">
        <v>3</v>
      </c>
      <c r="BB169" s="438">
        <v>3</v>
      </c>
      <c r="BC169" s="438">
        <v>4</v>
      </c>
      <c r="BD169" s="438">
        <v>4</v>
      </c>
      <c r="BE169" s="438">
        <v>4</v>
      </c>
      <c r="BF169" s="438">
        <v>3</v>
      </c>
      <c r="BG169" s="438">
        <v>3</v>
      </c>
      <c r="BH169" s="438">
        <v>3</v>
      </c>
      <c r="BI169" s="438">
        <v>5</v>
      </c>
      <c r="BJ169" s="438">
        <v>4</v>
      </c>
      <c r="BK169" s="438">
        <v>3</v>
      </c>
      <c r="BL169" s="438">
        <v>5</v>
      </c>
      <c r="BM169" s="438">
        <v>3</v>
      </c>
      <c r="BN169" s="422" t="s">
        <v>567</v>
      </c>
      <c r="BO169" s="438">
        <v>-52.142857142857103</v>
      </c>
      <c r="BP169" s="438">
        <v>-652.57142857142799</v>
      </c>
      <c r="BQ169" s="422">
        <f t="shared" si="1390"/>
        <v>-704.7142857142851</v>
      </c>
      <c r="BR169" s="438" t="str">
        <f t="shared" si="1391"/>
        <v/>
      </c>
      <c r="BS169" s="422">
        <v>-52.142857142857103</v>
      </c>
      <c r="BT169" s="438">
        <v>-491.28571428571399</v>
      </c>
      <c r="BU169" s="422">
        <f t="shared" si="1392"/>
        <v>-543.4285714285711</v>
      </c>
      <c r="BV169" s="438" t="str">
        <f t="shared" si="1393"/>
        <v/>
      </c>
      <c r="BW169" s="422">
        <v>-52.142857142857103</v>
      </c>
      <c r="BX169" s="422">
        <v>-472.57142857142799</v>
      </c>
      <c r="BY169" s="422">
        <f t="shared" si="1394"/>
        <v>-524.7142857142851</v>
      </c>
      <c r="BZ169" s="438" t="str">
        <f t="shared" si="1395"/>
        <v/>
      </c>
      <c r="CA169" s="422">
        <v>-52.142857142857103</v>
      </c>
      <c r="CB169" s="422">
        <v>-492.857142857143</v>
      </c>
      <c r="CC169" s="422">
        <f t="shared" si="1396"/>
        <v>-545.00000000000011</v>
      </c>
      <c r="CD169" s="438" t="str">
        <f t="shared" si="1397"/>
        <v/>
      </c>
      <c r="CE169" s="422">
        <v>35</v>
      </c>
      <c r="CF169" s="422">
        <v>-477.42857142857201</v>
      </c>
      <c r="CG169" s="422">
        <f t="shared" si="1398"/>
        <v>-442.42857142857201</v>
      </c>
      <c r="CH169" s="438" t="str">
        <f t="shared" si="1399"/>
        <v/>
      </c>
      <c r="CI169" s="422">
        <v>-52.142857142857103</v>
      </c>
      <c r="CJ169" s="422">
        <v>-258.71428571428601</v>
      </c>
      <c r="CK169" s="422">
        <f t="shared" si="1400"/>
        <v>-310.85714285714312</v>
      </c>
      <c r="CL169" s="438" t="str">
        <f t="shared" si="1401"/>
        <v/>
      </c>
      <c r="CM169" s="422">
        <v>-52.142857142857103</v>
      </c>
      <c r="CN169" s="422"/>
      <c r="CO169" s="422"/>
      <c r="CP169" s="422">
        <f t="shared" ref="CP169" si="1433">CM169</f>
        <v>-52.142857142857103</v>
      </c>
      <c r="CQ169" s="422">
        <v>1.4310344827588</v>
      </c>
      <c r="CR169" s="422">
        <f t="shared" si="1403"/>
        <v>-50.711822660098306</v>
      </c>
      <c r="CS169" s="438" t="str">
        <f t="shared" si="1404"/>
        <v/>
      </c>
      <c r="CT169" s="422"/>
      <c r="CU169" s="422"/>
      <c r="CV169" s="422">
        <f t="shared" si="1405"/>
        <v>0</v>
      </c>
      <c r="CW169" s="438" t="str">
        <f t="shared" si="1406"/>
        <v/>
      </c>
      <c r="CX169" s="422">
        <v>35</v>
      </c>
      <c r="CY169" s="422">
        <v>-492.857142857143</v>
      </c>
      <c r="CZ169" s="422">
        <f t="shared" si="1407"/>
        <v>-457.857142857143</v>
      </c>
      <c r="DA169" s="438" t="str">
        <f t="shared" si="1408"/>
        <v/>
      </c>
      <c r="DB169" s="422">
        <f t="shared" si="1425"/>
        <v>35</v>
      </c>
      <c r="DC169" s="422">
        <v>-400.71428571428601</v>
      </c>
      <c r="DD169" s="422">
        <f t="shared" si="1409"/>
        <v>-365.71428571428601</v>
      </c>
      <c r="DE169" s="422" t="str">
        <f t="shared" si="1410"/>
        <v/>
      </c>
      <c r="DF169" s="422">
        <f t="shared" si="1411"/>
        <v>35</v>
      </c>
      <c r="DG169" s="422">
        <v>-492.857142857143</v>
      </c>
      <c r="DH169" s="422">
        <f t="shared" si="1412"/>
        <v>-457.857142857143</v>
      </c>
      <c r="DI169" s="422" t="str">
        <f t="shared" si="1413"/>
        <v/>
      </c>
      <c r="DJ169" s="422">
        <f t="shared" si="1426"/>
        <v>35</v>
      </c>
      <c r="DK169" s="422">
        <v>17.999999999999901</v>
      </c>
      <c r="DL169" s="422">
        <f t="shared" si="1414"/>
        <v>52.999999999999901</v>
      </c>
      <c r="DM169" s="422" t="str">
        <f t="shared" si="1415"/>
        <v>C6</v>
      </c>
      <c r="DN169" s="422">
        <f t="shared" si="1427"/>
        <v>35</v>
      </c>
      <c r="DO169" s="422">
        <v>-53.142857142856997</v>
      </c>
      <c r="DP169" s="422">
        <f t="shared" si="1416"/>
        <v>-18.142857142856997</v>
      </c>
      <c r="DQ169" s="438" t="str">
        <f t="shared" si="1417"/>
        <v/>
      </c>
      <c r="DR169" s="422">
        <f t="shared" si="1428"/>
        <v>35</v>
      </c>
      <c r="DS169" s="422">
        <v>-395.57142857142799</v>
      </c>
      <c r="DT169" s="422">
        <f t="shared" si="1418"/>
        <v>-360.57142857142799</v>
      </c>
      <c r="DU169" s="438" t="str">
        <f t="shared" si="1419"/>
        <v/>
      </c>
      <c r="DV169" s="422">
        <f t="shared" si="1429"/>
        <v>35</v>
      </c>
      <c r="DW169" s="422">
        <v>35.428571428571402</v>
      </c>
      <c r="DX169" s="422">
        <f t="shared" si="1420"/>
        <v>70.428571428571402</v>
      </c>
      <c r="DY169" s="438" t="str">
        <f t="shared" si="1421"/>
        <v>B2</v>
      </c>
      <c r="DZ169" s="422">
        <f t="shared" si="1422"/>
        <v>35</v>
      </c>
      <c r="EA169" s="422">
        <v>-81</v>
      </c>
      <c r="EB169" s="422">
        <f t="shared" si="1423"/>
        <v>-46</v>
      </c>
      <c r="EC169" s="438" t="str">
        <f t="shared" si="1424"/>
        <v/>
      </c>
      <c r="ED169" s="422">
        <f t="shared" si="1187"/>
        <v>-4704.56896551724</v>
      </c>
      <c r="EE169" s="422">
        <f t="shared" si="1190"/>
        <v>-294.0355603448275</v>
      </c>
      <c r="EF169" s="438" t="str">
        <f t="shared" si="1191"/>
        <v/>
      </c>
      <c r="EG169" s="422" t="str">
        <f t="shared" si="1192"/>
        <v/>
      </c>
      <c r="EH169" s="439">
        <v>1</v>
      </c>
      <c r="EI169" s="422">
        <f t="shared" si="1193"/>
        <v>-4704.56896551724</v>
      </c>
      <c r="EJ169" s="440">
        <f t="shared" si="1194"/>
        <v>-2.9403556034482752</v>
      </c>
      <c r="EK169" s="438" t="s">
        <v>573</v>
      </c>
      <c r="EL169" s="438" t="s">
        <v>762</v>
      </c>
    </row>
    <row r="170" spans="1:142" ht="30">
      <c r="A170" s="690"/>
      <c r="B170" s="690"/>
      <c r="C170" s="690"/>
      <c r="D170" s="690"/>
      <c r="E170" s="690"/>
      <c r="F170" s="690"/>
      <c r="G170" s="690"/>
      <c r="H170" s="690"/>
      <c r="I170" s="690"/>
      <c r="J170" s="690"/>
      <c r="K170" s="690"/>
      <c r="L170" s="690"/>
      <c r="M170" s="690"/>
      <c r="N170" s="690"/>
      <c r="O170" s="690"/>
      <c r="P170" s="690"/>
      <c r="Q170" s="690"/>
      <c r="R170" s="690"/>
      <c r="S170" s="690"/>
      <c r="T170" s="690"/>
      <c r="U170" s="690"/>
      <c r="V170" s="690"/>
      <c r="W170" s="690"/>
      <c r="X170" s="690"/>
      <c r="Y170" s="690"/>
      <c r="Z170" s="690"/>
      <c r="AA170" s="420">
        <f t="shared" si="1127"/>
        <v>169</v>
      </c>
      <c r="AB170" s="435" t="s">
        <v>57</v>
      </c>
      <c r="AC170" s="422" t="s">
        <v>394</v>
      </c>
      <c r="AD170" s="422" t="s">
        <v>326</v>
      </c>
      <c r="AE170" s="422">
        <v>37.571428571428598</v>
      </c>
      <c r="AF170" s="422">
        <f>'SSS1 ATTENDANCE '!FJ176</f>
        <v>0</v>
      </c>
      <c r="AG170" s="422">
        <f>'SSS1 ATTENDANCE '!FH176</f>
        <v>0</v>
      </c>
      <c r="AH170" s="422">
        <f>'SSS1 ATTENDANCE '!FI176</f>
        <v>0</v>
      </c>
      <c r="AI170" s="436" t="s">
        <v>742</v>
      </c>
      <c r="AJ170" s="437">
        <v>41122</v>
      </c>
      <c r="AK170" s="435" t="s">
        <v>396</v>
      </c>
      <c r="AL170" s="424">
        <v>25</v>
      </c>
      <c r="AM170" s="422">
        <v>114.678571428571</v>
      </c>
      <c r="AN170" s="438">
        <v>4</v>
      </c>
      <c r="AO170" s="422" t="str">
        <f t="shared" si="1188"/>
        <v>3</v>
      </c>
      <c r="AP170" s="438">
        <v>5</v>
      </c>
      <c r="AQ170" s="422">
        <v>4</v>
      </c>
      <c r="AR170" s="438">
        <v>4</v>
      </c>
      <c r="AS170" s="438">
        <v>4</v>
      </c>
      <c r="AT170" s="438">
        <v>4</v>
      </c>
      <c r="AU170" s="438">
        <v>3</v>
      </c>
      <c r="AV170" s="438">
        <v>4</v>
      </c>
      <c r="AW170" s="438">
        <v>4</v>
      </c>
      <c r="AX170" s="438">
        <v>3</v>
      </c>
      <c r="AY170" s="438">
        <v>4</v>
      </c>
      <c r="AZ170" s="438">
        <v>3</v>
      </c>
      <c r="BA170" s="438">
        <v>3</v>
      </c>
      <c r="BB170" s="438">
        <v>3</v>
      </c>
      <c r="BC170" s="438">
        <v>4</v>
      </c>
      <c r="BD170" s="438">
        <v>4</v>
      </c>
      <c r="BE170" s="438">
        <v>4</v>
      </c>
      <c r="BF170" s="438">
        <v>3</v>
      </c>
      <c r="BG170" s="438">
        <v>3</v>
      </c>
      <c r="BH170" s="438">
        <v>3</v>
      </c>
      <c r="BI170" s="438">
        <v>5</v>
      </c>
      <c r="BJ170" s="438">
        <v>4</v>
      </c>
      <c r="BK170" s="438">
        <v>3</v>
      </c>
      <c r="BL170" s="438">
        <v>5</v>
      </c>
      <c r="BM170" s="438">
        <v>3</v>
      </c>
      <c r="BN170" s="422" t="s">
        <v>568</v>
      </c>
      <c r="BO170" s="422">
        <v>-52.678571428571402</v>
      </c>
      <c r="BP170" s="422">
        <v>-656.75</v>
      </c>
      <c r="BQ170" s="422">
        <v>100</v>
      </c>
      <c r="BR170" s="438" t="s">
        <v>749</v>
      </c>
      <c r="BS170" s="422">
        <v>-52.678571428571402</v>
      </c>
      <c r="BT170" s="422">
        <v>-494.53571428571399</v>
      </c>
      <c r="BU170" s="422">
        <v>100</v>
      </c>
      <c r="BV170" s="438" t="s">
        <v>749</v>
      </c>
      <c r="BW170" s="422">
        <v>-52.678571428571402</v>
      </c>
      <c r="BX170" s="422">
        <v>-475.67857142857099</v>
      </c>
      <c r="BY170" s="422">
        <v>100</v>
      </c>
      <c r="BZ170" s="422" t="str">
        <f t="shared" ref="BZ170" si="1434">BV170</f>
        <v>Grades</v>
      </c>
      <c r="CA170" s="422">
        <v>-52.678571428571402</v>
      </c>
      <c r="CB170" s="422">
        <v>-496.07142857142901</v>
      </c>
      <c r="CC170" s="422">
        <v>100</v>
      </c>
      <c r="CD170" s="422" t="str">
        <f t="shared" ref="CD170" si="1435">BZ170</f>
        <v>Grades</v>
      </c>
      <c r="CE170" s="422">
        <f t="shared" ref="CE170" si="1436">CA170</f>
        <v>-52.678571428571402</v>
      </c>
      <c r="CF170" s="422">
        <v>-480.57142857142901</v>
      </c>
      <c r="CG170" s="422">
        <v>100</v>
      </c>
      <c r="CH170" s="422" t="str">
        <f t="shared" ref="CH170" si="1437">CD170</f>
        <v>Grades</v>
      </c>
      <c r="CI170" s="422">
        <v>-52.678571428571402</v>
      </c>
      <c r="CJ170" s="422">
        <v>-260.53571428571399</v>
      </c>
      <c r="CK170" s="422">
        <v>100</v>
      </c>
      <c r="CL170" s="422" t="str">
        <f t="shared" ref="CL170" si="1438">CH170</f>
        <v>Grades</v>
      </c>
      <c r="CM170" s="422">
        <v>-52.678571428571402</v>
      </c>
      <c r="CN170" s="422">
        <v>60</v>
      </c>
      <c r="CO170" s="422"/>
      <c r="CP170" s="422">
        <v>40</v>
      </c>
      <c r="CQ170" s="422">
        <v>1.14655172413809</v>
      </c>
      <c r="CR170" s="422">
        <v>100</v>
      </c>
      <c r="CS170" s="438" t="str">
        <f t="shared" ref="CS170" si="1439">CL170</f>
        <v>Grades</v>
      </c>
      <c r="CT170" s="422">
        <v>-112.105263157895</v>
      </c>
      <c r="CU170" s="422">
        <v>-548.42105263157998</v>
      </c>
      <c r="CV170" s="422">
        <v>100</v>
      </c>
      <c r="CW170" s="438" t="str">
        <f t="shared" ref="CW170" si="1440">CS170</f>
        <v>Grades</v>
      </c>
      <c r="CX170" s="422">
        <v>-140.833333333333</v>
      </c>
      <c r="CY170" s="422">
        <v>-496.07142857142901</v>
      </c>
      <c r="CZ170" s="422">
        <v>100</v>
      </c>
      <c r="DA170" s="438" t="str">
        <f t="shared" ref="DA170" si="1441">CW170</f>
        <v>Grades</v>
      </c>
      <c r="DB170" s="422">
        <v>-440</v>
      </c>
      <c r="DC170" s="422">
        <v>-403.392857142857</v>
      </c>
      <c r="DD170" s="422">
        <v>100</v>
      </c>
      <c r="DE170" s="422" t="str">
        <f t="shared" ref="DE170" si="1442">DA170</f>
        <v>Grades</v>
      </c>
      <c r="DF170" s="422">
        <v>40</v>
      </c>
      <c r="DG170" s="422">
        <v>-496.07142857142901</v>
      </c>
      <c r="DH170" s="422">
        <v>100</v>
      </c>
      <c r="DI170" s="422" t="str">
        <f t="shared" ref="DI170" si="1443">DE170</f>
        <v>Grades</v>
      </c>
      <c r="DJ170" s="422">
        <v>-200</v>
      </c>
      <c r="DK170" s="422">
        <v>17.821428571428498</v>
      </c>
      <c r="DL170" s="422">
        <v>100</v>
      </c>
      <c r="DM170" s="422" t="str">
        <f t="shared" ref="DM170" si="1444">DI170</f>
        <v>Grades</v>
      </c>
      <c r="DN170" s="422">
        <v>-200</v>
      </c>
      <c r="DO170" s="422">
        <v>-53.75</v>
      </c>
      <c r="DP170" s="422">
        <v>100</v>
      </c>
      <c r="DQ170" s="438" t="str">
        <f t="shared" ref="DQ170" si="1445">DM170</f>
        <v>Grades</v>
      </c>
      <c r="DR170" s="422">
        <v>-680</v>
      </c>
      <c r="DS170" s="422">
        <v>-398.17857142857099</v>
      </c>
      <c r="DT170" s="422">
        <v>100</v>
      </c>
      <c r="DU170" s="438" t="str">
        <f t="shared" ref="DU170" si="1446">DQ170</f>
        <v>Grades</v>
      </c>
      <c r="DV170" s="422">
        <v>-200</v>
      </c>
      <c r="DW170" s="422">
        <v>35.357142857142797</v>
      </c>
      <c r="DX170" s="422">
        <v>100</v>
      </c>
      <c r="DY170" s="438" t="str">
        <f t="shared" ref="DY170" si="1447">DU170</f>
        <v>Grades</v>
      </c>
      <c r="DZ170" s="422">
        <v>40</v>
      </c>
      <c r="EA170" s="422">
        <v>-81.75</v>
      </c>
      <c r="EB170" s="422">
        <v>100</v>
      </c>
      <c r="EC170" s="438" t="str">
        <f t="shared" ref="EC170" si="1448">DY170</f>
        <v>Grades</v>
      </c>
      <c r="ED170" s="422">
        <f t="shared" si="1187"/>
        <v>1600</v>
      </c>
      <c r="EE170" s="422">
        <f t="shared" si="1190"/>
        <v>100</v>
      </c>
      <c r="EF170" s="438" t="str">
        <f t="shared" si="1191"/>
        <v>A1</v>
      </c>
      <c r="EG170" s="422" t="str">
        <f t="shared" si="1192"/>
        <v>DISTINTION</v>
      </c>
      <c r="EH170" s="439">
        <v>1</v>
      </c>
      <c r="EI170" s="422">
        <f t="shared" si="1193"/>
        <v>1600</v>
      </c>
      <c r="EJ170" s="440">
        <f t="shared" si="1194"/>
        <v>1</v>
      </c>
      <c r="EK170" s="438" t="s">
        <v>573</v>
      </c>
      <c r="EL170" s="438" t="s">
        <v>762</v>
      </c>
    </row>
    <row r="171" spans="1:142" ht="30">
      <c r="A171" s="690"/>
      <c r="B171" s="690"/>
      <c r="C171" s="690"/>
      <c r="D171" s="690"/>
      <c r="E171" s="690"/>
      <c r="F171" s="690"/>
      <c r="G171" s="690"/>
      <c r="H171" s="690"/>
      <c r="I171" s="690"/>
      <c r="J171" s="690"/>
      <c r="K171" s="690"/>
      <c r="L171" s="690"/>
      <c r="M171" s="690"/>
      <c r="N171" s="690"/>
      <c r="O171" s="690"/>
      <c r="P171" s="690"/>
      <c r="Q171" s="690"/>
      <c r="R171" s="690"/>
      <c r="S171" s="690"/>
      <c r="T171" s="690"/>
      <c r="U171" s="690"/>
      <c r="V171" s="690"/>
      <c r="W171" s="690"/>
      <c r="X171" s="690"/>
      <c r="Y171" s="690"/>
      <c r="Z171" s="690"/>
      <c r="AA171" s="420">
        <f t="shared" si="1127"/>
        <v>170</v>
      </c>
      <c r="AB171" s="435" t="s">
        <v>58</v>
      </c>
      <c r="AC171" s="422" t="s">
        <v>394</v>
      </c>
      <c r="AD171" s="422" t="s">
        <v>326</v>
      </c>
      <c r="AE171" s="422">
        <v>37.714285714285701</v>
      </c>
      <c r="AF171" s="422">
        <f>'SSS1 ATTENDANCE '!FJ177</f>
        <v>0</v>
      </c>
      <c r="AG171" s="422">
        <f>'SSS1 ATTENDANCE '!FH177</f>
        <v>0</v>
      </c>
      <c r="AH171" s="422">
        <f>'SSS1 ATTENDANCE '!FI177</f>
        <v>0</v>
      </c>
      <c r="AI171" s="436" t="s">
        <v>743</v>
      </c>
      <c r="AJ171" s="437">
        <v>40844</v>
      </c>
      <c r="AK171" s="435" t="s">
        <v>396</v>
      </c>
      <c r="AL171" s="424">
        <v>25</v>
      </c>
      <c r="AM171" s="422">
        <v>115.21428571428601</v>
      </c>
      <c r="AN171" s="438">
        <v>4</v>
      </c>
      <c r="AO171" s="422" t="str">
        <f t="shared" si="1188"/>
        <v>3</v>
      </c>
      <c r="AP171" s="438">
        <v>5</v>
      </c>
      <c r="AQ171" s="422">
        <v>4</v>
      </c>
      <c r="AR171" s="438">
        <v>4</v>
      </c>
      <c r="AS171" s="438">
        <v>4</v>
      </c>
      <c r="AT171" s="438">
        <v>4</v>
      </c>
      <c r="AU171" s="438">
        <v>3</v>
      </c>
      <c r="AV171" s="438">
        <v>4</v>
      </c>
      <c r="AW171" s="438">
        <v>4</v>
      </c>
      <c r="AX171" s="438">
        <v>3</v>
      </c>
      <c r="AY171" s="438">
        <v>4</v>
      </c>
      <c r="AZ171" s="438">
        <v>3</v>
      </c>
      <c r="BA171" s="438">
        <v>3</v>
      </c>
      <c r="BB171" s="438">
        <v>3</v>
      </c>
      <c r="BC171" s="438">
        <v>4</v>
      </c>
      <c r="BD171" s="438">
        <v>4</v>
      </c>
      <c r="BE171" s="438">
        <v>4</v>
      </c>
      <c r="BF171" s="438">
        <v>3</v>
      </c>
      <c r="BG171" s="438">
        <v>3</v>
      </c>
      <c r="BH171" s="438">
        <v>3</v>
      </c>
      <c r="BI171" s="438">
        <v>5</v>
      </c>
      <c r="BJ171" s="438">
        <v>4</v>
      </c>
      <c r="BK171" s="438">
        <v>3</v>
      </c>
      <c r="BL171" s="438">
        <v>5</v>
      </c>
      <c r="BM171" s="438">
        <v>3</v>
      </c>
      <c r="BN171" s="422" t="s">
        <v>569</v>
      </c>
      <c r="BO171" s="438">
        <v>-53.214285714285701</v>
      </c>
      <c r="BP171" s="438">
        <v>-660.92857142857099</v>
      </c>
      <c r="BQ171" s="422">
        <f t="shared" ref="BQ171:BQ174" si="1449">SUM(BO171:BP171)</f>
        <v>-714.14285714285666</v>
      </c>
      <c r="BR171" s="438" t="str">
        <f t="shared" ref="BR171:BR174" si="1450">IF(BQ171&gt;=80,"A1",
IF(BQ171&gt;=75,"A",
IF(BQ171&gt;=70,"B2",
IF(BQ171&gt;=65,"B3",
IF(BQ171&gt;=60,"C4",
IF(BQ171&gt;=55,"C5",
IF(BQ171&gt;=50,"C6",
IF(BQ171&gt;=45,"D7",
IF(BQ171&gt;=40,"E8",
IF(BQ171&gt;=1,"F9",""))))))))))</f>
        <v/>
      </c>
      <c r="BS171" s="422">
        <v>-53.214285714285701</v>
      </c>
      <c r="BT171" s="438">
        <v>-497.78571428571399</v>
      </c>
      <c r="BU171" s="422">
        <f t="shared" ref="BU171:BU174" si="1451">SUM(BS171:BT171)</f>
        <v>-550.99999999999966</v>
      </c>
      <c r="BV171" s="438" t="str">
        <f t="shared" ref="BV171:BV174" si="1452">IF(BU171&gt;=80,"A1",
IF(BU171&gt;=75,"A",
IF(BU171&gt;=70,"B2",
IF(BU171&gt;=65,"B3",
IF(BU171&gt;=60,"C4",
IF(BU171&gt;=55,"C5",
IF(BU171&gt;=50,"C6",
IF(BU171&gt;=45,"D7",
IF(BU171&gt;=40,"E8",
IF(BU171&gt;=1,"F9",""))))))))))</f>
        <v/>
      </c>
      <c r="BW171" s="422">
        <v>-53.214285714285701</v>
      </c>
      <c r="BX171" s="422">
        <v>-478.78571428571399</v>
      </c>
      <c r="BY171" s="422">
        <f t="shared" ref="BY171:BY174" si="1453">SUM(BW171:BX171)</f>
        <v>-531.99999999999966</v>
      </c>
      <c r="BZ171" s="438" t="str">
        <f t="shared" ref="BZ171:BZ174" si="1454">IF(BY171&gt;=80,"A1",
IF(BY171&gt;=75,"A",
IF(BY171&gt;=70,"B2",
IF(BY171&gt;=65,"B3",
IF(BY171&gt;=60,"C4",
IF(BY171&gt;=55,"C5",
IF(BY171&gt;=50,"C6",
IF(BY171&gt;=45,"D7",
IF(BY171&gt;=40,"E8",
IF(BY171&gt;=1,"F9",""))))))))))</f>
        <v/>
      </c>
      <c r="CA171" s="422">
        <v>-53.214285714285701</v>
      </c>
      <c r="CB171" s="422">
        <v>-499.28571428571502</v>
      </c>
      <c r="CC171" s="422">
        <f t="shared" ref="CC171:CC174" si="1455">SUM(CA171:CB171)</f>
        <v>-552.50000000000068</v>
      </c>
      <c r="CD171" s="438" t="str">
        <f t="shared" ref="CD171:CD174" si="1456">IF(CC171&gt;=80,"A1",
IF(CC171&gt;=75,"A",
IF(CC171&gt;=70,"B2",
IF(CC171&gt;=65,"B3",
IF(CC171&gt;=60,"C4",
IF(CC171&gt;=55,"C5",
IF(CC171&gt;=50,"C6",
IF(CC171&gt;=45,"D7",
IF(CC171&gt;=40,"E8",
IF(CC171&gt;=1,"F9",""))))))))))</f>
        <v/>
      </c>
      <c r="CE171" s="422">
        <v>35</v>
      </c>
      <c r="CF171" s="422">
        <v>-483.71428571428601</v>
      </c>
      <c r="CG171" s="422">
        <f t="shared" ref="CG171:CG174" si="1457">SUM(CE171:CF171)</f>
        <v>-448.71428571428601</v>
      </c>
      <c r="CH171" s="438" t="str">
        <f t="shared" ref="CH171:CH174" si="1458">IF(CG171&gt;=80,"A1",
IF(CG171&gt;=75,"A",
IF(CG171&gt;=70,"B2",
IF(CG171&gt;=65,"B3",
IF(CG171&gt;=60,"C4",
IF(CG171&gt;=55,"C5",
IF(CG171&gt;=50,"C6",
IF(CG171&gt;=45,"D7",
IF(CG171&gt;=40,"E8",
IF(CG171&gt;=1,"F9",""))))))))))</f>
        <v/>
      </c>
      <c r="CI171" s="422">
        <v>-53.214285714285701</v>
      </c>
      <c r="CJ171" s="422">
        <v>-262.357142857143</v>
      </c>
      <c r="CK171" s="422">
        <f t="shared" ref="CK171:CK174" si="1459">SUM(CI171:CJ171)</f>
        <v>-315.57142857142873</v>
      </c>
      <c r="CL171" s="438" t="str">
        <f t="shared" ref="CL171:CL174" si="1460">IF(CK171&gt;=80,"A1",
IF(CK171&gt;=75,"A",
IF(CK171&gt;=70,"B2",
IF(CK171&gt;=65,"B3",
IF(CK171&gt;=60,"C4",
IF(CK171&gt;=55,"C5",
IF(CK171&gt;=50,"C6",
IF(CK171&gt;=45,"D7",
IF(CK171&gt;=40,"E8",
IF(CK171&gt;=1,"F9",""))))))))))</f>
        <v/>
      </c>
      <c r="CM171" s="422">
        <v>-53.214285714285701</v>
      </c>
      <c r="CN171" s="422"/>
      <c r="CO171" s="422"/>
      <c r="CP171" s="422">
        <f t="shared" ref="CP171:CP172" si="1461">CM171</f>
        <v>-53.214285714285701</v>
      </c>
      <c r="CQ171" s="422">
        <v>0.86206896551739498</v>
      </c>
      <c r="CR171" s="422">
        <f t="shared" ref="CR171:CR174" si="1462">SUM(CP171:CQ171)</f>
        <v>-52.352216748768306</v>
      </c>
      <c r="CS171" s="438" t="str">
        <f t="shared" ref="CS171:CS174" si="1463">IF(CR171&gt;=80,"A1",
IF(CR171&gt;=75,"A",
IF(CR171&gt;=70,"B2",
IF(CR171&gt;=65,"B3",
IF(CR171&gt;=60,"C4",
IF(CR171&gt;=55,"C5",
IF(CR171&gt;=50,"C6",
IF(CR171&gt;=45,"D7",
IF(CR171&gt;=40,"E8",
IF(CR171&gt;=1,"F9",""))))))))))</f>
        <v/>
      </c>
      <c r="CT171" s="422">
        <v>-113.157894736842</v>
      </c>
      <c r="CU171" s="422">
        <v>-552.63157894736901</v>
      </c>
      <c r="CV171" s="422">
        <f t="shared" ref="CV171:CV174" si="1464">SUM(CT171:CU171)</f>
        <v>-665.78947368421098</v>
      </c>
      <c r="CW171" s="438" t="str">
        <f t="shared" ref="CW171:CW174" si="1465">IF(CV171&gt;=80,"A1",
IF(CV171&gt;=75,"A",
IF(CV171&gt;=70,"B2",
IF(CV171&gt;=65,"B3",
IF(CV171&gt;=60,"C4",
IF(CV171&gt;=55,"C5",
IF(CV171&gt;=50,"C6",
IF(CV171&gt;=45,"D7",
IF(CV171&gt;=40,"E8",
IF(CV171&gt;=1,"F9",""))))))))))</f>
        <v/>
      </c>
      <c r="CX171" s="422">
        <v>-143.333333333333</v>
      </c>
      <c r="CY171" s="422">
        <v>-499.28571428571502</v>
      </c>
      <c r="CZ171" s="422">
        <f t="shared" ref="CZ171:CZ174" si="1466">SUM(CX171:CY171)</f>
        <v>-642.61904761904805</v>
      </c>
      <c r="DA171" s="438" t="str">
        <f t="shared" ref="DA171:DA174" si="1467">IF(CZ171&gt;=80,"A1",
IF(CZ171&gt;=75,"A",
IF(CZ171&gt;=70,"B2",
IF(CZ171&gt;=65,"B3",
IF(CZ171&gt;=60,"C4",
IF(CZ171&gt;=55,"C5",
IF(CZ171&gt;=50,"C6",
IF(CZ171&gt;=45,"D7",
IF(CZ171&gt;=40,"E8",
IF(CZ171&gt;=1,"F9",""))))))))))</f>
        <v/>
      </c>
      <c r="DB171" s="422">
        <v>-450</v>
      </c>
      <c r="DC171" s="422">
        <v>-406.07142857142901</v>
      </c>
      <c r="DD171" s="422">
        <f t="shared" ref="DD171:DD174" si="1468">SUM(DB171:DC171)</f>
        <v>-856.07142857142901</v>
      </c>
      <c r="DE171" s="422" t="str">
        <f t="shared" ref="DE171:DE174" si="1469">IF(DD171&gt;=80,"A1",
IF(DD171&gt;=75,"A",
IF(DD171&gt;=70,"B2",
IF(DD171&gt;=65,"B3",
IF(DD171&gt;=60,"C4",
IF(DD171&gt;=55,"C5",
IF(DD171&gt;=50,"C6",
IF(DD171&gt;=45,"D7",
IF(DD171&gt;=40,"E8",
IF(DD171&gt;=1,"F9",""))))))))))</f>
        <v/>
      </c>
      <c r="DF171" s="422">
        <f t="shared" ref="DF171:DF174" si="1470">DB171</f>
        <v>-450</v>
      </c>
      <c r="DG171" s="422">
        <v>-499.28571428571502</v>
      </c>
      <c r="DH171" s="422">
        <f t="shared" ref="DH171:DH174" si="1471">SUM(DF171:DG171)</f>
        <v>-949.28571428571502</v>
      </c>
      <c r="DI171" s="422" t="str">
        <f t="shared" ref="DI171:DI174" si="1472">IF(DH171&gt;=80,"A1",
IF(DH171&gt;=75,"A",
IF(DH171&gt;=70,"B2",
IF(DH171&gt;=65,"B3",
IF(DH171&gt;=60,"C4",
IF(DH171&gt;=55,"C5",
IF(DH171&gt;=50,"C6",
IF(DH171&gt;=45,"D7",
IF(DH171&gt;=40,"E8",
IF(DH171&gt;=1,"F9",""))))))))))</f>
        <v/>
      </c>
      <c r="DJ171" s="422">
        <v>-205</v>
      </c>
      <c r="DK171" s="422">
        <v>17.6428571428571</v>
      </c>
      <c r="DL171" s="422">
        <f t="shared" ref="DL171:DL174" si="1473">SUM(DJ171:DK171)</f>
        <v>-187.35714285714289</v>
      </c>
      <c r="DM171" s="422" t="str">
        <f t="shared" ref="DM171:DM174" si="1474">IF(DL171&gt;=80,"A1",
IF(DL171&gt;=75,"A",
IF(DL171&gt;=70,"B2",
IF(DL171&gt;=65,"B3",
IF(DL171&gt;=60,"C4",
IF(DL171&gt;=55,"C5",
IF(DL171&gt;=50,"C6",
IF(DL171&gt;=45,"D7",
IF(DL171&gt;=40,"E8",
IF(DL171&gt;=1,"F9",""))))))))))</f>
        <v/>
      </c>
      <c r="DN171" s="422">
        <v>-205</v>
      </c>
      <c r="DO171" s="422">
        <v>-54.357142857143003</v>
      </c>
      <c r="DP171" s="422">
        <f t="shared" ref="DP171:DP174" si="1475">SUM(DN171:DO171)</f>
        <v>-259.357142857143</v>
      </c>
      <c r="DQ171" s="438" t="str">
        <f t="shared" ref="DQ171:DQ174" si="1476">IF(DP171&gt;=80,"A1",
IF(DP171&gt;=75,"A",
IF(DP171&gt;=70,"B2",
IF(DP171&gt;=65,"B3",
IF(DP171&gt;=60,"C4",
IF(DP171&gt;=55,"C5",
IF(DP171&gt;=50,"C6",
IF(DP171&gt;=45,"D7",
IF(DP171&gt;=40,"E8",
IF(DP171&gt;=1,"F9",""))))))))))</f>
        <v/>
      </c>
      <c r="DR171" s="422">
        <v>-695</v>
      </c>
      <c r="DS171" s="422">
        <v>-400.78571428571399</v>
      </c>
      <c r="DT171" s="422">
        <f t="shared" ref="DT171:DT174" si="1477">SUM(DR171:DS171)</f>
        <v>-1095.785714285714</v>
      </c>
      <c r="DU171" s="438" t="str">
        <f t="shared" ref="DU171:DU174" si="1478">IF(DT171&gt;=80,"A1",
IF(DT171&gt;=75,"A",
IF(DT171&gt;=70,"B2",
IF(DT171&gt;=65,"B3",
IF(DT171&gt;=60,"C4",
IF(DT171&gt;=55,"C5",
IF(DT171&gt;=50,"C6",
IF(DT171&gt;=45,"D7",
IF(DT171&gt;=40,"E8",
IF(DT171&gt;=1,"F9",""))))))))))</f>
        <v/>
      </c>
      <c r="DV171" s="422">
        <v>-205</v>
      </c>
      <c r="DW171" s="422">
        <v>35.285714285714199</v>
      </c>
      <c r="DX171" s="422">
        <f t="shared" ref="DX171:DX174" si="1479">SUM(DV171:DW171)</f>
        <v>-169.71428571428581</v>
      </c>
      <c r="DY171" s="438" t="str">
        <f t="shared" ref="DY171:DY174" si="1480">IF(DX171&gt;=80,"A1",
IF(DX171&gt;=75,"A",
IF(DX171&gt;=70,"B2",
IF(DX171&gt;=65,"B3",
IF(DX171&gt;=60,"C4",
IF(DX171&gt;=55,"C5",
IF(DX171&gt;=50,"C6",
IF(DX171&gt;=45,"D7",
IF(DX171&gt;=40,"E8",
IF(DX171&gt;=1,"F9",""))))))))))</f>
        <v/>
      </c>
      <c r="DZ171" s="422">
        <f t="shared" ref="DZ171:DZ174" si="1481">DV171</f>
        <v>-205</v>
      </c>
      <c r="EA171" s="422">
        <v>-82.5</v>
      </c>
      <c r="EB171" s="422">
        <f t="shared" ref="EB171:EB174" si="1482">SUM(DZ171:EA171)</f>
        <v>-287.5</v>
      </c>
      <c r="EC171" s="438" t="str">
        <f t="shared" ref="EC171:EC174" si="1483">IF(EB171&gt;=80,"A1",
IF(EB171&gt;=75,"A",
IF(EB171&gt;=70,"B2",
IF(EB171&gt;=65,"B3",
IF(EB171&gt;=60,"C4",
IF(EB171&gt;=55,"C5",
IF(EB171&gt;=50,"C6",
IF(EB171&gt;=45,"D7",
IF(EB171&gt;=40,"E8",
IF(EB171&gt;=1,"F9",""))))))))))</f>
        <v/>
      </c>
      <c r="ED171" s="422">
        <f t="shared" si="1187"/>
        <v>-8279.7607380520294</v>
      </c>
      <c r="EE171" s="422">
        <f t="shared" si="1190"/>
        <v>-517.48504612825184</v>
      </c>
      <c r="EF171" s="438" t="str">
        <f t="shared" si="1191"/>
        <v/>
      </c>
      <c r="EG171" s="422" t="str">
        <f t="shared" si="1192"/>
        <v/>
      </c>
      <c r="EH171" s="439">
        <v>1</v>
      </c>
      <c r="EI171" s="422">
        <f t="shared" si="1193"/>
        <v>-8279.7607380520294</v>
      </c>
      <c r="EJ171" s="440">
        <f t="shared" si="1194"/>
        <v>-5.1748504612825181</v>
      </c>
      <c r="EK171" s="438" t="s">
        <v>573</v>
      </c>
      <c r="EL171" s="438" t="s">
        <v>762</v>
      </c>
    </row>
    <row r="172" spans="1:142" ht="30">
      <c r="A172" s="690"/>
      <c r="B172" s="690"/>
      <c r="C172" s="690"/>
      <c r="D172" s="690"/>
      <c r="E172" s="690"/>
      <c r="F172" s="690"/>
      <c r="G172" s="690"/>
      <c r="H172" s="690"/>
      <c r="I172" s="690"/>
      <c r="J172" s="690"/>
      <c r="K172" s="690"/>
      <c r="L172" s="690"/>
      <c r="M172" s="690"/>
      <c r="N172" s="690"/>
      <c r="O172" s="690"/>
      <c r="P172" s="690"/>
      <c r="Q172" s="690"/>
      <c r="R172" s="690"/>
      <c r="S172" s="690"/>
      <c r="T172" s="690"/>
      <c r="U172" s="690"/>
      <c r="V172" s="690"/>
      <c r="W172" s="690"/>
      <c r="X172" s="690"/>
      <c r="Y172" s="690"/>
      <c r="Z172" s="690"/>
      <c r="AA172" s="420">
        <f t="shared" si="1127"/>
        <v>171</v>
      </c>
      <c r="AB172" s="435" t="s">
        <v>59</v>
      </c>
      <c r="AC172" s="422" t="s">
        <v>394</v>
      </c>
      <c r="AD172" s="422" t="s">
        <v>326</v>
      </c>
      <c r="AE172" s="422">
        <v>37.857142857142897</v>
      </c>
      <c r="AF172" s="422">
        <f>'SSS1 ATTENDANCE '!FJ178</f>
        <v>0</v>
      </c>
      <c r="AG172" s="422">
        <f>'SSS1 ATTENDANCE '!FH178</f>
        <v>0</v>
      </c>
      <c r="AH172" s="422">
        <f>'SSS1 ATTENDANCE '!FI178</f>
        <v>0</v>
      </c>
      <c r="AI172" s="436" t="s">
        <v>744</v>
      </c>
      <c r="AJ172" s="437">
        <v>40754</v>
      </c>
      <c r="AK172" s="435" t="s">
        <v>396</v>
      </c>
      <c r="AL172" s="424">
        <v>25</v>
      </c>
      <c r="AM172" s="422">
        <v>115.75</v>
      </c>
      <c r="AN172" s="438">
        <v>4</v>
      </c>
      <c r="AO172" s="422" t="str">
        <f t="shared" si="1188"/>
        <v>3</v>
      </c>
      <c r="AP172" s="438">
        <v>5</v>
      </c>
      <c r="AQ172" s="422">
        <v>4</v>
      </c>
      <c r="AR172" s="438">
        <v>4</v>
      </c>
      <c r="AS172" s="438">
        <v>4</v>
      </c>
      <c r="AT172" s="438">
        <v>4</v>
      </c>
      <c r="AU172" s="438">
        <v>3</v>
      </c>
      <c r="AV172" s="438">
        <v>4</v>
      </c>
      <c r="AW172" s="438">
        <v>4</v>
      </c>
      <c r="AX172" s="438">
        <v>3</v>
      </c>
      <c r="AY172" s="438">
        <v>4</v>
      </c>
      <c r="AZ172" s="438">
        <v>3</v>
      </c>
      <c r="BA172" s="438">
        <v>3</v>
      </c>
      <c r="BB172" s="438">
        <v>3</v>
      </c>
      <c r="BC172" s="438">
        <v>4</v>
      </c>
      <c r="BD172" s="438">
        <v>4</v>
      </c>
      <c r="BE172" s="438">
        <v>4</v>
      </c>
      <c r="BF172" s="438">
        <v>3</v>
      </c>
      <c r="BG172" s="438">
        <v>3</v>
      </c>
      <c r="BH172" s="438">
        <v>3</v>
      </c>
      <c r="BI172" s="438">
        <v>5</v>
      </c>
      <c r="BJ172" s="438">
        <v>4</v>
      </c>
      <c r="BK172" s="438">
        <v>3</v>
      </c>
      <c r="BL172" s="438">
        <v>5</v>
      </c>
      <c r="BM172" s="438">
        <v>3</v>
      </c>
      <c r="BN172" s="422" t="s">
        <v>570</v>
      </c>
      <c r="BO172" s="438">
        <v>-53.75</v>
      </c>
      <c r="BP172" s="438">
        <v>-665.107142857143</v>
      </c>
      <c r="BQ172" s="422">
        <f t="shared" si="1449"/>
        <v>-718.857142857143</v>
      </c>
      <c r="BR172" s="438" t="str">
        <f t="shared" si="1450"/>
        <v/>
      </c>
      <c r="BS172" s="422">
        <v>-53.75</v>
      </c>
      <c r="BT172" s="438">
        <v>-501.03571428571399</v>
      </c>
      <c r="BU172" s="422">
        <f t="shared" si="1451"/>
        <v>-554.78571428571399</v>
      </c>
      <c r="BV172" s="438" t="str">
        <f t="shared" si="1452"/>
        <v/>
      </c>
      <c r="BW172" s="422">
        <v>-53.75</v>
      </c>
      <c r="BX172" s="422">
        <v>-481.892857142857</v>
      </c>
      <c r="BY172" s="422">
        <f t="shared" si="1453"/>
        <v>-535.642857142857</v>
      </c>
      <c r="BZ172" s="438" t="str">
        <f t="shared" si="1454"/>
        <v/>
      </c>
      <c r="CA172" s="422">
        <v>-53.75</v>
      </c>
      <c r="CB172" s="422">
        <v>-502.50000000000102</v>
      </c>
      <c r="CC172" s="422">
        <f t="shared" si="1455"/>
        <v>-556.25000000000102</v>
      </c>
      <c r="CD172" s="438" t="str">
        <f t="shared" si="1456"/>
        <v/>
      </c>
      <c r="CE172" s="422">
        <v>35</v>
      </c>
      <c r="CF172" s="422">
        <v>-486.857142857143</v>
      </c>
      <c r="CG172" s="422">
        <f t="shared" si="1457"/>
        <v>-451.857142857143</v>
      </c>
      <c r="CH172" s="438" t="str">
        <f t="shared" si="1458"/>
        <v/>
      </c>
      <c r="CI172" s="422">
        <v>-53.75</v>
      </c>
      <c r="CJ172" s="422">
        <v>-264.17857142857099</v>
      </c>
      <c r="CK172" s="422">
        <f t="shared" si="1459"/>
        <v>-317.92857142857099</v>
      </c>
      <c r="CL172" s="438" t="str">
        <f t="shared" si="1460"/>
        <v/>
      </c>
      <c r="CM172" s="422">
        <v>-53.75</v>
      </c>
      <c r="CN172" s="422"/>
      <c r="CO172" s="422"/>
      <c r="CP172" s="422">
        <f t="shared" si="1461"/>
        <v>-53.75</v>
      </c>
      <c r="CQ172" s="422">
        <v>0.57758620689669005</v>
      </c>
      <c r="CR172" s="422">
        <f t="shared" si="1462"/>
        <v>-53.17241379310331</v>
      </c>
      <c r="CS172" s="438" t="str">
        <f t="shared" si="1463"/>
        <v/>
      </c>
      <c r="CT172" s="422">
        <v>-114.21052631579001</v>
      </c>
      <c r="CU172" s="422">
        <v>-556.84210526315803</v>
      </c>
      <c r="CV172" s="422">
        <f t="shared" si="1464"/>
        <v>-671.05263157894808</v>
      </c>
      <c r="CW172" s="438" t="str">
        <f t="shared" si="1465"/>
        <v/>
      </c>
      <c r="CX172" s="422">
        <v>-145.833333333333</v>
      </c>
      <c r="CY172" s="422">
        <v>-502.50000000000102</v>
      </c>
      <c r="CZ172" s="422">
        <f t="shared" si="1466"/>
        <v>-648.33333333333405</v>
      </c>
      <c r="DA172" s="438" t="str">
        <f t="shared" si="1467"/>
        <v/>
      </c>
      <c r="DB172" s="422">
        <f t="shared" ref="DB172:DB174" si="1484">CX172</f>
        <v>-145.833333333333</v>
      </c>
      <c r="DC172" s="422">
        <v>-408.75</v>
      </c>
      <c r="DD172" s="422">
        <f t="shared" si="1468"/>
        <v>-554.58333333333303</v>
      </c>
      <c r="DE172" s="422" t="str">
        <f t="shared" si="1469"/>
        <v/>
      </c>
      <c r="DF172" s="422">
        <f t="shared" si="1470"/>
        <v>-145.833333333333</v>
      </c>
      <c r="DG172" s="422">
        <v>-502.50000000000102</v>
      </c>
      <c r="DH172" s="422">
        <f t="shared" si="1471"/>
        <v>-648.33333333333405</v>
      </c>
      <c r="DI172" s="422" t="str">
        <f t="shared" si="1472"/>
        <v/>
      </c>
      <c r="DJ172" s="422">
        <f t="shared" ref="DJ172:DJ174" si="1485">DF172</f>
        <v>-145.833333333333</v>
      </c>
      <c r="DK172" s="422">
        <v>17.464285714285602</v>
      </c>
      <c r="DL172" s="422">
        <f t="shared" si="1473"/>
        <v>-128.36904761904739</v>
      </c>
      <c r="DM172" s="422" t="str">
        <f t="shared" si="1474"/>
        <v/>
      </c>
      <c r="DN172" s="422">
        <f t="shared" ref="DN172:DN174" si="1486">DJ172</f>
        <v>-145.833333333333</v>
      </c>
      <c r="DO172" s="422">
        <v>-54.964285714286</v>
      </c>
      <c r="DP172" s="422">
        <f t="shared" si="1475"/>
        <v>-200.79761904761901</v>
      </c>
      <c r="DQ172" s="438" t="str">
        <f t="shared" si="1476"/>
        <v/>
      </c>
      <c r="DR172" s="422">
        <f t="shared" ref="DR172:DR174" si="1487">DN172</f>
        <v>-145.833333333333</v>
      </c>
      <c r="DS172" s="422">
        <v>-403.392857142857</v>
      </c>
      <c r="DT172" s="422">
        <f t="shared" si="1477"/>
        <v>-549.22619047619003</v>
      </c>
      <c r="DU172" s="438" t="str">
        <f t="shared" si="1478"/>
        <v/>
      </c>
      <c r="DV172" s="422">
        <f t="shared" ref="DV172:DV174" si="1488">DR172</f>
        <v>-145.833333333333</v>
      </c>
      <c r="DW172" s="422">
        <v>35.214285714285701</v>
      </c>
      <c r="DX172" s="422">
        <f t="shared" si="1479"/>
        <v>-110.61904761904731</v>
      </c>
      <c r="DY172" s="438" t="str">
        <f t="shared" si="1480"/>
        <v/>
      </c>
      <c r="DZ172" s="422">
        <f t="shared" si="1481"/>
        <v>-145.833333333333</v>
      </c>
      <c r="EA172" s="422">
        <v>-83.25</v>
      </c>
      <c r="EB172" s="422">
        <f t="shared" si="1482"/>
        <v>-229.083333333333</v>
      </c>
      <c r="EC172" s="438" t="str">
        <f t="shared" si="1483"/>
        <v/>
      </c>
      <c r="ED172" s="422">
        <f t="shared" si="1187"/>
        <v>-6928.8917120387187</v>
      </c>
      <c r="EE172" s="422">
        <f t="shared" si="1190"/>
        <v>-433.05573200241992</v>
      </c>
      <c r="EF172" s="438" t="str">
        <f t="shared" si="1191"/>
        <v/>
      </c>
      <c r="EG172" s="422" t="str">
        <f t="shared" si="1192"/>
        <v/>
      </c>
      <c r="EH172" s="439">
        <v>1</v>
      </c>
      <c r="EI172" s="422">
        <f t="shared" si="1193"/>
        <v>-6928.8917120387187</v>
      </c>
      <c r="EJ172" s="440">
        <f t="shared" si="1194"/>
        <v>-4.3305573200241989</v>
      </c>
      <c r="EK172" s="438" t="s">
        <v>573</v>
      </c>
      <c r="EL172" s="438" t="s">
        <v>762</v>
      </c>
    </row>
    <row r="173" spans="1:142" ht="30">
      <c r="A173" s="690"/>
      <c r="B173" s="690"/>
      <c r="C173" s="690"/>
      <c r="D173" s="690"/>
      <c r="E173" s="690"/>
      <c r="F173" s="690"/>
      <c r="G173" s="690"/>
      <c r="H173" s="690"/>
      <c r="I173" s="690"/>
      <c r="J173" s="690"/>
      <c r="K173" s="690"/>
      <c r="L173" s="690"/>
      <c r="M173" s="690"/>
      <c r="N173" s="690"/>
      <c r="O173" s="690"/>
      <c r="P173" s="690"/>
      <c r="Q173" s="690"/>
      <c r="R173" s="690"/>
      <c r="S173" s="690"/>
      <c r="T173" s="690"/>
      <c r="U173" s="690"/>
      <c r="V173" s="690"/>
      <c r="W173" s="690"/>
      <c r="X173" s="690"/>
      <c r="Y173" s="690"/>
      <c r="Z173" s="690"/>
      <c r="AA173" s="420">
        <f t="shared" si="1127"/>
        <v>172</v>
      </c>
      <c r="AB173" s="435" t="s">
        <v>60</v>
      </c>
      <c r="AC173" s="422" t="s">
        <v>394</v>
      </c>
      <c r="AD173" s="422" t="s">
        <v>326</v>
      </c>
      <c r="AE173" s="422">
        <v>38</v>
      </c>
      <c r="AF173" s="422">
        <f>'SSS1 ATTENDANCE '!FJ179</f>
        <v>0</v>
      </c>
      <c r="AG173" s="422">
        <f>'SSS1 ATTENDANCE '!FH179</f>
        <v>0</v>
      </c>
      <c r="AH173" s="422">
        <f>'SSS1 ATTENDANCE '!FI179</f>
        <v>0</v>
      </c>
      <c r="AI173" s="436" t="s">
        <v>745</v>
      </c>
      <c r="AJ173" s="437">
        <v>40900</v>
      </c>
      <c r="AK173" s="435" t="s">
        <v>396</v>
      </c>
      <c r="AL173" s="424">
        <v>25</v>
      </c>
      <c r="AM173" s="422">
        <v>116.28571428571399</v>
      </c>
      <c r="AN173" s="438">
        <v>4</v>
      </c>
      <c r="AO173" s="422" t="str">
        <f t="shared" si="1188"/>
        <v>3</v>
      </c>
      <c r="AP173" s="438">
        <v>5</v>
      </c>
      <c r="AQ173" s="422">
        <v>4</v>
      </c>
      <c r="AR173" s="438">
        <v>4</v>
      </c>
      <c r="AS173" s="438">
        <v>4</v>
      </c>
      <c r="AT173" s="438">
        <v>4</v>
      </c>
      <c r="AU173" s="438">
        <v>3</v>
      </c>
      <c r="AV173" s="438">
        <v>4</v>
      </c>
      <c r="AW173" s="438">
        <v>4</v>
      </c>
      <c r="AX173" s="438">
        <v>3</v>
      </c>
      <c r="AY173" s="438">
        <v>4</v>
      </c>
      <c r="AZ173" s="438">
        <v>3</v>
      </c>
      <c r="BA173" s="438">
        <v>3</v>
      </c>
      <c r="BB173" s="438">
        <v>3</v>
      </c>
      <c r="BC173" s="438">
        <v>4</v>
      </c>
      <c r="BD173" s="438">
        <v>4</v>
      </c>
      <c r="BE173" s="438">
        <v>4</v>
      </c>
      <c r="BF173" s="438">
        <v>3</v>
      </c>
      <c r="BG173" s="438">
        <v>3</v>
      </c>
      <c r="BH173" s="438">
        <v>3</v>
      </c>
      <c r="BI173" s="438">
        <v>5</v>
      </c>
      <c r="BJ173" s="438">
        <v>4</v>
      </c>
      <c r="BK173" s="438">
        <v>3</v>
      </c>
      <c r="BL173" s="438">
        <v>5</v>
      </c>
      <c r="BM173" s="438">
        <v>3</v>
      </c>
      <c r="BN173" s="422" t="s">
        <v>571</v>
      </c>
      <c r="BO173" s="438">
        <v>-54.285714285714299</v>
      </c>
      <c r="BP173" s="438">
        <v>-669.28571428571399</v>
      </c>
      <c r="BQ173" s="422">
        <f t="shared" si="1449"/>
        <v>-723.57142857142833</v>
      </c>
      <c r="BR173" s="438" t="str">
        <f t="shared" si="1450"/>
        <v/>
      </c>
      <c r="BS173" s="422">
        <v>-54.285714285714299</v>
      </c>
      <c r="BT173" s="438">
        <v>-504.28571428571399</v>
      </c>
      <c r="BU173" s="422">
        <f t="shared" si="1451"/>
        <v>-558.57142857142833</v>
      </c>
      <c r="BV173" s="438" t="str">
        <f t="shared" si="1452"/>
        <v/>
      </c>
      <c r="BW173" s="422">
        <v>-54.285714285714299</v>
      </c>
      <c r="BX173" s="422">
        <v>-484.99999999999898</v>
      </c>
      <c r="BY173" s="422">
        <f t="shared" si="1453"/>
        <v>-539.28571428571331</v>
      </c>
      <c r="BZ173" s="438" t="str">
        <f t="shared" si="1454"/>
        <v/>
      </c>
      <c r="CA173" s="422">
        <v>-54.285714285714299</v>
      </c>
      <c r="CB173" s="422">
        <v>-505.71428571428601</v>
      </c>
      <c r="CC173" s="422">
        <f t="shared" si="1455"/>
        <v>-560.00000000000034</v>
      </c>
      <c r="CD173" s="438" t="str">
        <f t="shared" si="1456"/>
        <v/>
      </c>
      <c r="CE173" s="422">
        <v>35</v>
      </c>
      <c r="CF173" s="422">
        <v>-490</v>
      </c>
      <c r="CG173" s="422">
        <f t="shared" si="1457"/>
        <v>-455</v>
      </c>
      <c r="CH173" s="438" t="str">
        <f t="shared" si="1458"/>
        <v/>
      </c>
      <c r="CI173" s="422">
        <v>-54.285714285714299</v>
      </c>
      <c r="CJ173" s="422">
        <v>-266</v>
      </c>
      <c r="CK173" s="422">
        <f t="shared" si="1459"/>
        <v>-320.28571428571428</v>
      </c>
      <c r="CL173" s="438" t="str">
        <f t="shared" si="1460"/>
        <v/>
      </c>
      <c r="CM173" s="422">
        <v>-54.285714285714299</v>
      </c>
      <c r="CN173" s="422"/>
      <c r="CO173" s="422"/>
      <c r="CP173" s="422"/>
      <c r="CQ173" s="422">
        <v>0.29310344827599299</v>
      </c>
      <c r="CR173" s="422">
        <f t="shared" si="1462"/>
        <v>0.29310344827599299</v>
      </c>
      <c r="CS173" s="438" t="str">
        <f t="shared" si="1463"/>
        <v/>
      </c>
      <c r="CT173" s="422">
        <v>-115.26315789473701</v>
      </c>
      <c r="CU173" s="422">
        <v>-561.05263157894797</v>
      </c>
      <c r="CV173" s="422">
        <f t="shared" si="1464"/>
        <v>-676.31578947368496</v>
      </c>
      <c r="CW173" s="438" t="str">
        <f t="shared" si="1465"/>
        <v/>
      </c>
      <c r="CX173" s="422">
        <f t="shared" ref="CX173" si="1489">CT173</f>
        <v>-115.26315789473701</v>
      </c>
      <c r="CY173" s="422">
        <v>-505.71428571428601</v>
      </c>
      <c r="CZ173" s="422">
        <f t="shared" si="1466"/>
        <v>-620.977443609023</v>
      </c>
      <c r="DA173" s="438" t="str">
        <f t="shared" si="1467"/>
        <v/>
      </c>
      <c r="DB173" s="422">
        <f t="shared" si="1484"/>
        <v>-115.26315789473701</v>
      </c>
      <c r="DC173" s="422">
        <v>-411.42857142857099</v>
      </c>
      <c r="DD173" s="422">
        <f t="shared" si="1468"/>
        <v>-526.69172932330798</v>
      </c>
      <c r="DE173" s="422" t="str">
        <f t="shared" si="1469"/>
        <v/>
      </c>
      <c r="DF173" s="422">
        <f t="shared" si="1470"/>
        <v>-115.26315789473701</v>
      </c>
      <c r="DG173" s="422">
        <v>-505.71428571428601</v>
      </c>
      <c r="DH173" s="422">
        <f t="shared" si="1471"/>
        <v>-620.977443609023</v>
      </c>
      <c r="DI173" s="422" t="str">
        <f t="shared" si="1472"/>
        <v/>
      </c>
      <c r="DJ173" s="422">
        <f t="shared" si="1485"/>
        <v>-115.26315789473701</v>
      </c>
      <c r="DK173" s="422">
        <v>17.285714285714199</v>
      </c>
      <c r="DL173" s="422">
        <f t="shared" si="1473"/>
        <v>-97.977443609022799</v>
      </c>
      <c r="DM173" s="422" t="str">
        <f t="shared" si="1474"/>
        <v/>
      </c>
      <c r="DN173" s="422">
        <f t="shared" si="1486"/>
        <v>-115.26315789473701</v>
      </c>
      <c r="DO173" s="422">
        <v>-55.571428571429003</v>
      </c>
      <c r="DP173" s="422">
        <f t="shared" si="1475"/>
        <v>-170.834586466166</v>
      </c>
      <c r="DQ173" s="438" t="str">
        <f t="shared" si="1476"/>
        <v/>
      </c>
      <c r="DR173" s="422">
        <f t="shared" si="1487"/>
        <v>-115.26315789473701</v>
      </c>
      <c r="DS173" s="422">
        <v>-406</v>
      </c>
      <c r="DT173" s="422">
        <f t="shared" si="1477"/>
        <v>-521.26315789473699</v>
      </c>
      <c r="DU173" s="438" t="str">
        <f t="shared" si="1478"/>
        <v/>
      </c>
      <c r="DV173" s="422">
        <f t="shared" si="1488"/>
        <v>-115.26315789473701</v>
      </c>
      <c r="DW173" s="422">
        <v>35.142857142857103</v>
      </c>
      <c r="DX173" s="422">
        <f t="shared" si="1479"/>
        <v>-80.12030075187991</v>
      </c>
      <c r="DY173" s="438" t="str">
        <f t="shared" si="1480"/>
        <v/>
      </c>
      <c r="DZ173" s="422">
        <f t="shared" si="1481"/>
        <v>-115.26315789473701</v>
      </c>
      <c r="EA173" s="422">
        <v>-84</v>
      </c>
      <c r="EB173" s="422">
        <f t="shared" si="1482"/>
        <v>-199.26315789473699</v>
      </c>
      <c r="EC173" s="438" t="str">
        <f t="shared" si="1483"/>
        <v/>
      </c>
      <c r="ED173" s="422">
        <f t="shared" si="1187"/>
        <v>-6670.8422348975901</v>
      </c>
      <c r="EE173" s="422">
        <f t="shared" si="1190"/>
        <v>-416.92763968109938</v>
      </c>
      <c r="EF173" s="438" t="str">
        <f t="shared" si="1191"/>
        <v/>
      </c>
      <c r="EG173" s="422" t="str">
        <f t="shared" si="1192"/>
        <v/>
      </c>
      <c r="EH173" s="439">
        <v>1</v>
      </c>
      <c r="EI173" s="422">
        <f t="shared" si="1193"/>
        <v>-6670.8422348975901</v>
      </c>
      <c r="EJ173" s="440">
        <f t="shared" si="1194"/>
        <v>-4.1692763968109938</v>
      </c>
      <c r="EK173" s="438" t="s">
        <v>573</v>
      </c>
      <c r="EL173" s="438" t="s">
        <v>762</v>
      </c>
    </row>
    <row r="174" spans="1:142" ht="29.25" customHeight="1">
      <c r="A174" s="690"/>
      <c r="B174" s="690"/>
      <c r="C174" s="690"/>
      <c r="D174" s="690"/>
      <c r="E174" s="690"/>
      <c r="F174" s="690"/>
      <c r="G174" s="690"/>
      <c r="H174" s="690"/>
      <c r="I174" s="690"/>
      <c r="J174" s="690"/>
      <c r="K174" s="690"/>
      <c r="L174" s="690"/>
      <c r="M174" s="690"/>
      <c r="N174" s="690"/>
      <c r="O174" s="690"/>
      <c r="P174" s="690"/>
      <c r="Q174" s="690"/>
      <c r="R174" s="690"/>
      <c r="S174" s="690"/>
      <c r="T174" s="690"/>
      <c r="U174" s="690"/>
      <c r="V174" s="690"/>
      <c r="W174" s="690"/>
      <c r="X174" s="690"/>
      <c r="Y174" s="690"/>
      <c r="Z174" s="690"/>
      <c r="AB174" s="435" t="s">
        <v>61</v>
      </c>
      <c r="AC174" s="422" t="s">
        <v>394</v>
      </c>
      <c r="AD174" s="422" t="s">
        <v>326</v>
      </c>
      <c r="AE174" s="422">
        <v>38.142857142857203</v>
      </c>
      <c r="AF174" s="422">
        <f>'SSS1 ATTENDANCE '!FJ180</f>
        <v>0</v>
      </c>
      <c r="AG174" s="422">
        <f>'SSS1 ATTENDANCE '!FH180</f>
        <v>0</v>
      </c>
      <c r="AH174" s="422">
        <f>'SSS1 ATTENDANCE '!FI180</f>
        <v>0</v>
      </c>
      <c r="AI174" s="436" t="s">
        <v>761</v>
      </c>
      <c r="AJ174" s="437">
        <v>40368</v>
      </c>
      <c r="AK174" s="435" t="s">
        <v>396</v>
      </c>
      <c r="AL174" s="424">
        <v>25</v>
      </c>
      <c r="AM174" s="422">
        <v>116.821428571429</v>
      </c>
      <c r="AN174" s="438">
        <v>4</v>
      </c>
      <c r="AO174" s="422" t="str">
        <f t="shared" si="1188"/>
        <v>3</v>
      </c>
      <c r="AP174" s="438">
        <v>5</v>
      </c>
      <c r="AQ174" s="422">
        <v>4</v>
      </c>
      <c r="AR174" s="438">
        <v>4</v>
      </c>
      <c r="AS174" s="438">
        <v>4</v>
      </c>
      <c r="AT174" s="438">
        <v>4</v>
      </c>
      <c r="AU174" s="438">
        <v>3</v>
      </c>
      <c r="AV174" s="438">
        <v>4</v>
      </c>
      <c r="AW174" s="438">
        <v>4</v>
      </c>
      <c r="AX174" s="438">
        <v>3</v>
      </c>
      <c r="AY174" s="438">
        <v>4</v>
      </c>
      <c r="AZ174" s="438">
        <v>3</v>
      </c>
      <c r="BA174" s="438">
        <v>3</v>
      </c>
      <c r="BB174" s="438">
        <v>3</v>
      </c>
      <c r="BC174" s="438">
        <v>4</v>
      </c>
      <c r="BD174" s="438">
        <v>4</v>
      </c>
      <c r="BE174" s="438">
        <v>4</v>
      </c>
      <c r="BF174" s="438">
        <v>3</v>
      </c>
      <c r="BG174" s="438">
        <v>3</v>
      </c>
      <c r="BH174" s="438">
        <v>3</v>
      </c>
      <c r="BI174" s="438">
        <v>5</v>
      </c>
      <c r="BJ174" s="438">
        <v>4</v>
      </c>
      <c r="BK174" s="438">
        <v>3</v>
      </c>
      <c r="BL174" s="438">
        <v>5</v>
      </c>
      <c r="BM174" s="438">
        <v>3</v>
      </c>
      <c r="BN174" s="422" t="s">
        <v>572</v>
      </c>
      <c r="BO174" s="438">
        <v>-54.821428571428498</v>
      </c>
      <c r="BP174" s="438">
        <v>-673.46428571428498</v>
      </c>
      <c r="BQ174" s="422">
        <f t="shared" si="1449"/>
        <v>-728.28571428571354</v>
      </c>
      <c r="BR174" s="438" t="str">
        <f t="shared" si="1450"/>
        <v/>
      </c>
      <c r="BS174" s="422">
        <v>-54.821428571428498</v>
      </c>
      <c r="BT174" s="438">
        <v>-507.53571428571399</v>
      </c>
      <c r="BU174" s="422">
        <f t="shared" si="1451"/>
        <v>-562.35714285714243</v>
      </c>
      <c r="BV174" s="438" t="str">
        <f t="shared" si="1452"/>
        <v/>
      </c>
      <c r="BW174" s="422">
        <v>-54.821428571428498</v>
      </c>
      <c r="BX174" s="422">
        <v>-488.10714285714198</v>
      </c>
      <c r="BY174" s="422">
        <f t="shared" si="1453"/>
        <v>-542.92857142857042</v>
      </c>
      <c r="BZ174" s="438" t="str">
        <f t="shared" si="1454"/>
        <v/>
      </c>
      <c r="CA174" s="422">
        <v>-54.821428571428498</v>
      </c>
      <c r="CB174" s="422">
        <v>-508.92857142857201</v>
      </c>
      <c r="CC174" s="422">
        <f t="shared" si="1455"/>
        <v>-563.75000000000045</v>
      </c>
      <c r="CD174" s="438" t="str">
        <f t="shared" si="1456"/>
        <v/>
      </c>
      <c r="CE174" s="422">
        <v>35</v>
      </c>
      <c r="CF174" s="422">
        <v>-493.14285714285802</v>
      </c>
      <c r="CG174" s="422">
        <f t="shared" si="1457"/>
        <v>-458.14285714285802</v>
      </c>
      <c r="CH174" s="438" t="str">
        <f t="shared" si="1458"/>
        <v/>
      </c>
      <c r="CI174" s="422">
        <v>-54.821428571428498</v>
      </c>
      <c r="CJ174" s="422">
        <v>-267.82142857142799</v>
      </c>
      <c r="CK174" s="422">
        <f t="shared" si="1459"/>
        <v>-322.64285714285649</v>
      </c>
      <c r="CL174" s="438" t="str">
        <f t="shared" si="1460"/>
        <v/>
      </c>
      <c r="CM174" s="422">
        <v>-54.821428571428498</v>
      </c>
      <c r="CN174" s="422"/>
      <c r="CO174" s="422"/>
      <c r="CP174" s="422">
        <f t="shared" ref="CP174" si="1490">CM174</f>
        <v>-54.821428571428498</v>
      </c>
      <c r="CQ174" s="422">
        <v>8.6206896552951696E-3</v>
      </c>
      <c r="CR174" s="422">
        <f t="shared" si="1462"/>
        <v>-54.812807881773203</v>
      </c>
      <c r="CS174" s="438" t="str">
        <f t="shared" si="1463"/>
        <v/>
      </c>
      <c r="CT174" s="422">
        <v>-116.315789473685</v>
      </c>
      <c r="CU174" s="422">
        <v>-565.26315789473699</v>
      </c>
      <c r="CV174" s="422">
        <f t="shared" si="1464"/>
        <v>-681.57894736842195</v>
      </c>
      <c r="CW174" s="438" t="str">
        <f t="shared" si="1465"/>
        <v/>
      </c>
      <c r="CX174" s="422">
        <v>35</v>
      </c>
      <c r="CY174" s="422">
        <v>-508.92857142857201</v>
      </c>
      <c r="CZ174" s="422">
        <f t="shared" si="1466"/>
        <v>-473.92857142857201</v>
      </c>
      <c r="DA174" s="438" t="str">
        <f t="shared" si="1467"/>
        <v/>
      </c>
      <c r="DB174" s="422">
        <f t="shared" si="1484"/>
        <v>35</v>
      </c>
      <c r="DC174" s="422">
        <v>-414.107142857143</v>
      </c>
      <c r="DD174" s="422">
        <f t="shared" si="1468"/>
        <v>-379.107142857143</v>
      </c>
      <c r="DE174" s="422" t="str">
        <f t="shared" si="1469"/>
        <v/>
      </c>
      <c r="DF174" s="422">
        <f t="shared" si="1470"/>
        <v>35</v>
      </c>
      <c r="DG174" s="422">
        <v>-508.92857142857201</v>
      </c>
      <c r="DH174" s="422">
        <f t="shared" si="1471"/>
        <v>-473.92857142857201</v>
      </c>
      <c r="DI174" s="422" t="str">
        <f t="shared" si="1472"/>
        <v/>
      </c>
      <c r="DJ174" s="422">
        <f t="shared" si="1485"/>
        <v>35</v>
      </c>
      <c r="DK174" s="422">
        <v>17.107142857142801</v>
      </c>
      <c r="DL174" s="422">
        <f t="shared" si="1473"/>
        <v>52.107142857142804</v>
      </c>
      <c r="DM174" s="422" t="str">
        <f t="shared" si="1474"/>
        <v>C6</v>
      </c>
      <c r="DN174" s="422">
        <f t="shared" si="1486"/>
        <v>35</v>
      </c>
      <c r="DO174" s="422">
        <v>-56.178571428570997</v>
      </c>
      <c r="DP174" s="422">
        <f t="shared" si="1475"/>
        <v>-21.178571428570997</v>
      </c>
      <c r="DQ174" s="438" t="str">
        <f t="shared" si="1476"/>
        <v/>
      </c>
      <c r="DR174" s="422">
        <f t="shared" si="1487"/>
        <v>35</v>
      </c>
      <c r="DS174" s="422">
        <v>-408.60714285714198</v>
      </c>
      <c r="DT174" s="422">
        <f t="shared" si="1477"/>
        <v>-373.60714285714198</v>
      </c>
      <c r="DU174" s="438" t="str">
        <f t="shared" si="1478"/>
        <v/>
      </c>
      <c r="DV174" s="422">
        <f t="shared" si="1488"/>
        <v>35</v>
      </c>
      <c r="DW174" s="422">
        <v>35.071428571428498</v>
      </c>
      <c r="DX174" s="422">
        <f t="shared" si="1479"/>
        <v>70.071428571428498</v>
      </c>
      <c r="DY174" s="438" t="str">
        <f t="shared" si="1480"/>
        <v>B2</v>
      </c>
      <c r="DZ174" s="422">
        <f t="shared" si="1481"/>
        <v>35</v>
      </c>
      <c r="EA174" s="422">
        <v>-84.75</v>
      </c>
      <c r="EB174" s="422">
        <f t="shared" si="1482"/>
        <v>-49.75</v>
      </c>
      <c r="EC174" s="438" t="str">
        <f t="shared" si="1483"/>
        <v/>
      </c>
      <c r="ED174" s="422">
        <f t="shared" si="1187"/>
        <v>-5563.8203266787641</v>
      </c>
      <c r="EE174" s="422">
        <f t="shared" si="1190"/>
        <v>-347.73877041742276</v>
      </c>
      <c r="EF174" s="438" t="str">
        <f t="shared" si="1191"/>
        <v/>
      </c>
      <c r="EG174" s="422" t="str">
        <f t="shared" si="1192"/>
        <v/>
      </c>
      <c r="EH174" s="439">
        <v>1</v>
      </c>
      <c r="EI174" s="422">
        <f t="shared" si="1193"/>
        <v>-5563.8203266787641</v>
      </c>
      <c r="EJ174" s="440">
        <f t="shared" si="1194"/>
        <v>-3.4773877041742276</v>
      </c>
      <c r="EK174" s="438" t="s">
        <v>746</v>
      </c>
      <c r="EL174" s="438" t="s">
        <v>762</v>
      </c>
    </row>
    <row r="175" spans="1:142" ht="34.5" customHeight="1">
      <c r="AB175" s="435"/>
      <c r="AC175" s="422"/>
      <c r="AD175" s="422"/>
      <c r="AE175" s="422"/>
      <c r="AF175" s="422"/>
      <c r="AG175" s="422"/>
      <c r="AH175" s="422"/>
      <c r="AI175" s="422"/>
      <c r="AJ175" s="437"/>
      <c r="AK175" s="422"/>
      <c r="AL175" s="424"/>
      <c r="AM175" s="422"/>
      <c r="AN175" s="422"/>
      <c r="AO175" s="422"/>
      <c r="AP175" s="438"/>
      <c r="AQ175" s="422"/>
      <c r="AR175" s="422"/>
      <c r="AS175" s="422"/>
      <c r="AT175" s="422"/>
      <c r="AU175" s="422"/>
      <c r="AV175" s="422"/>
      <c r="AW175" s="422"/>
      <c r="AX175" s="422"/>
      <c r="AY175" s="422"/>
      <c r="AZ175" s="422"/>
      <c r="BA175" s="422"/>
      <c r="BB175" s="422"/>
      <c r="BC175" s="422"/>
      <c r="BD175" s="422"/>
      <c r="BE175" s="422"/>
      <c r="BF175" s="422"/>
      <c r="BG175" s="422"/>
      <c r="BH175" s="422"/>
      <c r="BI175" s="422"/>
      <c r="BJ175" s="422"/>
      <c r="BK175" s="422"/>
      <c r="BL175" s="422"/>
      <c r="BM175" s="422"/>
      <c r="BN175" s="422"/>
      <c r="BO175" s="422"/>
      <c r="BP175" s="422"/>
      <c r="BQ175" s="422"/>
      <c r="BR175" s="422"/>
      <c r="BS175" s="422"/>
      <c r="BT175" s="422"/>
      <c r="BU175" s="422"/>
      <c r="BV175" s="438"/>
      <c r="BW175" s="422"/>
      <c r="BX175" s="422"/>
      <c r="BY175" s="422"/>
      <c r="BZ175" s="422"/>
      <c r="CA175" s="422"/>
      <c r="CB175" s="422"/>
      <c r="CC175" s="422"/>
      <c r="CD175" s="422"/>
      <c r="CE175" s="422"/>
      <c r="CF175" s="422"/>
      <c r="CG175" s="422"/>
      <c r="CH175" s="422"/>
      <c r="CI175" s="422"/>
      <c r="CJ175" s="422"/>
      <c r="CK175" s="422"/>
      <c r="CL175" s="422"/>
      <c r="CM175" s="422"/>
      <c r="CN175" s="422"/>
      <c r="CO175" s="422"/>
      <c r="CP175" s="422"/>
      <c r="CQ175" s="422"/>
      <c r="CR175" s="422"/>
      <c r="CS175" s="438"/>
      <c r="CT175" s="422"/>
      <c r="CU175" s="422"/>
      <c r="CV175" s="422"/>
      <c r="CW175" s="438"/>
      <c r="CX175" s="422"/>
      <c r="CY175" s="422"/>
      <c r="CZ175" s="422"/>
      <c r="DA175" s="438"/>
      <c r="DB175" s="422"/>
      <c r="DC175" s="422"/>
      <c r="DD175" s="422"/>
      <c r="DE175" s="422"/>
      <c r="DF175" s="422"/>
      <c r="DG175" s="422"/>
      <c r="DH175" s="422"/>
      <c r="DI175" s="422"/>
      <c r="DJ175" s="422"/>
      <c r="DK175" s="422"/>
      <c r="DL175" s="422"/>
      <c r="DM175" s="422"/>
      <c r="DN175" s="422"/>
      <c r="DO175" s="422"/>
      <c r="DP175" s="422"/>
      <c r="DQ175" s="438"/>
      <c r="DR175" s="422"/>
      <c r="DS175" s="422"/>
      <c r="DT175" s="422"/>
      <c r="DU175" s="438"/>
      <c r="DV175" s="422"/>
      <c r="DW175" s="422"/>
      <c r="DX175" s="422"/>
      <c r="DY175" s="438"/>
      <c r="DZ175" s="422"/>
      <c r="EA175" s="422"/>
      <c r="EB175" s="422"/>
      <c r="EC175" s="438"/>
      <c r="ED175" s="422"/>
      <c r="EE175" s="422"/>
      <c r="EF175" s="438"/>
      <c r="EG175" s="422"/>
      <c r="EH175" s="422"/>
      <c r="EI175" s="422"/>
      <c r="EJ175" s="438"/>
      <c r="EK175" s="422"/>
      <c r="EL175" s="422"/>
    </row>
    <row r="176" spans="1:142">
      <c r="AA176" s="446"/>
      <c r="AB176" s="441"/>
      <c r="AC176" s="442"/>
      <c r="AD176" s="442"/>
      <c r="AE176" s="442"/>
      <c r="AF176" s="442"/>
      <c r="AG176" s="442"/>
      <c r="AH176" s="442"/>
      <c r="AI176" s="442"/>
      <c r="AJ176" s="443"/>
      <c r="AK176" s="442"/>
      <c r="AL176" s="444"/>
      <c r="AM176" s="442"/>
      <c r="AN176" s="442"/>
      <c r="AO176" s="442"/>
      <c r="AP176" s="445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  <c r="BA176" s="442"/>
      <c r="BB176" s="442"/>
      <c r="BC176" s="442"/>
      <c r="BD176" s="442"/>
      <c r="BE176" s="442"/>
      <c r="BF176" s="442"/>
      <c r="BG176" s="442"/>
      <c r="BH176" s="442"/>
      <c r="BI176" s="442"/>
      <c r="BJ176" s="442"/>
      <c r="BK176" s="442"/>
      <c r="BL176" s="442"/>
      <c r="BM176" s="442"/>
      <c r="BN176" s="442"/>
    </row>
    <row r="177" spans="28:28">
      <c r="AB177" s="400"/>
    </row>
    <row r="178" spans="28:28">
      <c r="AB178" s="400"/>
    </row>
    <row r="179" spans="28:28">
      <c r="AB179" s="400"/>
    </row>
    <row r="180" spans="28:28">
      <c r="AB180" s="400"/>
    </row>
    <row r="181" spans="28:28">
      <c r="AB181" s="400"/>
    </row>
    <row r="182" spans="28:28">
      <c r="AB182" s="400"/>
    </row>
    <row r="183" spans="28:28">
      <c r="AB183" s="400"/>
    </row>
    <row r="184" spans="28:28">
      <c r="AB184" s="400"/>
    </row>
    <row r="185" spans="28:28">
      <c r="AB185" s="400"/>
    </row>
    <row r="186" spans="28:28">
      <c r="AB186" s="400"/>
    </row>
    <row r="187" spans="28:28">
      <c r="AB187" s="400"/>
    </row>
    <row r="188" spans="28:28">
      <c r="AB188" s="400"/>
    </row>
    <row r="189" spans="28:28">
      <c r="AB189" s="400"/>
    </row>
    <row r="190" spans="28:28">
      <c r="AB190" s="400"/>
    </row>
    <row r="191" spans="28:28">
      <c r="AB191" s="400"/>
    </row>
    <row r="192" spans="28:28">
      <c r="AB192" s="400"/>
    </row>
    <row r="193" spans="28:28">
      <c r="AB193" s="400"/>
    </row>
  </sheetData>
  <mergeCells count="208">
    <mergeCell ref="BO1:BP1"/>
    <mergeCell ref="CZ1:DC1"/>
    <mergeCell ref="DD1:DG1"/>
    <mergeCell ref="DH1:DK1"/>
    <mergeCell ref="DL1:DO1"/>
    <mergeCell ref="DP1:DS1"/>
    <mergeCell ref="DT1:DW1"/>
    <mergeCell ref="DX1:EA1"/>
    <mergeCell ref="T32:T33"/>
    <mergeCell ref="U32:U33"/>
    <mergeCell ref="BQ1:BT1"/>
    <mergeCell ref="BU1:BX1"/>
    <mergeCell ref="BY1:CB1"/>
    <mergeCell ref="CC1:CF1"/>
    <mergeCell ref="CG1:CJ1"/>
    <mergeCell ref="CK1:CN1"/>
    <mergeCell ref="CO1:CQ1"/>
    <mergeCell ref="CR1:CU1"/>
    <mergeCell ref="CV1:CY1"/>
    <mergeCell ref="F16:T17"/>
    <mergeCell ref="D23:G23"/>
    <mergeCell ref="H23:I23"/>
    <mergeCell ref="N29:O29"/>
    <mergeCell ref="V16:X57"/>
    <mergeCell ref="A114:Z174"/>
    <mergeCell ref="Y89:Z113"/>
    <mergeCell ref="A1:Z3"/>
    <mergeCell ref="J20:J21"/>
    <mergeCell ref="K20:M20"/>
    <mergeCell ref="K21:M21"/>
    <mergeCell ref="J22:M22"/>
    <mergeCell ref="J23:M23"/>
    <mergeCell ref="P19:P21"/>
    <mergeCell ref="Q19:U21"/>
    <mergeCell ref="B22:C22"/>
    <mergeCell ref="D22:E22"/>
    <mergeCell ref="F22:I22"/>
    <mergeCell ref="N22:O22"/>
    <mergeCell ref="P22:R22"/>
    <mergeCell ref="P23:U23"/>
    <mergeCell ref="S22:U22"/>
    <mergeCell ref="B24:E24"/>
    <mergeCell ref="B25:E25"/>
    <mergeCell ref="F24:G24"/>
    <mergeCell ref="F25:G25"/>
    <mergeCell ref="N23:O23"/>
    <mergeCell ref="F12:T13"/>
    <mergeCell ref="F14:T15"/>
    <mergeCell ref="N31:O31"/>
    <mergeCell ref="B12:E17"/>
    <mergeCell ref="B18:U18"/>
    <mergeCell ref="U4:U17"/>
    <mergeCell ref="B4:E11"/>
    <mergeCell ref="F4:T6"/>
    <mergeCell ref="F7:T8"/>
    <mergeCell ref="F9:T9"/>
    <mergeCell ref="F10:T10"/>
    <mergeCell ref="F11:T11"/>
    <mergeCell ref="B19:C19"/>
    <mergeCell ref="D19:M19"/>
    <mergeCell ref="B20:C21"/>
    <mergeCell ref="B26:M26"/>
    <mergeCell ref="H24:U25"/>
    <mergeCell ref="N26:U27"/>
    <mergeCell ref="E27:E28"/>
    <mergeCell ref="F27:F28"/>
    <mergeCell ref="G27:G28"/>
    <mergeCell ref="K27:K28"/>
    <mergeCell ref="L27:L28"/>
    <mergeCell ref="P28:Q28"/>
    <mergeCell ref="T28:U28"/>
    <mergeCell ref="R28:S28"/>
    <mergeCell ref="A4:A86"/>
    <mergeCell ref="D20:I21"/>
    <mergeCell ref="H27:H28"/>
    <mergeCell ref="I27:I28"/>
    <mergeCell ref="J27:J28"/>
    <mergeCell ref="B23:C23"/>
    <mergeCell ref="B72:J83"/>
    <mergeCell ref="B44:D44"/>
    <mergeCell ref="B45:D45"/>
    <mergeCell ref="B46:D46"/>
    <mergeCell ref="B39:D39"/>
    <mergeCell ref="B40:D40"/>
    <mergeCell ref="B41:D41"/>
    <mergeCell ref="B42:D42"/>
    <mergeCell ref="B43:D43"/>
    <mergeCell ref="B34:D34"/>
    <mergeCell ref="B35:D35"/>
    <mergeCell ref="B36:D36"/>
    <mergeCell ref="B37:D37"/>
    <mergeCell ref="B38:D38"/>
    <mergeCell ref="B30:D30"/>
    <mergeCell ref="B31:D31"/>
    <mergeCell ref="B32:D32"/>
    <mergeCell ref="B33:D33"/>
    <mergeCell ref="P39:Q39"/>
    <mergeCell ref="P40:Q40"/>
    <mergeCell ref="N54:O54"/>
    <mergeCell ref="N55:O55"/>
    <mergeCell ref="N28:O28"/>
    <mergeCell ref="N48:O48"/>
    <mergeCell ref="N49:O49"/>
    <mergeCell ref="N50:O50"/>
    <mergeCell ref="N43:O43"/>
    <mergeCell ref="N44:O44"/>
    <mergeCell ref="N45:O45"/>
    <mergeCell ref="N46:O46"/>
    <mergeCell ref="N47:O47"/>
    <mergeCell ref="N38:O38"/>
    <mergeCell ref="N40:O40"/>
    <mergeCell ref="N39:O39"/>
    <mergeCell ref="N41:O41"/>
    <mergeCell ref="N42:O42"/>
    <mergeCell ref="N32:O33"/>
    <mergeCell ref="N34:O34"/>
    <mergeCell ref="N35:O35"/>
    <mergeCell ref="N36:O36"/>
    <mergeCell ref="N37:O37"/>
    <mergeCell ref="N30:O30"/>
    <mergeCell ref="R57:S57"/>
    <mergeCell ref="P57:Q57"/>
    <mergeCell ref="K48:L48"/>
    <mergeCell ref="K49:L49"/>
    <mergeCell ref="K50:L50"/>
    <mergeCell ref="K51:L51"/>
    <mergeCell ref="K52:L52"/>
    <mergeCell ref="K53:L53"/>
    <mergeCell ref="K54:L58"/>
    <mergeCell ref="N56:O56"/>
    <mergeCell ref="N57:O57"/>
    <mergeCell ref="M28:M72"/>
    <mergeCell ref="N59:O60"/>
    <mergeCell ref="N61:O62"/>
    <mergeCell ref="O72:R72"/>
    <mergeCell ref="P29:Q29"/>
    <mergeCell ref="P30:Q30"/>
    <mergeCell ref="P31:Q31"/>
    <mergeCell ref="P32:Q33"/>
    <mergeCell ref="P34:Q34"/>
    <mergeCell ref="P35:Q35"/>
    <mergeCell ref="P36:Q36"/>
    <mergeCell ref="P37:Q37"/>
    <mergeCell ref="P38:Q38"/>
    <mergeCell ref="N51:O51"/>
    <mergeCell ref="N52:O52"/>
    <mergeCell ref="N53:O53"/>
    <mergeCell ref="P53:Q53"/>
    <mergeCell ref="P54:Q54"/>
    <mergeCell ref="P52:Q52"/>
    <mergeCell ref="P55:Q55"/>
    <mergeCell ref="P56:Q56"/>
    <mergeCell ref="R53:S53"/>
    <mergeCell ref="R54:S54"/>
    <mergeCell ref="R55:S55"/>
    <mergeCell ref="R56:S56"/>
    <mergeCell ref="O73:R73"/>
    <mergeCell ref="O74:R74"/>
    <mergeCell ref="O75:R75"/>
    <mergeCell ref="M81:Z88"/>
    <mergeCell ref="K72:L81"/>
    <mergeCell ref="B59:E60"/>
    <mergeCell ref="B61:E62"/>
    <mergeCell ref="B63:E64"/>
    <mergeCell ref="F59:L60"/>
    <mergeCell ref="F61:L62"/>
    <mergeCell ref="F63:L64"/>
    <mergeCell ref="P61:U62"/>
    <mergeCell ref="N63:O64"/>
    <mergeCell ref="P59:U60"/>
    <mergeCell ref="P63:U64"/>
    <mergeCell ref="O69:R69"/>
    <mergeCell ref="O70:R70"/>
    <mergeCell ref="O71:R71"/>
    <mergeCell ref="P41:Q41"/>
    <mergeCell ref="P42:Q42"/>
    <mergeCell ref="P43:Q43"/>
    <mergeCell ref="P44:Q44"/>
    <mergeCell ref="P45:Q45"/>
    <mergeCell ref="P46:Q46"/>
    <mergeCell ref="P47:Q47"/>
    <mergeCell ref="R45:S45"/>
    <mergeCell ref="R46:S46"/>
    <mergeCell ref="R47:S47"/>
    <mergeCell ref="R48:S48"/>
    <mergeCell ref="R49:S49"/>
    <mergeCell ref="R50:S50"/>
    <mergeCell ref="R51:S51"/>
    <mergeCell ref="P48:Q48"/>
    <mergeCell ref="P49:Q49"/>
    <mergeCell ref="P50:Q50"/>
    <mergeCell ref="P51:Q51"/>
    <mergeCell ref="R52:S52"/>
    <mergeCell ref="R39:S39"/>
    <mergeCell ref="R40:S40"/>
    <mergeCell ref="R41:S41"/>
    <mergeCell ref="R42:S42"/>
    <mergeCell ref="R43:S43"/>
    <mergeCell ref="R44:S44"/>
    <mergeCell ref="R29:S29"/>
    <mergeCell ref="R30:S30"/>
    <mergeCell ref="R31:S31"/>
    <mergeCell ref="R32:S33"/>
    <mergeCell ref="R34:S34"/>
    <mergeCell ref="R35:S35"/>
    <mergeCell ref="R36:S36"/>
    <mergeCell ref="R37:S37"/>
    <mergeCell ref="R38:S3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M79"/>
  <sheetViews>
    <sheetView workbookViewId="0">
      <selection activeCell="B19" sqref="B19"/>
    </sheetView>
  </sheetViews>
  <sheetFormatPr defaultRowHeight="15"/>
  <sheetData>
    <row r="2" spans="1:91"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  <c r="BE2" s="370"/>
      <c r="BF2" s="370"/>
      <c r="BG2" s="370"/>
      <c r="BH2" s="370"/>
      <c r="BI2" s="370"/>
      <c r="BJ2" s="370"/>
      <c r="BK2" s="370"/>
      <c r="BL2" s="370"/>
      <c r="BM2" s="370"/>
      <c r="BN2" s="370"/>
      <c r="BO2" s="370"/>
      <c r="BP2" s="370"/>
      <c r="BQ2" s="370"/>
      <c r="BR2" s="370"/>
      <c r="BS2" s="370"/>
      <c r="BT2" s="370"/>
      <c r="BU2" s="370"/>
      <c r="BV2" s="370"/>
      <c r="BW2" s="370"/>
      <c r="BX2" s="370"/>
      <c r="BY2" s="370"/>
      <c r="BZ2" s="370"/>
      <c r="CA2" s="370"/>
      <c r="CB2" s="370"/>
      <c r="CC2" s="370"/>
      <c r="CD2" s="370"/>
      <c r="CE2" s="370"/>
      <c r="CF2" s="370"/>
      <c r="CG2" s="370"/>
      <c r="CH2" s="370"/>
      <c r="CI2" s="370"/>
      <c r="CJ2" s="370"/>
      <c r="CK2" s="370"/>
      <c r="CL2" s="370"/>
      <c r="CM2" s="370"/>
    </row>
    <row r="3" spans="1:9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370"/>
      <c r="BG3" s="370"/>
      <c r="BH3" s="370"/>
      <c r="BI3" s="370"/>
      <c r="BJ3" s="370"/>
      <c r="BK3" s="370"/>
      <c r="BL3" s="370"/>
      <c r="BM3" s="370"/>
      <c r="BN3" s="370"/>
      <c r="BO3" s="370"/>
      <c r="BP3" s="370"/>
      <c r="BQ3" s="370"/>
      <c r="BR3" s="370"/>
      <c r="BS3" s="370"/>
      <c r="BT3" s="370"/>
      <c r="BU3" s="370"/>
      <c r="BV3" s="370"/>
      <c r="BW3" s="370"/>
      <c r="BX3" s="370"/>
      <c r="BY3" s="370"/>
      <c r="BZ3" s="370"/>
      <c r="CA3" s="370"/>
      <c r="CB3" s="370"/>
      <c r="CC3" s="370"/>
      <c r="CD3" s="370"/>
      <c r="CE3" s="370"/>
      <c r="CF3" s="370"/>
      <c r="CG3" s="370"/>
      <c r="CH3" s="370"/>
      <c r="CI3" s="370"/>
      <c r="CJ3" s="370"/>
      <c r="CK3" s="370"/>
      <c r="CL3" s="370"/>
      <c r="CM3" s="370"/>
    </row>
    <row r="4" spans="1:9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70"/>
      <c r="AZ4" s="370"/>
      <c r="BA4" s="370"/>
      <c r="BB4" s="370"/>
      <c r="BC4" s="370"/>
      <c r="BD4" s="370"/>
      <c r="BE4" s="370"/>
      <c r="BF4" s="370"/>
      <c r="BG4" s="370"/>
      <c r="BH4" s="370"/>
      <c r="BI4" s="370"/>
      <c r="BJ4" s="370"/>
      <c r="BK4" s="370"/>
      <c r="BL4" s="370"/>
      <c r="BM4" s="370"/>
      <c r="BN4" s="370"/>
      <c r="BO4" s="370"/>
      <c r="BP4" s="370"/>
      <c r="BQ4" s="370"/>
      <c r="BR4" s="370"/>
      <c r="BS4" s="370"/>
      <c r="BT4" s="370"/>
      <c r="BU4" s="370"/>
      <c r="BV4" s="370"/>
      <c r="BW4" s="370"/>
      <c r="BX4" s="370"/>
      <c r="BY4" s="370"/>
      <c r="BZ4" s="370"/>
      <c r="CA4" s="370"/>
      <c r="CB4" s="370"/>
      <c r="CC4" s="370"/>
      <c r="CD4" s="370"/>
      <c r="CE4" s="370"/>
      <c r="CF4" s="370"/>
      <c r="CG4" s="370"/>
      <c r="CH4" s="370"/>
      <c r="CI4" s="370"/>
      <c r="CJ4" s="370"/>
      <c r="CK4" s="370"/>
      <c r="CL4" s="370"/>
      <c r="CM4" s="370"/>
    </row>
    <row r="5" spans="1:9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 t="s">
        <v>262</v>
      </c>
      <c r="AG5" s="370" t="s">
        <v>263</v>
      </c>
      <c r="AH5" s="370" t="s">
        <v>264</v>
      </c>
      <c r="AI5" s="370" t="s">
        <v>265</v>
      </c>
      <c r="AJ5" s="370" t="s">
        <v>266</v>
      </c>
      <c r="AK5" s="370" t="s">
        <v>267</v>
      </c>
      <c r="AL5" s="370" t="s">
        <v>268</v>
      </c>
      <c r="AM5" s="370" t="s">
        <v>269</v>
      </c>
      <c r="AN5" s="370" t="s">
        <v>270</v>
      </c>
      <c r="AO5" s="370" t="s">
        <v>271</v>
      </c>
      <c r="AP5" s="370" t="s">
        <v>272</v>
      </c>
      <c r="AQ5" s="370" t="s">
        <v>273</v>
      </c>
      <c r="AR5" s="370" t="s">
        <v>274</v>
      </c>
      <c r="AS5" s="370" t="s">
        <v>275</v>
      </c>
      <c r="AT5" s="370" t="s">
        <v>276</v>
      </c>
      <c r="AU5" s="370" t="s">
        <v>277</v>
      </c>
      <c r="AV5" s="370" t="s">
        <v>278</v>
      </c>
      <c r="AW5" s="370" t="s">
        <v>279</v>
      </c>
      <c r="AX5" s="370" t="s">
        <v>280</v>
      </c>
      <c r="AY5" s="370" t="s">
        <v>281</v>
      </c>
      <c r="AZ5" s="370" t="s">
        <v>282</v>
      </c>
      <c r="BA5" s="370" t="s">
        <v>271</v>
      </c>
      <c r="BB5" s="370" t="s">
        <v>283</v>
      </c>
      <c r="BC5" s="370"/>
      <c r="BD5" s="370"/>
      <c r="BE5" s="370"/>
      <c r="BF5" s="370"/>
      <c r="BG5" s="370"/>
      <c r="BH5" s="370"/>
      <c r="BI5" s="370"/>
      <c r="BJ5" s="370"/>
      <c r="BK5" s="370"/>
      <c r="BL5" s="370"/>
      <c r="BM5" s="370"/>
      <c r="BN5" s="370"/>
      <c r="BO5" s="370"/>
      <c r="BP5" s="370"/>
      <c r="BQ5" s="370"/>
      <c r="BR5" s="370"/>
      <c r="BS5" s="370"/>
      <c r="BT5" s="370"/>
      <c r="BU5" s="370"/>
      <c r="BV5" s="370"/>
      <c r="BW5" s="370"/>
      <c r="BX5" s="370"/>
      <c r="BY5" s="370"/>
      <c r="BZ5" s="370"/>
      <c r="CA5" s="370"/>
      <c r="CB5" s="370"/>
      <c r="CC5" s="370"/>
      <c r="CD5" s="370"/>
      <c r="CE5" s="370"/>
      <c r="CF5" s="370"/>
      <c r="CG5" s="370"/>
      <c r="CH5" s="370"/>
      <c r="CI5" s="370"/>
      <c r="CJ5" s="370"/>
      <c r="CK5" s="370"/>
      <c r="CL5" s="370"/>
      <c r="CM5" s="370"/>
    </row>
    <row r="6" spans="1:91">
      <c r="A6" s="370"/>
      <c r="B6" s="370"/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  <c r="AC6" s="370"/>
      <c r="AD6" s="370"/>
      <c r="AE6" s="370"/>
      <c r="AF6" s="370" t="s">
        <v>284</v>
      </c>
      <c r="AG6" s="370" t="s">
        <v>285</v>
      </c>
      <c r="AH6" s="370">
        <v>22</v>
      </c>
      <c r="AI6" s="370">
        <f>AH6-2</f>
        <v>20</v>
      </c>
      <c r="AJ6" s="370" t="str">
        <f>IF(AND(AC6&gt;=100,AC6&lt;=128),"EXCELLENT",IF(AND(AC6&gt;=64,AC6&lt;100),"GOOD","POOR"))</f>
        <v>POOR</v>
      </c>
      <c r="AK6" s="370">
        <v>7</v>
      </c>
      <c r="AL6" s="370">
        <v>7</v>
      </c>
      <c r="AM6" s="370">
        <v>7</v>
      </c>
      <c r="AN6" s="370">
        <v>7</v>
      </c>
      <c r="AO6" s="370">
        <v>7</v>
      </c>
      <c r="AP6" s="370">
        <v>7</v>
      </c>
      <c r="AQ6" s="370">
        <v>7</v>
      </c>
      <c r="AR6" s="370">
        <v>7</v>
      </c>
      <c r="AS6" s="370">
        <v>7</v>
      </c>
      <c r="AT6" s="370">
        <v>7</v>
      </c>
      <c r="AU6" s="370">
        <v>7</v>
      </c>
      <c r="AV6" s="370">
        <v>7</v>
      </c>
      <c r="AW6" s="370">
        <v>7</v>
      </c>
      <c r="AX6" s="370">
        <v>7</v>
      </c>
      <c r="AY6" s="370">
        <v>7</v>
      </c>
      <c r="AZ6" s="370">
        <v>7</v>
      </c>
      <c r="BA6" s="370">
        <v>7</v>
      </c>
      <c r="BB6" s="370">
        <v>7</v>
      </c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0"/>
      <c r="BT6" s="370"/>
      <c r="BU6" s="370"/>
      <c r="BV6" s="370"/>
      <c r="BW6" s="370"/>
      <c r="BX6" s="370"/>
      <c r="BY6" s="370"/>
      <c r="BZ6" s="370"/>
      <c r="CA6" s="370"/>
      <c r="CB6" s="370"/>
      <c r="CC6" s="370"/>
      <c r="CD6" s="370"/>
      <c r="CE6" s="370"/>
      <c r="CF6" s="370"/>
      <c r="CG6" s="370"/>
      <c r="CH6" s="370"/>
      <c r="CI6" s="370"/>
      <c r="CJ6" s="370"/>
      <c r="CK6" s="370"/>
      <c r="CL6" s="370"/>
      <c r="CM6" s="370"/>
    </row>
    <row r="7" spans="1:91">
      <c r="A7" s="370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>
        <v>41184</v>
      </c>
      <c r="AG7" s="370" t="s">
        <v>285</v>
      </c>
      <c r="AH7" s="370">
        <v>19</v>
      </c>
      <c r="AI7" s="370">
        <f>AH7-2</f>
        <v>17</v>
      </c>
      <c r="AJ7" s="370" t="str">
        <f t="shared" ref="AJ7:AJ29" si="0">IF(AND(AC7&gt;=100,AC7&lt;=128),"EXCELLENT",IF(AND(AC7&gt;=64,AC7&lt;100),"GOOD","POOR"))</f>
        <v>POOR</v>
      </c>
      <c r="AK7" s="370">
        <v>5</v>
      </c>
      <c r="AL7" s="370">
        <v>5</v>
      </c>
      <c r="AM7" s="370">
        <v>5</v>
      </c>
      <c r="AN7" s="370">
        <v>5</v>
      </c>
      <c r="AO7" s="370">
        <v>5</v>
      </c>
      <c r="AP7" s="370">
        <v>5</v>
      </c>
      <c r="AQ7" s="370">
        <v>5</v>
      </c>
      <c r="AR7" s="370">
        <v>5</v>
      </c>
      <c r="AS7" s="370">
        <v>5</v>
      </c>
      <c r="AT7" s="370">
        <v>5</v>
      </c>
      <c r="AU7" s="370">
        <v>5</v>
      </c>
      <c r="AV7" s="370">
        <v>5</v>
      </c>
      <c r="AW7" s="370">
        <v>5</v>
      </c>
      <c r="AX7" s="370">
        <v>5</v>
      </c>
      <c r="AY7" s="370">
        <v>5</v>
      </c>
      <c r="AZ7" s="370">
        <v>5</v>
      </c>
      <c r="BA7" s="370">
        <v>5</v>
      </c>
      <c r="BB7" s="370">
        <v>5</v>
      </c>
      <c r="BC7" s="370"/>
      <c r="BD7" s="370"/>
      <c r="BE7" s="370"/>
      <c r="BF7" s="370"/>
      <c r="BG7" s="370"/>
      <c r="BH7" s="370"/>
      <c r="BI7" s="370"/>
      <c r="BJ7" s="370"/>
      <c r="BK7" s="370"/>
      <c r="BL7" s="370"/>
      <c r="BM7" s="370"/>
      <c r="BN7" s="370"/>
      <c r="BO7" s="370"/>
      <c r="BP7" s="370"/>
      <c r="BQ7" s="370"/>
      <c r="BR7" s="370"/>
      <c r="BS7" s="370"/>
      <c r="BT7" s="370"/>
      <c r="BU7" s="370"/>
      <c r="BV7" s="370"/>
      <c r="BW7" s="370"/>
      <c r="BX7" s="370"/>
      <c r="BY7" s="370"/>
      <c r="BZ7" s="370"/>
      <c r="CA7" s="370"/>
      <c r="CB7" s="370"/>
      <c r="CC7" s="370"/>
      <c r="CD7" s="370"/>
      <c r="CE7" s="370"/>
      <c r="CF7" s="370"/>
      <c r="CG7" s="370"/>
      <c r="CH7" s="370"/>
      <c r="CI7" s="370"/>
      <c r="CJ7" s="370"/>
      <c r="CK7" s="370"/>
      <c r="CL7" s="370"/>
      <c r="CM7" s="370"/>
    </row>
    <row r="8" spans="1:91">
      <c r="A8" s="370"/>
      <c r="B8" s="370"/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>
        <v>41250</v>
      </c>
      <c r="AG8" s="370" t="s">
        <v>285</v>
      </c>
      <c r="AH8" s="370">
        <v>23</v>
      </c>
      <c r="AI8" s="370">
        <f>AH8-2</f>
        <v>21</v>
      </c>
      <c r="AJ8" s="370" t="str">
        <f t="shared" si="0"/>
        <v>POOR</v>
      </c>
      <c r="AK8" s="370">
        <v>7</v>
      </c>
      <c r="AL8" s="370">
        <v>7</v>
      </c>
      <c r="AM8" s="370">
        <v>7</v>
      </c>
      <c r="AN8" s="370">
        <v>7</v>
      </c>
      <c r="AO8" s="370">
        <v>7</v>
      </c>
      <c r="AP8" s="370">
        <v>7</v>
      </c>
      <c r="AQ8" s="370">
        <v>7</v>
      </c>
      <c r="AR8" s="370">
        <v>7</v>
      </c>
      <c r="AS8" s="370">
        <v>7</v>
      </c>
      <c r="AT8" s="370">
        <v>7</v>
      </c>
      <c r="AU8" s="370">
        <v>7</v>
      </c>
      <c r="AV8" s="370">
        <v>7</v>
      </c>
      <c r="AW8" s="370">
        <v>7</v>
      </c>
      <c r="AX8" s="370">
        <v>7</v>
      </c>
      <c r="AY8" s="370">
        <v>7</v>
      </c>
      <c r="AZ8" s="370">
        <v>7</v>
      </c>
      <c r="BA8" s="370">
        <v>7</v>
      </c>
      <c r="BB8" s="370">
        <v>7</v>
      </c>
      <c r="BC8" s="370"/>
      <c r="BD8" s="370"/>
      <c r="BE8" s="370"/>
      <c r="BF8" s="370"/>
      <c r="BG8" s="370"/>
      <c r="BH8" s="370"/>
      <c r="BI8" s="370"/>
      <c r="BJ8" s="370"/>
      <c r="BK8" s="370"/>
      <c r="BL8" s="370"/>
      <c r="BM8" s="370"/>
      <c r="BN8" s="370"/>
      <c r="BO8" s="370"/>
      <c r="BP8" s="370"/>
      <c r="BQ8" s="370"/>
      <c r="BR8" s="370"/>
      <c r="BS8" s="370"/>
      <c r="BT8" s="370"/>
      <c r="BU8" s="370"/>
      <c r="BV8" s="370"/>
      <c r="BW8" s="370"/>
      <c r="BX8" s="370"/>
      <c r="BY8" s="370"/>
      <c r="BZ8" s="370"/>
      <c r="CA8" s="370"/>
      <c r="CB8" s="370"/>
      <c r="CC8" s="370"/>
      <c r="CD8" s="370"/>
      <c r="CE8" s="370"/>
      <c r="CF8" s="370"/>
      <c r="CG8" s="370"/>
      <c r="CH8" s="370"/>
      <c r="CI8" s="370"/>
      <c r="CJ8" s="370"/>
      <c r="CK8" s="370"/>
      <c r="CL8" s="370"/>
      <c r="CM8" s="370"/>
    </row>
    <row r="9" spans="1:91">
      <c r="A9" s="370"/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 t="s">
        <v>286</v>
      </c>
      <c r="AG9" s="370" t="s">
        <v>285</v>
      </c>
      <c r="AH9" s="370">
        <v>17</v>
      </c>
      <c r="AI9" s="370">
        <f>AH9-2</f>
        <v>15</v>
      </c>
      <c r="AJ9" s="370" t="str">
        <f t="shared" si="0"/>
        <v>POOR</v>
      </c>
      <c r="AK9" s="370">
        <v>5</v>
      </c>
      <c r="AL9" s="370">
        <v>5</v>
      </c>
      <c r="AM9" s="370">
        <v>5</v>
      </c>
      <c r="AN9" s="370">
        <v>5</v>
      </c>
      <c r="AO9" s="370">
        <v>5</v>
      </c>
      <c r="AP9" s="370">
        <v>5</v>
      </c>
      <c r="AQ9" s="370">
        <v>5</v>
      </c>
      <c r="AR9" s="370">
        <v>5</v>
      </c>
      <c r="AS9" s="370">
        <v>5</v>
      </c>
      <c r="AT9" s="370">
        <v>5</v>
      </c>
      <c r="AU9" s="370">
        <v>5</v>
      </c>
      <c r="AV9" s="370">
        <v>5</v>
      </c>
      <c r="AW9" s="370">
        <v>5</v>
      </c>
      <c r="AX9" s="370">
        <v>5</v>
      </c>
      <c r="AY9" s="370">
        <v>5</v>
      </c>
      <c r="AZ9" s="370">
        <v>5</v>
      </c>
      <c r="BA9" s="370">
        <v>5</v>
      </c>
      <c r="BB9" s="370">
        <v>5</v>
      </c>
      <c r="BC9" s="370"/>
      <c r="BD9" s="370"/>
      <c r="BE9" s="370"/>
      <c r="BF9" s="370"/>
      <c r="BG9" s="370"/>
      <c r="BH9" s="370"/>
      <c r="BI9" s="370"/>
      <c r="BJ9" s="370"/>
      <c r="BK9" s="370"/>
      <c r="BL9" s="370"/>
      <c r="BM9" s="370"/>
      <c r="BN9" s="370"/>
      <c r="BO9" s="370"/>
      <c r="BP9" s="370"/>
      <c r="BQ9" s="370"/>
      <c r="BR9" s="370"/>
      <c r="BS9" s="370"/>
      <c r="BT9" s="370"/>
      <c r="BU9" s="370"/>
      <c r="BV9" s="370"/>
      <c r="BW9" s="370"/>
      <c r="BX9" s="370"/>
      <c r="BY9" s="370"/>
      <c r="BZ9" s="370"/>
      <c r="CA9" s="370"/>
      <c r="CB9" s="370"/>
      <c r="CC9" s="370"/>
      <c r="CD9" s="370"/>
      <c r="CE9" s="370"/>
      <c r="CF9" s="370"/>
      <c r="CG9" s="370"/>
      <c r="CH9" s="370"/>
      <c r="CI9" s="370"/>
      <c r="CJ9" s="370"/>
      <c r="CK9" s="370"/>
      <c r="CL9" s="370"/>
      <c r="CM9" s="370"/>
    </row>
    <row r="10" spans="1:91">
      <c r="A10" s="370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  <c r="AC10" s="370"/>
      <c r="AD10" s="370"/>
      <c r="AE10" s="370"/>
      <c r="AF10" s="370">
        <v>41766</v>
      </c>
      <c r="AG10" s="370" t="s">
        <v>285</v>
      </c>
      <c r="AH10" s="370">
        <v>19</v>
      </c>
      <c r="AI10" s="370">
        <f t="shared" ref="AI10:AI53" si="1">AH10-2</f>
        <v>17</v>
      </c>
      <c r="AJ10" s="370" t="str">
        <f t="shared" si="0"/>
        <v>POOR</v>
      </c>
      <c r="AK10" s="370">
        <v>5</v>
      </c>
      <c r="AL10" s="370">
        <v>5</v>
      </c>
      <c r="AM10" s="370">
        <v>5</v>
      </c>
      <c r="AN10" s="370">
        <v>5</v>
      </c>
      <c r="AO10" s="370">
        <v>5</v>
      </c>
      <c r="AP10" s="370">
        <v>5</v>
      </c>
      <c r="AQ10" s="370">
        <v>5</v>
      </c>
      <c r="AR10" s="370">
        <v>5</v>
      </c>
      <c r="AS10" s="370">
        <v>5</v>
      </c>
      <c r="AT10" s="370">
        <v>5</v>
      </c>
      <c r="AU10" s="370">
        <v>5</v>
      </c>
      <c r="AV10" s="370">
        <v>5</v>
      </c>
      <c r="AW10" s="370">
        <v>5</v>
      </c>
      <c r="AX10" s="370">
        <v>5</v>
      </c>
      <c r="AY10" s="370">
        <v>5</v>
      </c>
      <c r="AZ10" s="370">
        <v>5</v>
      </c>
      <c r="BA10" s="370">
        <v>5</v>
      </c>
      <c r="BB10" s="370">
        <v>5</v>
      </c>
      <c r="BC10" s="370"/>
      <c r="BD10" s="370"/>
      <c r="BE10" s="370"/>
      <c r="BF10" s="370"/>
      <c r="BG10" s="370"/>
      <c r="BH10" s="370"/>
      <c r="BI10" s="370"/>
      <c r="BJ10" s="370"/>
      <c r="BK10" s="370"/>
      <c r="BL10" s="370"/>
      <c r="BM10" s="370"/>
      <c r="BN10" s="370"/>
      <c r="BO10" s="370"/>
      <c r="BP10" s="370"/>
      <c r="BQ10" s="370"/>
      <c r="BR10" s="370"/>
      <c r="BS10" s="370"/>
      <c r="BT10" s="370"/>
      <c r="BU10" s="370"/>
      <c r="BV10" s="370"/>
      <c r="BW10" s="370"/>
      <c r="BX10" s="370"/>
      <c r="BY10" s="370"/>
      <c r="BZ10" s="370"/>
      <c r="CA10" s="370"/>
      <c r="CB10" s="370"/>
      <c r="CC10" s="370"/>
      <c r="CD10" s="370"/>
      <c r="CE10" s="370"/>
      <c r="CF10" s="370"/>
      <c r="CG10" s="370"/>
      <c r="CH10" s="370"/>
      <c r="CI10" s="370"/>
      <c r="CJ10" s="370"/>
      <c r="CK10" s="370"/>
      <c r="CL10" s="370"/>
      <c r="CM10" s="370"/>
    </row>
    <row r="11" spans="1:91">
      <c r="A11" s="370"/>
      <c r="B11" s="370"/>
      <c r="C11" s="370"/>
      <c r="D11" s="370"/>
      <c r="E11" s="370"/>
      <c r="F11" s="370"/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  <c r="AA11" s="370"/>
      <c r="AB11" s="370"/>
      <c r="AC11" s="370"/>
      <c r="AD11" s="370"/>
      <c r="AE11" s="370"/>
      <c r="AF11" s="370" t="s">
        <v>287</v>
      </c>
      <c r="AG11" s="370" t="s">
        <v>285</v>
      </c>
      <c r="AH11" s="370">
        <v>21</v>
      </c>
      <c r="AI11" s="370">
        <f t="shared" si="1"/>
        <v>19</v>
      </c>
      <c r="AJ11" s="370" t="str">
        <f t="shared" si="0"/>
        <v>POOR</v>
      </c>
      <c r="AK11" s="370">
        <v>5</v>
      </c>
      <c r="AL11" s="370">
        <v>5</v>
      </c>
      <c r="AM11" s="370">
        <v>5</v>
      </c>
      <c r="AN11" s="370">
        <v>5</v>
      </c>
      <c r="AO11" s="370">
        <v>5</v>
      </c>
      <c r="AP11" s="370">
        <v>5</v>
      </c>
      <c r="AQ11" s="370">
        <v>5</v>
      </c>
      <c r="AR11" s="370">
        <v>5</v>
      </c>
      <c r="AS11" s="370">
        <v>5</v>
      </c>
      <c r="AT11" s="370">
        <v>5</v>
      </c>
      <c r="AU11" s="370">
        <v>5</v>
      </c>
      <c r="AV11" s="370">
        <v>5</v>
      </c>
      <c r="AW11" s="370">
        <v>5</v>
      </c>
      <c r="AX11" s="370">
        <v>5</v>
      </c>
      <c r="AY11" s="370">
        <v>5</v>
      </c>
      <c r="AZ11" s="370">
        <v>5</v>
      </c>
      <c r="BA11" s="370">
        <v>5</v>
      </c>
      <c r="BB11" s="370">
        <v>5</v>
      </c>
      <c r="BC11" s="370"/>
      <c r="BD11" s="370"/>
      <c r="BE11" s="370"/>
      <c r="BF11" s="370"/>
      <c r="BG11" s="370"/>
      <c r="BH11" s="370"/>
      <c r="BI11" s="370"/>
      <c r="BJ11" s="370"/>
      <c r="BK11" s="370"/>
      <c r="BL11" s="370"/>
      <c r="BM11" s="370"/>
      <c r="BN11" s="370"/>
      <c r="BO11" s="370"/>
      <c r="BP11" s="370"/>
      <c r="BQ11" s="370"/>
      <c r="BR11" s="370"/>
      <c r="BS11" s="370"/>
      <c r="BT11" s="370"/>
      <c r="BU11" s="370"/>
      <c r="BV11" s="370"/>
      <c r="BW11" s="370"/>
      <c r="BX11" s="370"/>
      <c r="BY11" s="370"/>
      <c r="BZ11" s="370"/>
      <c r="CA11" s="370"/>
      <c r="CB11" s="370"/>
      <c r="CC11" s="370"/>
      <c r="CD11" s="370"/>
      <c r="CE11" s="370"/>
      <c r="CF11" s="370"/>
      <c r="CG11" s="370"/>
      <c r="CH11" s="370"/>
      <c r="CI11" s="370"/>
      <c r="CJ11" s="370"/>
      <c r="CK11" s="370"/>
      <c r="CL11" s="370"/>
      <c r="CM11" s="370"/>
    </row>
    <row r="12" spans="1:91">
      <c r="A12" s="370"/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>
        <v>41699</v>
      </c>
      <c r="AG12" s="370" t="s">
        <v>285</v>
      </c>
      <c r="AH12" s="370">
        <v>18</v>
      </c>
      <c r="AI12" s="370">
        <f t="shared" si="1"/>
        <v>16</v>
      </c>
      <c r="AJ12" s="370" t="str">
        <f t="shared" si="0"/>
        <v>POOR</v>
      </c>
      <c r="AK12" s="370">
        <v>6</v>
      </c>
      <c r="AL12" s="370">
        <v>6</v>
      </c>
      <c r="AM12" s="370">
        <v>6</v>
      </c>
      <c r="AN12" s="370">
        <v>6</v>
      </c>
      <c r="AO12" s="370">
        <v>6</v>
      </c>
      <c r="AP12" s="370">
        <v>6</v>
      </c>
      <c r="AQ12" s="370">
        <v>6</v>
      </c>
      <c r="AR12" s="370">
        <v>6</v>
      </c>
      <c r="AS12" s="370">
        <v>6</v>
      </c>
      <c r="AT12" s="370">
        <v>6</v>
      </c>
      <c r="AU12" s="370">
        <v>6</v>
      </c>
      <c r="AV12" s="370">
        <v>6</v>
      </c>
      <c r="AW12" s="370">
        <v>6</v>
      </c>
      <c r="AX12" s="370">
        <v>6</v>
      </c>
      <c r="AY12" s="370">
        <v>6</v>
      </c>
      <c r="AZ12" s="370">
        <v>6</v>
      </c>
      <c r="BA12" s="370">
        <v>6</v>
      </c>
      <c r="BB12" s="370">
        <v>6</v>
      </c>
      <c r="BC12" s="370"/>
      <c r="BD12" s="370"/>
      <c r="BE12" s="370"/>
      <c r="BF12" s="370"/>
      <c r="BG12" s="370"/>
      <c r="BH12" s="370"/>
      <c r="BI12" s="370"/>
      <c r="BJ12" s="370"/>
      <c r="BK12" s="370"/>
      <c r="BL12" s="370"/>
      <c r="BM12" s="370"/>
      <c r="BN12" s="370"/>
      <c r="BO12" s="370"/>
      <c r="BP12" s="370"/>
      <c r="BQ12" s="370"/>
      <c r="BR12" s="370"/>
      <c r="BS12" s="370"/>
      <c r="BT12" s="370"/>
      <c r="BU12" s="370"/>
      <c r="BV12" s="370"/>
      <c r="BW12" s="370"/>
      <c r="BX12" s="370"/>
      <c r="BY12" s="370"/>
      <c r="BZ12" s="370"/>
      <c r="CA12" s="370"/>
      <c r="CB12" s="370"/>
      <c r="CC12" s="370"/>
      <c r="CD12" s="370"/>
      <c r="CE12" s="370"/>
      <c r="CF12" s="370"/>
      <c r="CG12" s="370"/>
      <c r="CH12" s="370"/>
      <c r="CI12" s="370"/>
      <c r="CJ12" s="370"/>
      <c r="CK12" s="370"/>
      <c r="CL12" s="370"/>
      <c r="CM12" s="370"/>
    </row>
    <row r="13" spans="1:91">
      <c r="A13" s="370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 t="s">
        <v>288</v>
      </c>
      <c r="AG13" s="370" t="s">
        <v>285</v>
      </c>
      <c r="AH13" s="370">
        <v>19</v>
      </c>
      <c r="AI13" s="370">
        <f t="shared" si="1"/>
        <v>17</v>
      </c>
      <c r="AJ13" s="370" t="str">
        <f t="shared" si="0"/>
        <v>POOR</v>
      </c>
      <c r="AK13" s="370">
        <v>5</v>
      </c>
      <c r="AL13" s="370">
        <v>5</v>
      </c>
      <c r="AM13" s="370">
        <v>5</v>
      </c>
      <c r="AN13" s="370">
        <v>5</v>
      </c>
      <c r="AO13" s="370">
        <v>5</v>
      </c>
      <c r="AP13" s="370">
        <v>5</v>
      </c>
      <c r="AQ13" s="370">
        <v>5</v>
      </c>
      <c r="AR13" s="370">
        <v>5</v>
      </c>
      <c r="AS13" s="370">
        <v>5</v>
      </c>
      <c r="AT13" s="370">
        <v>5</v>
      </c>
      <c r="AU13" s="370">
        <v>5</v>
      </c>
      <c r="AV13" s="370">
        <v>5</v>
      </c>
      <c r="AW13" s="370">
        <v>5</v>
      </c>
      <c r="AX13" s="370">
        <v>5</v>
      </c>
      <c r="AY13" s="370">
        <v>5</v>
      </c>
      <c r="AZ13" s="370">
        <v>5</v>
      </c>
      <c r="BA13" s="370">
        <v>5</v>
      </c>
      <c r="BB13" s="370">
        <v>5</v>
      </c>
      <c r="BC13" s="370"/>
      <c r="BD13" s="370"/>
      <c r="BE13" s="370"/>
      <c r="BF13" s="370"/>
      <c r="BG13" s="370"/>
      <c r="BH13" s="370"/>
      <c r="BI13" s="370"/>
      <c r="BJ13" s="370"/>
      <c r="BK13" s="370"/>
      <c r="BL13" s="370"/>
      <c r="BM13" s="370"/>
      <c r="BN13" s="370"/>
      <c r="BO13" s="370"/>
      <c r="BP13" s="370"/>
      <c r="BQ13" s="370"/>
      <c r="BR13" s="370"/>
      <c r="BS13" s="370"/>
      <c r="BT13" s="370"/>
      <c r="BU13" s="370"/>
      <c r="BV13" s="370"/>
      <c r="BW13" s="370"/>
      <c r="BX13" s="370"/>
      <c r="BY13" s="370"/>
      <c r="BZ13" s="370"/>
      <c r="CA13" s="370"/>
      <c r="CB13" s="370"/>
      <c r="CC13" s="370"/>
      <c r="CD13" s="370"/>
      <c r="CE13" s="370"/>
      <c r="CF13" s="370"/>
      <c r="CG13" s="370"/>
      <c r="CH13" s="370"/>
      <c r="CI13" s="370"/>
      <c r="CJ13" s="370"/>
      <c r="CK13" s="370"/>
      <c r="CL13" s="370"/>
      <c r="CM13" s="370"/>
    </row>
    <row r="14" spans="1:91">
      <c r="AF14" t="s">
        <v>289</v>
      </c>
      <c r="AG14" t="s">
        <v>285</v>
      </c>
      <c r="AH14">
        <v>21</v>
      </c>
      <c r="AI14">
        <f t="shared" si="1"/>
        <v>19</v>
      </c>
      <c r="AJ14" t="str">
        <f t="shared" si="0"/>
        <v>POOR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</row>
    <row r="15" spans="1:91">
      <c r="AF15" t="s">
        <v>290</v>
      </c>
      <c r="AG15" t="s">
        <v>285</v>
      </c>
      <c r="AH15">
        <v>29</v>
      </c>
      <c r="AI15">
        <f t="shared" si="1"/>
        <v>27</v>
      </c>
      <c r="AJ15" t="str">
        <f t="shared" si="0"/>
        <v>POOR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</row>
    <row r="16" spans="1:91">
      <c r="AF16" t="s">
        <v>291</v>
      </c>
      <c r="AG16" t="s">
        <v>285</v>
      </c>
      <c r="AH16">
        <v>18</v>
      </c>
      <c r="AI16">
        <f t="shared" si="1"/>
        <v>16</v>
      </c>
      <c r="AJ16" t="str">
        <f t="shared" si="0"/>
        <v>POOR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6</v>
      </c>
      <c r="AU16">
        <v>6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6</v>
      </c>
    </row>
    <row r="17" spans="32:54">
      <c r="AF17">
        <v>41306</v>
      </c>
      <c r="AG17" t="s">
        <v>285</v>
      </c>
      <c r="AH17">
        <v>20</v>
      </c>
      <c r="AI17">
        <f t="shared" si="1"/>
        <v>18</v>
      </c>
      <c r="AJ17" t="str">
        <f t="shared" si="0"/>
        <v>POOR</v>
      </c>
      <c r="AK17">
        <v>7</v>
      </c>
      <c r="AL17">
        <v>7</v>
      </c>
      <c r="AM17">
        <v>7</v>
      </c>
      <c r="AN17">
        <v>7</v>
      </c>
      <c r="AO17">
        <v>7</v>
      </c>
      <c r="AP17">
        <v>7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7</v>
      </c>
      <c r="BB17">
        <v>7</v>
      </c>
    </row>
    <row r="18" spans="32:54">
      <c r="AF18" t="s">
        <v>292</v>
      </c>
      <c r="AG18" t="s">
        <v>285</v>
      </c>
      <c r="AH18">
        <v>23</v>
      </c>
      <c r="AI18">
        <f t="shared" si="1"/>
        <v>21</v>
      </c>
      <c r="AJ18" t="str">
        <f t="shared" si="0"/>
        <v>POOR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6</v>
      </c>
      <c r="AT18">
        <v>6</v>
      </c>
      <c r="AU18">
        <v>6</v>
      </c>
      <c r="AV18">
        <v>6</v>
      </c>
      <c r="AW18">
        <v>6</v>
      </c>
      <c r="AX18">
        <v>6</v>
      </c>
      <c r="AY18">
        <v>6</v>
      </c>
      <c r="AZ18">
        <v>6</v>
      </c>
      <c r="BA18">
        <v>6</v>
      </c>
      <c r="BB18">
        <v>6</v>
      </c>
    </row>
    <row r="19" spans="32:54">
      <c r="AF19" t="s">
        <v>293</v>
      </c>
      <c r="AG19" t="s">
        <v>285</v>
      </c>
      <c r="AH19">
        <v>26</v>
      </c>
      <c r="AI19">
        <f t="shared" si="1"/>
        <v>24</v>
      </c>
      <c r="AJ19" t="str">
        <f t="shared" si="0"/>
        <v>POOR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6</v>
      </c>
      <c r="AZ19">
        <v>6</v>
      </c>
      <c r="BA19">
        <v>6</v>
      </c>
      <c r="BB19">
        <v>6</v>
      </c>
    </row>
    <row r="20" spans="32:54">
      <c r="AF20">
        <v>41681</v>
      </c>
      <c r="AG20" t="s">
        <v>285</v>
      </c>
      <c r="AH20">
        <v>25</v>
      </c>
      <c r="AI20">
        <f t="shared" si="1"/>
        <v>23</v>
      </c>
      <c r="AJ20" t="str">
        <f t="shared" si="0"/>
        <v>POOR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</row>
    <row r="21" spans="32:54">
      <c r="AF21">
        <v>40972</v>
      </c>
      <c r="AG21" t="s">
        <v>285</v>
      </c>
      <c r="AH21">
        <v>24</v>
      </c>
      <c r="AI21">
        <f t="shared" si="1"/>
        <v>22</v>
      </c>
      <c r="AJ21" t="str">
        <f t="shared" si="0"/>
        <v>POOR</v>
      </c>
      <c r="AK21">
        <v>7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7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7</v>
      </c>
      <c r="BA21">
        <v>7</v>
      </c>
      <c r="BB21">
        <v>7</v>
      </c>
    </row>
    <row r="22" spans="32:54">
      <c r="AG22" t="s">
        <v>285</v>
      </c>
      <c r="AH22">
        <v>26</v>
      </c>
      <c r="AI22">
        <f t="shared" si="1"/>
        <v>24</v>
      </c>
      <c r="AJ22" t="str">
        <f t="shared" si="0"/>
        <v>POOR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</row>
    <row r="23" spans="32:54">
      <c r="AF23" t="s">
        <v>294</v>
      </c>
      <c r="AG23" t="s">
        <v>285</v>
      </c>
      <c r="AH23">
        <v>15</v>
      </c>
      <c r="AI23">
        <f t="shared" si="1"/>
        <v>13</v>
      </c>
      <c r="AJ23" t="str">
        <f t="shared" si="0"/>
        <v>POOR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</row>
    <row r="24" spans="32:54">
      <c r="AF24" t="s">
        <v>295</v>
      </c>
      <c r="AG24" t="s">
        <v>285</v>
      </c>
      <c r="AH24">
        <v>14</v>
      </c>
      <c r="AI24">
        <f t="shared" si="1"/>
        <v>12</v>
      </c>
      <c r="AJ24" t="str">
        <f t="shared" si="0"/>
        <v>POOR</v>
      </c>
      <c r="AK24">
        <v>6</v>
      </c>
      <c r="AL24">
        <v>6</v>
      </c>
      <c r="AM24">
        <v>6</v>
      </c>
      <c r="AN24">
        <v>6</v>
      </c>
      <c r="AO24">
        <v>6</v>
      </c>
      <c r="AP24">
        <v>6</v>
      </c>
      <c r="AQ24">
        <v>6</v>
      </c>
      <c r="AR24">
        <v>6</v>
      </c>
      <c r="AS24">
        <v>6</v>
      </c>
      <c r="AT24">
        <v>6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6</v>
      </c>
      <c r="BB24">
        <v>6</v>
      </c>
    </row>
    <row r="25" spans="32:54">
      <c r="AF25">
        <v>41313</v>
      </c>
      <c r="AG25" t="s">
        <v>285</v>
      </c>
      <c r="AH25">
        <v>19</v>
      </c>
      <c r="AI25">
        <f t="shared" si="1"/>
        <v>17</v>
      </c>
      <c r="AJ25" t="str">
        <f t="shared" si="0"/>
        <v>POOR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</row>
    <row r="26" spans="32:54">
      <c r="AF26">
        <v>41095</v>
      </c>
      <c r="AG26" t="s">
        <v>285</v>
      </c>
      <c r="AH26">
        <v>21</v>
      </c>
      <c r="AI26">
        <f t="shared" si="1"/>
        <v>19</v>
      </c>
      <c r="AJ26" t="str">
        <f t="shared" si="0"/>
        <v>POOR</v>
      </c>
      <c r="AK26">
        <v>8</v>
      </c>
      <c r="AL26">
        <v>8</v>
      </c>
      <c r="AM26">
        <v>8</v>
      </c>
      <c r="AN26">
        <v>8</v>
      </c>
      <c r="AO26">
        <v>8</v>
      </c>
      <c r="AP26">
        <v>8</v>
      </c>
      <c r="AQ26">
        <v>8</v>
      </c>
      <c r="AR26">
        <v>8</v>
      </c>
      <c r="AS26">
        <v>8</v>
      </c>
      <c r="AT26">
        <v>8</v>
      </c>
      <c r="AU26">
        <v>8</v>
      </c>
      <c r="AV26">
        <v>8</v>
      </c>
      <c r="AW26">
        <v>8</v>
      </c>
      <c r="AX26">
        <v>8</v>
      </c>
      <c r="AY26">
        <v>8</v>
      </c>
      <c r="AZ26">
        <v>8</v>
      </c>
      <c r="BA26">
        <v>8</v>
      </c>
      <c r="BB26">
        <v>8</v>
      </c>
    </row>
    <row r="27" spans="32:54">
      <c r="AF27" t="s">
        <v>296</v>
      </c>
      <c r="AG27" t="s">
        <v>285</v>
      </c>
      <c r="AH27">
        <v>23</v>
      </c>
      <c r="AI27">
        <f t="shared" si="1"/>
        <v>21</v>
      </c>
      <c r="AJ27" t="str">
        <f t="shared" si="0"/>
        <v>POOR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</row>
    <row r="28" spans="32:54">
      <c r="AF28" t="s">
        <v>297</v>
      </c>
      <c r="AG28" t="s">
        <v>285</v>
      </c>
      <c r="AH28">
        <v>19</v>
      </c>
      <c r="AI28">
        <f t="shared" si="1"/>
        <v>17</v>
      </c>
      <c r="AJ28" t="str">
        <f t="shared" si="0"/>
        <v>POOR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6</v>
      </c>
      <c r="AT28">
        <v>6</v>
      </c>
      <c r="AU28">
        <v>6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6</v>
      </c>
    </row>
    <row r="29" spans="32:54">
      <c r="AF29">
        <v>41854</v>
      </c>
      <c r="AG29" t="s">
        <v>285</v>
      </c>
      <c r="AH29">
        <v>24</v>
      </c>
      <c r="AI29">
        <f t="shared" si="1"/>
        <v>22</v>
      </c>
      <c r="AJ29" t="str">
        <f t="shared" si="0"/>
        <v>POOR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</row>
    <row r="30" spans="32:54">
      <c r="AF30" t="s">
        <v>298</v>
      </c>
      <c r="AG30" t="s">
        <v>285</v>
      </c>
      <c r="AH30">
        <v>32</v>
      </c>
      <c r="AI30">
        <f t="shared" si="1"/>
        <v>30</v>
      </c>
      <c r="AJ30" t="s">
        <v>299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</row>
    <row r="31" spans="32:54">
      <c r="AF31">
        <v>41336</v>
      </c>
      <c r="AG31" t="s">
        <v>285</v>
      </c>
      <c r="AH31">
        <v>19</v>
      </c>
      <c r="AI31">
        <f t="shared" si="1"/>
        <v>17</v>
      </c>
      <c r="AJ31" t="s">
        <v>299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</row>
    <row r="32" spans="32:54">
      <c r="AF32">
        <v>41610</v>
      </c>
      <c r="AG32" t="s">
        <v>285</v>
      </c>
      <c r="AH32">
        <v>18</v>
      </c>
      <c r="AI32">
        <f t="shared" si="1"/>
        <v>16</v>
      </c>
      <c r="AJ32" t="s">
        <v>299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</row>
    <row r="33" spans="32:54">
      <c r="AF33" t="s">
        <v>300</v>
      </c>
      <c r="AG33" t="s">
        <v>285</v>
      </c>
      <c r="AH33">
        <v>17</v>
      </c>
      <c r="AI33">
        <f t="shared" si="1"/>
        <v>15</v>
      </c>
      <c r="AJ33" t="s">
        <v>299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</row>
    <row r="34" spans="32:54">
      <c r="AF34" t="s">
        <v>301</v>
      </c>
      <c r="AG34" t="s">
        <v>285</v>
      </c>
      <c r="AH34">
        <v>20</v>
      </c>
      <c r="AI34">
        <f t="shared" si="1"/>
        <v>18</v>
      </c>
      <c r="AJ34" t="s">
        <v>299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</row>
    <row r="35" spans="32:54">
      <c r="AF35">
        <v>41339</v>
      </c>
      <c r="AG35" t="s">
        <v>285</v>
      </c>
      <c r="AH35">
        <v>21</v>
      </c>
      <c r="AI35">
        <f t="shared" si="1"/>
        <v>19</v>
      </c>
      <c r="AJ35" t="s">
        <v>299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</row>
    <row r="36" spans="32:54">
      <c r="AF36" t="s">
        <v>302</v>
      </c>
      <c r="AG36" t="s">
        <v>285</v>
      </c>
      <c r="AH36">
        <v>21</v>
      </c>
      <c r="AI36">
        <f t="shared" si="1"/>
        <v>19</v>
      </c>
      <c r="AJ36" t="s">
        <v>299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</row>
    <row r="37" spans="32:54">
      <c r="AF37" t="s">
        <v>303</v>
      </c>
      <c r="AG37" t="s">
        <v>285</v>
      </c>
      <c r="AH37">
        <v>23</v>
      </c>
      <c r="AI37">
        <f t="shared" si="1"/>
        <v>21</v>
      </c>
      <c r="AJ37" t="s">
        <v>299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</row>
    <row r="38" spans="32:54">
      <c r="AF38" t="s">
        <v>304</v>
      </c>
      <c r="AG38" t="s">
        <v>285</v>
      </c>
      <c r="AH38">
        <v>28</v>
      </c>
      <c r="AI38">
        <f t="shared" si="1"/>
        <v>26</v>
      </c>
      <c r="AJ38" t="s">
        <v>299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6</v>
      </c>
    </row>
    <row r="39" spans="32:54">
      <c r="AF39">
        <v>41732</v>
      </c>
      <c r="AG39" t="s">
        <v>285</v>
      </c>
      <c r="AH39">
        <v>19</v>
      </c>
      <c r="AI39">
        <f t="shared" si="1"/>
        <v>17</v>
      </c>
      <c r="AJ39" t="s">
        <v>299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</row>
    <row r="40" spans="32:54">
      <c r="AF40">
        <v>42039</v>
      </c>
      <c r="AG40" t="s">
        <v>285</v>
      </c>
      <c r="AH40">
        <v>18</v>
      </c>
      <c r="AI40">
        <f t="shared" si="1"/>
        <v>16</v>
      </c>
      <c r="AJ40" t="s">
        <v>299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</row>
    <row r="41" spans="32:54">
      <c r="AF41" t="s">
        <v>305</v>
      </c>
      <c r="AG41" t="s">
        <v>285</v>
      </c>
      <c r="AH41">
        <v>32</v>
      </c>
      <c r="AI41">
        <f t="shared" si="1"/>
        <v>30</v>
      </c>
      <c r="AJ41" t="s">
        <v>299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</row>
    <row r="42" spans="32:54">
      <c r="AF42" t="s">
        <v>306</v>
      </c>
      <c r="AG42" t="s">
        <v>285</v>
      </c>
      <c r="AH42">
        <v>30</v>
      </c>
      <c r="AI42">
        <f t="shared" si="1"/>
        <v>28</v>
      </c>
      <c r="AJ42" t="s">
        <v>299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</row>
    <row r="43" spans="32:54">
      <c r="AF43" t="s">
        <v>307</v>
      </c>
      <c r="AG43" t="s">
        <v>285</v>
      </c>
      <c r="AH43">
        <v>23</v>
      </c>
      <c r="AI43">
        <f t="shared" si="1"/>
        <v>21</v>
      </c>
      <c r="AJ43" t="s">
        <v>299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</row>
    <row r="44" spans="32:54">
      <c r="AF44" t="s">
        <v>308</v>
      </c>
      <c r="AG44" t="s">
        <v>285</v>
      </c>
      <c r="AH44">
        <v>21</v>
      </c>
      <c r="AI44">
        <f t="shared" si="1"/>
        <v>19</v>
      </c>
      <c r="AJ44" t="s">
        <v>299</v>
      </c>
      <c r="AK44">
        <v>8</v>
      </c>
      <c r="AL44">
        <v>8</v>
      </c>
      <c r="AM44">
        <v>8</v>
      </c>
      <c r="AN44">
        <v>8</v>
      </c>
      <c r="AO44">
        <v>8</v>
      </c>
      <c r="AP44">
        <v>8</v>
      </c>
      <c r="AQ44">
        <v>8</v>
      </c>
      <c r="AR44">
        <v>8</v>
      </c>
      <c r="AS44">
        <v>8</v>
      </c>
      <c r="AT44">
        <v>8</v>
      </c>
      <c r="AU44">
        <v>8</v>
      </c>
      <c r="AV44">
        <v>8</v>
      </c>
      <c r="AW44">
        <v>8</v>
      </c>
      <c r="AX44">
        <v>8</v>
      </c>
      <c r="AY44">
        <v>8</v>
      </c>
      <c r="AZ44">
        <v>8</v>
      </c>
      <c r="BA44">
        <v>8</v>
      </c>
      <c r="BB44">
        <v>8</v>
      </c>
    </row>
    <row r="45" spans="32:54">
      <c r="AF45" t="s">
        <v>309</v>
      </c>
      <c r="AG45" t="s">
        <v>285</v>
      </c>
      <c r="AH45">
        <v>22</v>
      </c>
      <c r="AI45">
        <f t="shared" si="1"/>
        <v>20</v>
      </c>
      <c r="AJ45" t="s">
        <v>299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6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</row>
    <row r="46" spans="32:54">
      <c r="AF46" t="s">
        <v>292</v>
      </c>
      <c r="AG46" t="s">
        <v>285</v>
      </c>
      <c r="AH46">
        <v>31</v>
      </c>
      <c r="AI46">
        <f t="shared" si="1"/>
        <v>29</v>
      </c>
      <c r="AJ46" t="str">
        <f t="shared" ref="AJ46:AJ53" si="2">IF(AND(AC46&gt;=100,AC46&lt;=128),"EXCELLENT",IF(AND(AC46&gt;=64,AC46&lt;100),"GOOD","POOR"))</f>
        <v>POOR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</row>
    <row r="47" spans="32:54">
      <c r="AF47" t="s">
        <v>310</v>
      </c>
      <c r="AG47" t="s">
        <v>285</v>
      </c>
      <c r="AH47">
        <v>20</v>
      </c>
      <c r="AI47">
        <f t="shared" si="1"/>
        <v>18</v>
      </c>
      <c r="AJ47" t="str">
        <f t="shared" si="2"/>
        <v>POOR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</row>
    <row r="48" spans="32:54">
      <c r="AF48" t="s">
        <v>311</v>
      </c>
      <c r="AG48" t="s">
        <v>285</v>
      </c>
      <c r="AH48">
        <v>19</v>
      </c>
      <c r="AI48">
        <f t="shared" si="1"/>
        <v>17</v>
      </c>
      <c r="AJ48" t="str">
        <f t="shared" si="2"/>
        <v>POOR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7</v>
      </c>
    </row>
    <row r="49" spans="32:54">
      <c r="AF49">
        <v>41284</v>
      </c>
      <c r="AG49" t="s">
        <v>285</v>
      </c>
      <c r="AH49">
        <v>30</v>
      </c>
      <c r="AI49">
        <f t="shared" si="1"/>
        <v>28</v>
      </c>
      <c r="AJ49" t="str">
        <f t="shared" si="2"/>
        <v>POOR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</row>
    <row r="50" spans="32:54">
      <c r="AF50" t="s">
        <v>312</v>
      </c>
      <c r="AG50" t="s">
        <v>285</v>
      </c>
      <c r="AH50">
        <v>24</v>
      </c>
      <c r="AI50">
        <f t="shared" si="1"/>
        <v>22</v>
      </c>
      <c r="AJ50" t="str">
        <f t="shared" si="2"/>
        <v>POOR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</row>
    <row r="51" spans="32:54">
      <c r="AF51">
        <v>41796</v>
      </c>
      <c r="AG51" t="s">
        <v>285</v>
      </c>
      <c r="AH51">
        <v>18</v>
      </c>
      <c r="AI51">
        <f t="shared" si="1"/>
        <v>16</v>
      </c>
      <c r="AJ51" t="str">
        <f t="shared" si="2"/>
        <v>POOR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</row>
    <row r="52" spans="32:54">
      <c r="AF52" t="s">
        <v>313</v>
      </c>
      <c r="AG52" t="s">
        <v>285</v>
      </c>
      <c r="AH52">
        <v>24</v>
      </c>
      <c r="AI52">
        <f t="shared" si="1"/>
        <v>22</v>
      </c>
      <c r="AJ52" t="str">
        <f t="shared" si="2"/>
        <v>POOR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</row>
    <row r="53" spans="32:54">
      <c r="AF53">
        <v>40765</v>
      </c>
      <c r="AG53" t="s">
        <v>285</v>
      </c>
      <c r="AH53">
        <v>33</v>
      </c>
      <c r="AI53">
        <f t="shared" si="1"/>
        <v>31</v>
      </c>
      <c r="AJ53" t="str">
        <f t="shared" si="2"/>
        <v>POOR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</row>
    <row r="54" spans="32:54">
      <c r="AG54" t="s">
        <v>285</v>
      </c>
    </row>
    <row r="79" spans="36:36">
      <c r="AJ79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F5:BB79"/>
  <sheetViews>
    <sheetView workbookViewId="0">
      <selection activeCell="B19" sqref="B19"/>
    </sheetView>
  </sheetViews>
  <sheetFormatPr defaultRowHeight="15"/>
  <cols>
    <col min="1" max="16384" width="9.140625" style="371"/>
  </cols>
  <sheetData>
    <row r="5" spans="32:54">
      <c r="AF5" s="371" t="s">
        <v>262</v>
      </c>
      <c r="AG5" s="371" t="s">
        <v>263</v>
      </c>
      <c r="AH5" s="371" t="s">
        <v>264</v>
      </c>
      <c r="AI5" s="371" t="s">
        <v>265</v>
      </c>
      <c r="AJ5" s="371" t="s">
        <v>266</v>
      </c>
      <c r="AK5" s="371" t="s">
        <v>267</v>
      </c>
      <c r="AL5" s="371" t="s">
        <v>268</v>
      </c>
      <c r="AM5" s="371" t="s">
        <v>269</v>
      </c>
      <c r="AN5" s="371" t="s">
        <v>270</v>
      </c>
      <c r="AO5" s="371" t="s">
        <v>271</v>
      </c>
      <c r="AP5" s="371" t="s">
        <v>272</v>
      </c>
      <c r="AQ5" s="371" t="s">
        <v>273</v>
      </c>
      <c r="AR5" s="371" t="s">
        <v>274</v>
      </c>
      <c r="AS5" s="371" t="s">
        <v>275</v>
      </c>
      <c r="AT5" s="371" t="s">
        <v>276</v>
      </c>
      <c r="AU5" s="371" t="s">
        <v>277</v>
      </c>
      <c r="AV5" s="371" t="s">
        <v>278</v>
      </c>
      <c r="AW5" s="371" t="s">
        <v>279</v>
      </c>
      <c r="AX5" s="371" t="s">
        <v>280</v>
      </c>
      <c r="AY5" s="371" t="s">
        <v>281</v>
      </c>
      <c r="AZ5" s="371" t="s">
        <v>282</v>
      </c>
      <c r="BA5" s="371" t="s">
        <v>271</v>
      </c>
      <c r="BB5" s="371" t="s">
        <v>283</v>
      </c>
    </row>
    <row r="6" spans="32:54">
      <c r="AF6" s="371" t="s">
        <v>284</v>
      </c>
      <c r="AG6" s="371" t="s">
        <v>285</v>
      </c>
      <c r="AH6" s="371">
        <v>22</v>
      </c>
      <c r="AI6" s="371">
        <f>AH6-2</f>
        <v>20</v>
      </c>
      <c r="AJ6" s="371" t="str">
        <f>IF(AND(AC6&gt;=100,AC6&lt;=128),"EXCELLENT",IF(AND(AC6&gt;=64,AC6&lt;100),"GOOD","POOR"))</f>
        <v>POOR</v>
      </c>
      <c r="AK6" s="371">
        <v>7</v>
      </c>
      <c r="AL6" s="371">
        <v>7</v>
      </c>
      <c r="AM6" s="371">
        <v>7</v>
      </c>
      <c r="AN6" s="371">
        <v>7</v>
      </c>
      <c r="AO6" s="371">
        <v>7</v>
      </c>
      <c r="AP6" s="371">
        <v>7</v>
      </c>
      <c r="AQ6" s="371">
        <v>7</v>
      </c>
      <c r="AR6" s="371">
        <v>7</v>
      </c>
      <c r="AS6" s="371">
        <v>7</v>
      </c>
      <c r="AT6" s="371">
        <v>7</v>
      </c>
      <c r="AU6" s="371">
        <v>7</v>
      </c>
      <c r="AV6" s="371">
        <v>7</v>
      </c>
      <c r="AW6" s="371">
        <v>7</v>
      </c>
      <c r="AX6" s="371">
        <v>7</v>
      </c>
      <c r="AY6" s="371">
        <v>7</v>
      </c>
      <c r="AZ6" s="371">
        <v>7</v>
      </c>
      <c r="BA6" s="371">
        <v>7</v>
      </c>
      <c r="BB6" s="371">
        <v>7</v>
      </c>
    </row>
    <row r="7" spans="32:54">
      <c r="AF7" s="371">
        <v>41184</v>
      </c>
      <c r="AG7" s="371" t="s">
        <v>285</v>
      </c>
      <c r="AH7" s="371">
        <v>19</v>
      </c>
      <c r="AI7" s="371">
        <f>AH7-2</f>
        <v>17</v>
      </c>
      <c r="AJ7" s="371" t="str">
        <f t="shared" ref="AJ7:AJ29" si="0">IF(AND(AC7&gt;=100,AC7&lt;=128),"EXCELLENT",IF(AND(AC7&gt;=64,AC7&lt;100),"GOOD","POOR"))</f>
        <v>POOR</v>
      </c>
      <c r="AK7" s="371">
        <v>5</v>
      </c>
      <c r="AL7" s="371">
        <v>5</v>
      </c>
      <c r="AM7" s="371">
        <v>5</v>
      </c>
      <c r="AN7" s="371">
        <v>5</v>
      </c>
      <c r="AO7" s="371">
        <v>5</v>
      </c>
      <c r="AP7" s="371">
        <v>5</v>
      </c>
      <c r="AQ7" s="371">
        <v>5</v>
      </c>
      <c r="AR7" s="371">
        <v>5</v>
      </c>
      <c r="AS7" s="371">
        <v>5</v>
      </c>
      <c r="AT7" s="371">
        <v>5</v>
      </c>
      <c r="AU7" s="371">
        <v>5</v>
      </c>
      <c r="AV7" s="371">
        <v>5</v>
      </c>
      <c r="AW7" s="371">
        <v>5</v>
      </c>
      <c r="AX7" s="371">
        <v>5</v>
      </c>
      <c r="AY7" s="371">
        <v>5</v>
      </c>
      <c r="AZ7" s="371">
        <v>5</v>
      </c>
      <c r="BA7" s="371">
        <v>5</v>
      </c>
      <c r="BB7" s="371">
        <v>5</v>
      </c>
    </row>
    <row r="8" spans="32:54">
      <c r="AF8" s="371">
        <v>41250</v>
      </c>
      <c r="AG8" s="371" t="s">
        <v>285</v>
      </c>
      <c r="AH8" s="371">
        <v>23</v>
      </c>
      <c r="AI8" s="371">
        <f>AH8-2</f>
        <v>21</v>
      </c>
      <c r="AJ8" s="371" t="str">
        <f t="shared" si="0"/>
        <v>POOR</v>
      </c>
      <c r="AK8" s="371">
        <v>7</v>
      </c>
      <c r="AL8" s="371">
        <v>7</v>
      </c>
      <c r="AM8" s="371">
        <v>7</v>
      </c>
      <c r="AN8" s="371">
        <v>7</v>
      </c>
      <c r="AO8" s="371">
        <v>7</v>
      </c>
      <c r="AP8" s="371">
        <v>7</v>
      </c>
      <c r="AQ8" s="371">
        <v>7</v>
      </c>
      <c r="AR8" s="371">
        <v>7</v>
      </c>
      <c r="AS8" s="371">
        <v>7</v>
      </c>
      <c r="AT8" s="371">
        <v>7</v>
      </c>
      <c r="AU8" s="371">
        <v>7</v>
      </c>
      <c r="AV8" s="371">
        <v>7</v>
      </c>
      <c r="AW8" s="371">
        <v>7</v>
      </c>
      <c r="AX8" s="371">
        <v>7</v>
      </c>
      <c r="AY8" s="371">
        <v>7</v>
      </c>
      <c r="AZ8" s="371">
        <v>7</v>
      </c>
      <c r="BA8" s="371">
        <v>7</v>
      </c>
      <c r="BB8" s="371">
        <v>7</v>
      </c>
    </row>
    <row r="9" spans="32:54">
      <c r="AF9" s="371" t="s">
        <v>286</v>
      </c>
      <c r="AG9" s="371" t="s">
        <v>285</v>
      </c>
      <c r="AH9" s="371">
        <v>17</v>
      </c>
      <c r="AI9" s="371">
        <f>AH9-2</f>
        <v>15</v>
      </c>
      <c r="AJ9" s="371" t="str">
        <f t="shared" si="0"/>
        <v>POOR</v>
      </c>
      <c r="AK9" s="371">
        <v>5</v>
      </c>
      <c r="AL9" s="371">
        <v>5</v>
      </c>
      <c r="AM9" s="371">
        <v>5</v>
      </c>
      <c r="AN9" s="371">
        <v>5</v>
      </c>
      <c r="AO9" s="371">
        <v>5</v>
      </c>
      <c r="AP9" s="371">
        <v>5</v>
      </c>
      <c r="AQ9" s="371">
        <v>5</v>
      </c>
      <c r="AR9" s="371">
        <v>5</v>
      </c>
      <c r="AS9" s="371">
        <v>5</v>
      </c>
      <c r="AT9" s="371">
        <v>5</v>
      </c>
      <c r="AU9" s="371">
        <v>5</v>
      </c>
      <c r="AV9" s="371">
        <v>5</v>
      </c>
      <c r="AW9" s="371">
        <v>5</v>
      </c>
      <c r="AX9" s="371">
        <v>5</v>
      </c>
      <c r="AY9" s="371">
        <v>5</v>
      </c>
      <c r="AZ9" s="371">
        <v>5</v>
      </c>
      <c r="BA9" s="371">
        <v>5</v>
      </c>
      <c r="BB9" s="371">
        <v>5</v>
      </c>
    </row>
    <row r="10" spans="32:54">
      <c r="AF10" s="371">
        <v>41766</v>
      </c>
      <c r="AG10" s="371" t="s">
        <v>285</v>
      </c>
      <c r="AH10" s="371">
        <v>19</v>
      </c>
      <c r="AI10" s="371">
        <f t="shared" ref="AI10:AI53" si="1">AH10-2</f>
        <v>17</v>
      </c>
      <c r="AJ10" s="371" t="str">
        <f t="shared" si="0"/>
        <v>POOR</v>
      </c>
      <c r="AK10" s="371">
        <v>5</v>
      </c>
      <c r="AL10" s="371">
        <v>5</v>
      </c>
      <c r="AM10" s="371">
        <v>5</v>
      </c>
      <c r="AN10" s="371">
        <v>5</v>
      </c>
      <c r="AO10" s="371">
        <v>5</v>
      </c>
      <c r="AP10" s="371">
        <v>5</v>
      </c>
      <c r="AQ10" s="371">
        <v>5</v>
      </c>
      <c r="AR10" s="371">
        <v>5</v>
      </c>
      <c r="AS10" s="371">
        <v>5</v>
      </c>
      <c r="AT10" s="371">
        <v>5</v>
      </c>
      <c r="AU10" s="371">
        <v>5</v>
      </c>
      <c r="AV10" s="371">
        <v>5</v>
      </c>
      <c r="AW10" s="371">
        <v>5</v>
      </c>
      <c r="AX10" s="371">
        <v>5</v>
      </c>
      <c r="AY10" s="371">
        <v>5</v>
      </c>
      <c r="AZ10" s="371">
        <v>5</v>
      </c>
      <c r="BA10" s="371">
        <v>5</v>
      </c>
      <c r="BB10" s="371">
        <v>5</v>
      </c>
    </row>
    <row r="11" spans="32:54">
      <c r="AF11" s="371" t="s">
        <v>287</v>
      </c>
      <c r="AG11" s="371" t="s">
        <v>285</v>
      </c>
      <c r="AH11" s="371">
        <v>21</v>
      </c>
      <c r="AI11" s="371">
        <f t="shared" si="1"/>
        <v>19</v>
      </c>
      <c r="AJ11" s="371" t="str">
        <f t="shared" si="0"/>
        <v>POOR</v>
      </c>
      <c r="AK11" s="371">
        <v>5</v>
      </c>
      <c r="AL11" s="371">
        <v>5</v>
      </c>
      <c r="AM11" s="371">
        <v>5</v>
      </c>
      <c r="AN11" s="371">
        <v>5</v>
      </c>
      <c r="AO11" s="371">
        <v>5</v>
      </c>
      <c r="AP11" s="371">
        <v>5</v>
      </c>
      <c r="AQ11" s="371">
        <v>5</v>
      </c>
      <c r="AR11" s="371">
        <v>5</v>
      </c>
      <c r="AS11" s="371">
        <v>5</v>
      </c>
      <c r="AT11" s="371">
        <v>5</v>
      </c>
      <c r="AU11" s="371">
        <v>5</v>
      </c>
      <c r="AV11" s="371">
        <v>5</v>
      </c>
      <c r="AW11" s="371">
        <v>5</v>
      </c>
      <c r="AX11" s="371">
        <v>5</v>
      </c>
      <c r="AY11" s="371">
        <v>5</v>
      </c>
      <c r="AZ11" s="371">
        <v>5</v>
      </c>
      <c r="BA11" s="371">
        <v>5</v>
      </c>
      <c r="BB11" s="371">
        <v>5</v>
      </c>
    </row>
    <row r="12" spans="32:54">
      <c r="AF12" s="371">
        <v>41699</v>
      </c>
      <c r="AG12" s="371" t="s">
        <v>285</v>
      </c>
      <c r="AH12" s="371">
        <v>18</v>
      </c>
      <c r="AI12" s="371">
        <f t="shared" si="1"/>
        <v>16</v>
      </c>
      <c r="AJ12" s="371" t="str">
        <f t="shared" si="0"/>
        <v>POOR</v>
      </c>
      <c r="AK12" s="371">
        <v>6</v>
      </c>
      <c r="AL12" s="371">
        <v>6</v>
      </c>
      <c r="AM12" s="371">
        <v>6</v>
      </c>
      <c r="AN12" s="371">
        <v>6</v>
      </c>
      <c r="AO12" s="371">
        <v>6</v>
      </c>
      <c r="AP12" s="371">
        <v>6</v>
      </c>
      <c r="AQ12" s="371">
        <v>6</v>
      </c>
      <c r="AR12" s="371">
        <v>6</v>
      </c>
      <c r="AS12" s="371">
        <v>6</v>
      </c>
      <c r="AT12" s="371">
        <v>6</v>
      </c>
      <c r="AU12" s="371">
        <v>6</v>
      </c>
      <c r="AV12" s="371">
        <v>6</v>
      </c>
      <c r="AW12" s="371">
        <v>6</v>
      </c>
      <c r="AX12" s="371">
        <v>6</v>
      </c>
      <c r="AY12" s="371">
        <v>6</v>
      </c>
      <c r="AZ12" s="371">
        <v>6</v>
      </c>
      <c r="BA12" s="371">
        <v>6</v>
      </c>
      <c r="BB12" s="371">
        <v>6</v>
      </c>
    </row>
    <row r="13" spans="32:54">
      <c r="AF13" s="371" t="s">
        <v>288</v>
      </c>
      <c r="AG13" s="371" t="s">
        <v>285</v>
      </c>
      <c r="AH13" s="371">
        <v>19</v>
      </c>
      <c r="AI13" s="371">
        <f t="shared" si="1"/>
        <v>17</v>
      </c>
      <c r="AJ13" s="371" t="str">
        <f t="shared" si="0"/>
        <v>POOR</v>
      </c>
      <c r="AK13" s="371">
        <v>5</v>
      </c>
      <c r="AL13" s="371">
        <v>5</v>
      </c>
      <c r="AM13" s="371">
        <v>5</v>
      </c>
      <c r="AN13" s="371">
        <v>5</v>
      </c>
      <c r="AO13" s="371">
        <v>5</v>
      </c>
      <c r="AP13" s="371">
        <v>5</v>
      </c>
      <c r="AQ13" s="371">
        <v>5</v>
      </c>
      <c r="AR13" s="371">
        <v>5</v>
      </c>
      <c r="AS13" s="371">
        <v>5</v>
      </c>
      <c r="AT13" s="371">
        <v>5</v>
      </c>
      <c r="AU13" s="371">
        <v>5</v>
      </c>
      <c r="AV13" s="371">
        <v>5</v>
      </c>
      <c r="AW13" s="371">
        <v>5</v>
      </c>
      <c r="AX13" s="371">
        <v>5</v>
      </c>
      <c r="AY13" s="371">
        <v>5</v>
      </c>
      <c r="AZ13" s="371">
        <v>5</v>
      </c>
      <c r="BA13" s="371">
        <v>5</v>
      </c>
      <c r="BB13" s="371">
        <v>5</v>
      </c>
    </row>
    <row r="14" spans="32:54">
      <c r="AF14" s="371" t="s">
        <v>289</v>
      </c>
      <c r="AG14" s="371" t="s">
        <v>285</v>
      </c>
      <c r="AH14" s="371">
        <v>21</v>
      </c>
      <c r="AI14" s="371">
        <f t="shared" si="1"/>
        <v>19</v>
      </c>
      <c r="AJ14" s="371" t="str">
        <f t="shared" si="0"/>
        <v>POOR</v>
      </c>
      <c r="AK14" s="371">
        <v>4</v>
      </c>
      <c r="AL14" s="371">
        <v>4</v>
      </c>
      <c r="AM14" s="371">
        <v>4</v>
      </c>
      <c r="AN14" s="371">
        <v>4</v>
      </c>
      <c r="AO14" s="371">
        <v>4</v>
      </c>
      <c r="AP14" s="371">
        <v>4</v>
      </c>
      <c r="AQ14" s="371">
        <v>4</v>
      </c>
      <c r="AR14" s="371">
        <v>4</v>
      </c>
      <c r="AS14" s="371">
        <v>4</v>
      </c>
      <c r="AT14" s="371">
        <v>4</v>
      </c>
      <c r="AU14" s="371">
        <v>4</v>
      </c>
      <c r="AV14" s="371">
        <v>4</v>
      </c>
      <c r="AW14" s="371">
        <v>4</v>
      </c>
      <c r="AX14" s="371">
        <v>4</v>
      </c>
      <c r="AY14" s="371">
        <v>4</v>
      </c>
      <c r="AZ14" s="371">
        <v>4</v>
      </c>
      <c r="BA14" s="371">
        <v>4</v>
      </c>
      <c r="BB14" s="371">
        <v>4</v>
      </c>
    </row>
    <row r="15" spans="32:54">
      <c r="AF15" s="371" t="s">
        <v>290</v>
      </c>
      <c r="AG15" s="371" t="s">
        <v>285</v>
      </c>
      <c r="AH15" s="371">
        <v>29</v>
      </c>
      <c r="AI15" s="371">
        <f t="shared" si="1"/>
        <v>27</v>
      </c>
      <c r="AJ15" s="371" t="str">
        <f t="shared" si="0"/>
        <v>POOR</v>
      </c>
      <c r="AK15" s="371">
        <v>3</v>
      </c>
      <c r="AL15" s="371">
        <v>3</v>
      </c>
      <c r="AM15" s="371">
        <v>3</v>
      </c>
      <c r="AN15" s="371">
        <v>3</v>
      </c>
      <c r="AO15" s="371">
        <v>3</v>
      </c>
      <c r="AP15" s="371">
        <v>3</v>
      </c>
      <c r="AQ15" s="371">
        <v>3</v>
      </c>
      <c r="AR15" s="371">
        <v>3</v>
      </c>
      <c r="AS15" s="371">
        <v>3</v>
      </c>
      <c r="AT15" s="371">
        <v>3</v>
      </c>
      <c r="AU15" s="371">
        <v>3</v>
      </c>
      <c r="AV15" s="371">
        <v>3</v>
      </c>
      <c r="AW15" s="371">
        <v>3</v>
      </c>
      <c r="AX15" s="371">
        <v>3</v>
      </c>
      <c r="AY15" s="371">
        <v>3</v>
      </c>
      <c r="AZ15" s="371">
        <v>3</v>
      </c>
      <c r="BA15" s="371">
        <v>3</v>
      </c>
      <c r="BB15" s="371">
        <v>3</v>
      </c>
    </row>
    <row r="16" spans="32:54">
      <c r="AF16" s="371" t="s">
        <v>291</v>
      </c>
      <c r="AG16" s="371" t="s">
        <v>285</v>
      </c>
      <c r="AH16" s="371">
        <v>18</v>
      </c>
      <c r="AI16" s="371">
        <f t="shared" si="1"/>
        <v>16</v>
      </c>
      <c r="AJ16" s="371" t="str">
        <f t="shared" si="0"/>
        <v>POOR</v>
      </c>
      <c r="AK16" s="371">
        <v>6</v>
      </c>
      <c r="AL16" s="371">
        <v>6</v>
      </c>
      <c r="AM16" s="371">
        <v>6</v>
      </c>
      <c r="AN16" s="371">
        <v>6</v>
      </c>
      <c r="AO16" s="371">
        <v>6</v>
      </c>
      <c r="AP16" s="371">
        <v>6</v>
      </c>
      <c r="AQ16" s="371">
        <v>6</v>
      </c>
      <c r="AR16" s="371">
        <v>6</v>
      </c>
      <c r="AS16" s="371">
        <v>6</v>
      </c>
      <c r="AT16" s="371">
        <v>6</v>
      </c>
      <c r="AU16" s="371">
        <v>6</v>
      </c>
      <c r="AV16" s="371">
        <v>6</v>
      </c>
      <c r="AW16" s="371">
        <v>6</v>
      </c>
      <c r="AX16" s="371">
        <v>6</v>
      </c>
      <c r="AY16" s="371">
        <v>6</v>
      </c>
      <c r="AZ16" s="371">
        <v>6</v>
      </c>
      <c r="BA16" s="371">
        <v>6</v>
      </c>
      <c r="BB16" s="371">
        <v>6</v>
      </c>
    </row>
    <row r="17" spans="32:54">
      <c r="AF17" s="371">
        <v>41306</v>
      </c>
      <c r="AG17" s="371" t="s">
        <v>285</v>
      </c>
      <c r="AH17" s="371">
        <v>20</v>
      </c>
      <c r="AI17" s="371">
        <f t="shared" si="1"/>
        <v>18</v>
      </c>
      <c r="AJ17" s="371" t="str">
        <f t="shared" si="0"/>
        <v>POOR</v>
      </c>
      <c r="AK17" s="371">
        <v>7</v>
      </c>
      <c r="AL17" s="371">
        <v>7</v>
      </c>
      <c r="AM17" s="371">
        <v>7</v>
      </c>
      <c r="AN17" s="371">
        <v>7</v>
      </c>
      <c r="AO17" s="371">
        <v>7</v>
      </c>
      <c r="AP17" s="371">
        <v>7</v>
      </c>
      <c r="AQ17" s="371">
        <v>7</v>
      </c>
      <c r="AR17" s="371">
        <v>7</v>
      </c>
      <c r="AS17" s="371">
        <v>7</v>
      </c>
      <c r="AT17" s="371">
        <v>7</v>
      </c>
      <c r="AU17" s="371">
        <v>7</v>
      </c>
      <c r="AV17" s="371">
        <v>7</v>
      </c>
      <c r="AW17" s="371">
        <v>7</v>
      </c>
      <c r="AX17" s="371">
        <v>7</v>
      </c>
      <c r="AY17" s="371">
        <v>7</v>
      </c>
      <c r="AZ17" s="371">
        <v>7</v>
      </c>
      <c r="BA17" s="371">
        <v>7</v>
      </c>
      <c r="BB17" s="371">
        <v>7</v>
      </c>
    </row>
    <row r="18" spans="32:54">
      <c r="AF18" s="371" t="s">
        <v>292</v>
      </c>
      <c r="AG18" s="371" t="s">
        <v>285</v>
      </c>
      <c r="AH18" s="371">
        <v>23</v>
      </c>
      <c r="AI18" s="371">
        <f t="shared" si="1"/>
        <v>21</v>
      </c>
      <c r="AJ18" s="371" t="str">
        <f t="shared" si="0"/>
        <v>POOR</v>
      </c>
      <c r="AK18" s="371">
        <v>6</v>
      </c>
      <c r="AL18" s="371">
        <v>6</v>
      </c>
      <c r="AM18" s="371">
        <v>6</v>
      </c>
      <c r="AN18" s="371">
        <v>6</v>
      </c>
      <c r="AO18" s="371">
        <v>6</v>
      </c>
      <c r="AP18" s="371">
        <v>6</v>
      </c>
      <c r="AQ18" s="371">
        <v>6</v>
      </c>
      <c r="AR18" s="371">
        <v>6</v>
      </c>
      <c r="AS18" s="371">
        <v>6</v>
      </c>
      <c r="AT18" s="371">
        <v>6</v>
      </c>
      <c r="AU18" s="371">
        <v>6</v>
      </c>
      <c r="AV18" s="371">
        <v>6</v>
      </c>
      <c r="AW18" s="371">
        <v>6</v>
      </c>
      <c r="AX18" s="371">
        <v>6</v>
      </c>
      <c r="AY18" s="371">
        <v>6</v>
      </c>
      <c r="AZ18" s="371">
        <v>6</v>
      </c>
      <c r="BA18" s="371">
        <v>6</v>
      </c>
      <c r="BB18" s="371">
        <v>6</v>
      </c>
    </row>
    <row r="19" spans="32:54">
      <c r="AF19" s="371" t="s">
        <v>293</v>
      </c>
      <c r="AG19" s="371" t="s">
        <v>285</v>
      </c>
      <c r="AH19" s="371">
        <v>26</v>
      </c>
      <c r="AI19" s="371">
        <f t="shared" si="1"/>
        <v>24</v>
      </c>
      <c r="AJ19" s="371" t="str">
        <f t="shared" si="0"/>
        <v>POOR</v>
      </c>
      <c r="AK19" s="371">
        <v>6</v>
      </c>
      <c r="AL19" s="371">
        <v>6</v>
      </c>
      <c r="AM19" s="371">
        <v>6</v>
      </c>
      <c r="AN19" s="371">
        <v>6</v>
      </c>
      <c r="AO19" s="371">
        <v>6</v>
      </c>
      <c r="AP19" s="371">
        <v>6</v>
      </c>
      <c r="AQ19" s="371">
        <v>6</v>
      </c>
      <c r="AR19" s="371">
        <v>6</v>
      </c>
      <c r="AS19" s="371">
        <v>6</v>
      </c>
      <c r="AT19" s="371">
        <v>6</v>
      </c>
      <c r="AU19" s="371">
        <v>6</v>
      </c>
      <c r="AV19" s="371">
        <v>6</v>
      </c>
      <c r="AW19" s="371">
        <v>6</v>
      </c>
      <c r="AX19" s="371">
        <v>6</v>
      </c>
      <c r="AY19" s="371">
        <v>6</v>
      </c>
      <c r="AZ19" s="371">
        <v>6</v>
      </c>
      <c r="BA19" s="371">
        <v>6</v>
      </c>
      <c r="BB19" s="371">
        <v>6</v>
      </c>
    </row>
    <row r="20" spans="32:54">
      <c r="AF20" s="371">
        <v>41681</v>
      </c>
      <c r="AG20" s="371" t="s">
        <v>285</v>
      </c>
      <c r="AH20" s="371">
        <v>25</v>
      </c>
      <c r="AI20" s="371">
        <f t="shared" si="1"/>
        <v>23</v>
      </c>
      <c r="AJ20" s="371" t="str">
        <f t="shared" si="0"/>
        <v>POOR</v>
      </c>
      <c r="AK20" s="371">
        <v>4</v>
      </c>
      <c r="AL20" s="371">
        <v>4</v>
      </c>
      <c r="AM20" s="371">
        <v>4</v>
      </c>
      <c r="AN20" s="371">
        <v>4</v>
      </c>
      <c r="AO20" s="371">
        <v>4</v>
      </c>
      <c r="AP20" s="371">
        <v>4</v>
      </c>
      <c r="AQ20" s="371">
        <v>4</v>
      </c>
      <c r="AR20" s="371">
        <v>4</v>
      </c>
      <c r="AS20" s="371">
        <v>4</v>
      </c>
      <c r="AT20" s="371">
        <v>4</v>
      </c>
      <c r="AU20" s="371">
        <v>4</v>
      </c>
      <c r="AV20" s="371">
        <v>4</v>
      </c>
      <c r="AW20" s="371">
        <v>4</v>
      </c>
      <c r="AX20" s="371">
        <v>4</v>
      </c>
      <c r="AY20" s="371">
        <v>4</v>
      </c>
      <c r="AZ20" s="371">
        <v>4</v>
      </c>
      <c r="BA20" s="371">
        <v>4</v>
      </c>
      <c r="BB20" s="371">
        <v>4</v>
      </c>
    </row>
    <row r="21" spans="32:54">
      <c r="AF21" s="371">
        <v>40972</v>
      </c>
      <c r="AG21" s="371" t="s">
        <v>285</v>
      </c>
      <c r="AH21" s="371">
        <v>24</v>
      </c>
      <c r="AI21" s="371">
        <f t="shared" si="1"/>
        <v>22</v>
      </c>
      <c r="AJ21" s="371" t="str">
        <f t="shared" si="0"/>
        <v>POOR</v>
      </c>
      <c r="AK21" s="371">
        <v>7</v>
      </c>
      <c r="AL21" s="371">
        <v>7</v>
      </c>
      <c r="AM21" s="371">
        <v>7</v>
      </c>
      <c r="AN21" s="371">
        <v>7</v>
      </c>
      <c r="AO21" s="371">
        <v>7</v>
      </c>
      <c r="AP21" s="371">
        <v>7</v>
      </c>
      <c r="AQ21" s="371">
        <v>7</v>
      </c>
      <c r="AR21" s="371">
        <v>7</v>
      </c>
      <c r="AS21" s="371">
        <v>7</v>
      </c>
      <c r="AT21" s="371">
        <v>7</v>
      </c>
      <c r="AU21" s="371">
        <v>7</v>
      </c>
      <c r="AV21" s="371">
        <v>7</v>
      </c>
      <c r="AW21" s="371">
        <v>7</v>
      </c>
      <c r="AX21" s="371">
        <v>7</v>
      </c>
      <c r="AY21" s="371">
        <v>7</v>
      </c>
      <c r="AZ21" s="371">
        <v>7</v>
      </c>
      <c r="BA21" s="371">
        <v>7</v>
      </c>
      <c r="BB21" s="371">
        <v>7</v>
      </c>
    </row>
    <row r="22" spans="32:54">
      <c r="AG22" s="371" t="s">
        <v>285</v>
      </c>
      <c r="AH22" s="371">
        <v>26</v>
      </c>
      <c r="AI22" s="371">
        <f t="shared" si="1"/>
        <v>24</v>
      </c>
      <c r="AJ22" s="371" t="str">
        <f t="shared" si="0"/>
        <v>POOR</v>
      </c>
      <c r="AK22" s="371">
        <v>5</v>
      </c>
      <c r="AL22" s="371">
        <v>5</v>
      </c>
      <c r="AM22" s="371">
        <v>5</v>
      </c>
      <c r="AN22" s="371">
        <v>5</v>
      </c>
      <c r="AO22" s="371">
        <v>5</v>
      </c>
      <c r="AP22" s="371">
        <v>5</v>
      </c>
      <c r="AQ22" s="371">
        <v>5</v>
      </c>
      <c r="AR22" s="371">
        <v>5</v>
      </c>
      <c r="AS22" s="371">
        <v>5</v>
      </c>
      <c r="AT22" s="371">
        <v>5</v>
      </c>
      <c r="AU22" s="371">
        <v>5</v>
      </c>
      <c r="AV22" s="371">
        <v>5</v>
      </c>
      <c r="AW22" s="371">
        <v>5</v>
      </c>
      <c r="AX22" s="371">
        <v>5</v>
      </c>
      <c r="AY22" s="371">
        <v>5</v>
      </c>
      <c r="AZ22" s="371">
        <v>5</v>
      </c>
      <c r="BA22" s="371">
        <v>5</v>
      </c>
      <c r="BB22" s="371">
        <v>5</v>
      </c>
    </row>
    <row r="23" spans="32:54">
      <c r="AF23" s="371" t="s">
        <v>294</v>
      </c>
      <c r="AG23" s="371" t="s">
        <v>285</v>
      </c>
      <c r="AH23" s="371">
        <v>15</v>
      </c>
      <c r="AI23" s="371">
        <f t="shared" si="1"/>
        <v>13</v>
      </c>
      <c r="AJ23" s="371" t="str">
        <f t="shared" si="0"/>
        <v>POOR</v>
      </c>
      <c r="AK23" s="371">
        <v>4</v>
      </c>
      <c r="AL23" s="371">
        <v>4</v>
      </c>
      <c r="AM23" s="371">
        <v>4</v>
      </c>
      <c r="AN23" s="371">
        <v>4</v>
      </c>
      <c r="AO23" s="371">
        <v>4</v>
      </c>
      <c r="AP23" s="371">
        <v>4</v>
      </c>
      <c r="AQ23" s="371">
        <v>4</v>
      </c>
      <c r="AR23" s="371">
        <v>4</v>
      </c>
      <c r="AS23" s="371">
        <v>4</v>
      </c>
      <c r="AT23" s="371">
        <v>4</v>
      </c>
      <c r="AU23" s="371">
        <v>4</v>
      </c>
      <c r="AV23" s="371">
        <v>4</v>
      </c>
      <c r="AW23" s="371">
        <v>4</v>
      </c>
      <c r="AX23" s="371">
        <v>4</v>
      </c>
      <c r="AY23" s="371">
        <v>4</v>
      </c>
      <c r="AZ23" s="371">
        <v>4</v>
      </c>
      <c r="BA23" s="371">
        <v>4</v>
      </c>
      <c r="BB23" s="371">
        <v>4</v>
      </c>
    </row>
    <row r="24" spans="32:54">
      <c r="AF24" s="371" t="s">
        <v>295</v>
      </c>
      <c r="AG24" s="371" t="s">
        <v>285</v>
      </c>
      <c r="AH24" s="371">
        <v>14</v>
      </c>
      <c r="AI24" s="371">
        <f t="shared" si="1"/>
        <v>12</v>
      </c>
      <c r="AJ24" s="371" t="str">
        <f t="shared" si="0"/>
        <v>POOR</v>
      </c>
      <c r="AK24" s="371">
        <v>6</v>
      </c>
      <c r="AL24" s="371">
        <v>6</v>
      </c>
      <c r="AM24" s="371">
        <v>6</v>
      </c>
      <c r="AN24" s="371">
        <v>6</v>
      </c>
      <c r="AO24" s="371">
        <v>6</v>
      </c>
      <c r="AP24" s="371">
        <v>6</v>
      </c>
      <c r="AQ24" s="371">
        <v>6</v>
      </c>
      <c r="AR24" s="371">
        <v>6</v>
      </c>
      <c r="AS24" s="371">
        <v>6</v>
      </c>
      <c r="AT24" s="371">
        <v>6</v>
      </c>
      <c r="AU24" s="371">
        <v>6</v>
      </c>
      <c r="AV24" s="371">
        <v>6</v>
      </c>
      <c r="AW24" s="371">
        <v>6</v>
      </c>
      <c r="AX24" s="371">
        <v>6</v>
      </c>
      <c r="AY24" s="371">
        <v>6</v>
      </c>
      <c r="AZ24" s="371">
        <v>6</v>
      </c>
      <c r="BA24" s="371">
        <v>6</v>
      </c>
      <c r="BB24" s="371">
        <v>6</v>
      </c>
    </row>
    <row r="25" spans="32:54">
      <c r="AF25" s="371">
        <v>41313</v>
      </c>
      <c r="AG25" s="371" t="s">
        <v>285</v>
      </c>
      <c r="AH25" s="371">
        <v>19</v>
      </c>
      <c r="AI25" s="371">
        <f t="shared" si="1"/>
        <v>17</v>
      </c>
      <c r="AJ25" s="371" t="str">
        <f t="shared" si="0"/>
        <v>POOR</v>
      </c>
      <c r="AK25" s="371">
        <v>5</v>
      </c>
      <c r="AL25" s="371">
        <v>5</v>
      </c>
      <c r="AM25" s="371">
        <v>5</v>
      </c>
      <c r="AN25" s="371">
        <v>5</v>
      </c>
      <c r="AO25" s="371">
        <v>5</v>
      </c>
      <c r="AP25" s="371">
        <v>5</v>
      </c>
      <c r="AQ25" s="371">
        <v>5</v>
      </c>
      <c r="AR25" s="371">
        <v>5</v>
      </c>
      <c r="AS25" s="371">
        <v>5</v>
      </c>
      <c r="AT25" s="371">
        <v>5</v>
      </c>
      <c r="AU25" s="371">
        <v>5</v>
      </c>
      <c r="AV25" s="371">
        <v>5</v>
      </c>
      <c r="AW25" s="371">
        <v>5</v>
      </c>
      <c r="AX25" s="371">
        <v>5</v>
      </c>
      <c r="AY25" s="371">
        <v>5</v>
      </c>
      <c r="AZ25" s="371">
        <v>5</v>
      </c>
      <c r="BA25" s="371">
        <v>5</v>
      </c>
      <c r="BB25" s="371">
        <v>5</v>
      </c>
    </row>
    <row r="26" spans="32:54">
      <c r="AF26" s="371">
        <v>41095</v>
      </c>
      <c r="AG26" s="371" t="s">
        <v>285</v>
      </c>
      <c r="AH26" s="371">
        <v>21</v>
      </c>
      <c r="AI26" s="371">
        <f t="shared" si="1"/>
        <v>19</v>
      </c>
      <c r="AJ26" s="371" t="str">
        <f t="shared" si="0"/>
        <v>POOR</v>
      </c>
      <c r="AK26" s="371">
        <v>8</v>
      </c>
      <c r="AL26" s="371">
        <v>8</v>
      </c>
      <c r="AM26" s="371">
        <v>8</v>
      </c>
      <c r="AN26" s="371">
        <v>8</v>
      </c>
      <c r="AO26" s="371">
        <v>8</v>
      </c>
      <c r="AP26" s="371">
        <v>8</v>
      </c>
      <c r="AQ26" s="371">
        <v>8</v>
      </c>
      <c r="AR26" s="371">
        <v>8</v>
      </c>
      <c r="AS26" s="371">
        <v>8</v>
      </c>
      <c r="AT26" s="371">
        <v>8</v>
      </c>
      <c r="AU26" s="371">
        <v>8</v>
      </c>
      <c r="AV26" s="371">
        <v>8</v>
      </c>
      <c r="AW26" s="371">
        <v>8</v>
      </c>
      <c r="AX26" s="371">
        <v>8</v>
      </c>
      <c r="AY26" s="371">
        <v>8</v>
      </c>
      <c r="AZ26" s="371">
        <v>8</v>
      </c>
      <c r="BA26" s="371">
        <v>8</v>
      </c>
      <c r="BB26" s="371">
        <v>8</v>
      </c>
    </row>
    <row r="27" spans="32:54">
      <c r="AF27" s="371" t="s">
        <v>296</v>
      </c>
      <c r="AG27" s="371" t="s">
        <v>285</v>
      </c>
      <c r="AH27" s="371">
        <v>23</v>
      </c>
      <c r="AI27" s="371">
        <f t="shared" si="1"/>
        <v>21</v>
      </c>
      <c r="AJ27" s="371" t="str">
        <f t="shared" si="0"/>
        <v>POOR</v>
      </c>
      <c r="AK27" s="371">
        <v>4</v>
      </c>
      <c r="AL27" s="371">
        <v>4</v>
      </c>
      <c r="AM27" s="371">
        <v>4</v>
      </c>
      <c r="AN27" s="371">
        <v>4</v>
      </c>
      <c r="AO27" s="371">
        <v>4</v>
      </c>
      <c r="AP27" s="371">
        <v>4</v>
      </c>
      <c r="AQ27" s="371">
        <v>4</v>
      </c>
      <c r="AR27" s="371">
        <v>4</v>
      </c>
      <c r="AS27" s="371">
        <v>4</v>
      </c>
      <c r="AT27" s="371">
        <v>4</v>
      </c>
      <c r="AU27" s="371">
        <v>4</v>
      </c>
      <c r="AV27" s="371">
        <v>4</v>
      </c>
      <c r="AW27" s="371">
        <v>4</v>
      </c>
      <c r="AX27" s="371">
        <v>4</v>
      </c>
      <c r="AY27" s="371">
        <v>4</v>
      </c>
      <c r="AZ27" s="371">
        <v>4</v>
      </c>
      <c r="BA27" s="371">
        <v>4</v>
      </c>
      <c r="BB27" s="371">
        <v>4</v>
      </c>
    </row>
    <row r="28" spans="32:54">
      <c r="AF28" s="371" t="s">
        <v>297</v>
      </c>
      <c r="AG28" s="371" t="s">
        <v>285</v>
      </c>
      <c r="AH28" s="371">
        <v>19</v>
      </c>
      <c r="AI28" s="371">
        <f t="shared" si="1"/>
        <v>17</v>
      </c>
      <c r="AJ28" s="371" t="str">
        <f t="shared" si="0"/>
        <v>POOR</v>
      </c>
      <c r="AK28" s="371">
        <v>6</v>
      </c>
      <c r="AL28" s="371">
        <v>6</v>
      </c>
      <c r="AM28" s="371">
        <v>6</v>
      </c>
      <c r="AN28" s="371">
        <v>6</v>
      </c>
      <c r="AO28" s="371">
        <v>6</v>
      </c>
      <c r="AP28" s="371">
        <v>6</v>
      </c>
      <c r="AQ28" s="371">
        <v>6</v>
      </c>
      <c r="AR28" s="371">
        <v>6</v>
      </c>
      <c r="AS28" s="371">
        <v>6</v>
      </c>
      <c r="AT28" s="371">
        <v>6</v>
      </c>
      <c r="AU28" s="371">
        <v>6</v>
      </c>
      <c r="AV28" s="371">
        <v>6</v>
      </c>
      <c r="AW28" s="371">
        <v>6</v>
      </c>
      <c r="AX28" s="371">
        <v>6</v>
      </c>
      <c r="AY28" s="371">
        <v>6</v>
      </c>
      <c r="AZ28" s="371">
        <v>6</v>
      </c>
      <c r="BA28" s="371">
        <v>6</v>
      </c>
      <c r="BB28" s="371">
        <v>6</v>
      </c>
    </row>
    <row r="29" spans="32:54">
      <c r="AF29" s="371">
        <v>41854</v>
      </c>
      <c r="AG29" s="371" t="s">
        <v>285</v>
      </c>
      <c r="AH29" s="371">
        <v>24</v>
      </c>
      <c r="AI29" s="371">
        <f t="shared" si="1"/>
        <v>22</v>
      </c>
      <c r="AJ29" s="371" t="str">
        <f t="shared" si="0"/>
        <v>POOR</v>
      </c>
      <c r="AK29" s="371">
        <v>5</v>
      </c>
      <c r="AL29" s="371">
        <v>5</v>
      </c>
      <c r="AM29" s="371">
        <v>5</v>
      </c>
      <c r="AN29" s="371">
        <v>5</v>
      </c>
      <c r="AO29" s="371">
        <v>5</v>
      </c>
      <c r="AP29" s="371">
        <v>5</v>
      </c>
      <c r="AQ29" s="371">
        <v>5</v>
      </c>
      <c r="AR29" s="371">
        <v>5</v>
      </c>
      <c r="AS29" s="371">
        <v>5</v>
      </c>
      <c r="AT29" s="371">
        <v>5</v>
      </c>
      <c r="AU29" s="371">
        <v>5</v>
      </c>
      <c r="AV29" s="371">
        <v>5</v>
      </c>
      <c r="AW29" s="371">
        <v>5</v>
      </c>
      <c r="AX29" s="371">
        <v>5</v>
      </c>
      <c r="AY29" s="371">
        <v>5</v>
      </c>
      <c r="AZ29" s="371">
        <v>5</v>
      </c>
      <c r="BA29" s="371">
        <v>5</v>
      </c>
      <c r="BB29" s="371">
        <v>5</v>
      </c>
    </row>
    <row r="30" spans="32:54">
      <c r="AF30" s="371" t="s">
        <v>298</v>
      </c>
      <c r="AG30" s="371" t="s">
        <v>285</v>
      </c>
      <c r="AH30" s="371">
        <v>32</v>
      </c>
      <c r="AI30" s="371">
        <f t="shared" si="1"/>
        <v>30</v>
      </c>
      <c r="AJ30" s="371" t="s">
        <v>299</v>
      </c>
      <c r="AK30" s="371">
        <v>5</v>
      </c>
      <c r="AL30" s="371">
        <v>5</v>
      </c>
      <c r="AM30" s="371">
        <v>5</v>
      </c>
      <c r="AN30" s="371">
        <v>5</v>
      </c>
      <c r="AO30" s="371">
        <v>5</v>
      </c>
      <c r="AP30" s="371">
        <v>5</v>
      </c>
      <c r="AQ30" s="371">
        <v>5</v>
      </c>
      <c r="AR30" s="371">
        <v>5</v>
      </c>
      <c r="AS30" s="371">
        <v>5</v>
      </c>
      <c r="AT30" s="371">
        <v>5</v>
      </c>
      <c r="AU30" s="371">
        <v>5</v>
      </c>
      <c r="AV30" s="371">
        <v>5</v>
      </c>
      <c r="AW30" s="371">
        <v>5</v>
      </c>
      <c r="AX30" s="371">
        <v>5</v>
      </c>
      <c r="AY30" s="371">
        <v>5</v>
      </c>
      <c r="AZ30" s="371">
        <v>5</v>
      </c>
      <c r="BA30" s="371">
        <v>5</v>
      </c>
      <c r="BB30" s="371">
        <v>5</v>
      </c>
    </row>
    <row r="31" spans="32:54">
      <c r="AF31" s="371">
        <v>41336</v>
      </c>
      <c r="AG31" s="371" t="s">
        <v>285</v>
      </c>
      <c r="AH31" s="371">
        <v>19</v>
      </c>
      <c r="AI31" s="371">
        <f t="shared" si="1"/>
        <v>17</v>
      </c>
      <c r="AJ31" s="371" t="s">
        <v>299</v>
      </c>
      <c r="AK31" s="371">
        <v>7</v>
      </c>
      <c r="AL31" s="371">
        <v>7</v>
      </c>
      <c r="AM31" s="371">
        <v>7</v>
      </c>
      <c r="AN31" s="371">
        <v>7</v>
      </c>
      <c r="AO31" s="371">
        <v>7</v>
      </c>
      <c r="AP31" s="371">
        <v>7</v>
      </c>
      <c r="AQ31" s="371">
        <v>7</v>
      </c>
      <c r="AR31" s="371">
        <v>7</v>
      </c>
      <c r="AS31" s="371">
        <v>7</v>
      </c>
      <c r="AT31" s="371">
        <v>7</v>
      </c>
      <c r="AU31" s="371">
        <v>7</v>
      </c>
      <c r="AV31" s="371">
        <v>7</v>
      </c>
      <c r="AW31" s="371">
        <v>7</v>
      </c>
      <c r="AX31" s="371">
        <v>7</v>
      </c>
      <c r="AY31" s="371">
        <v>7</v>
      </c>
      <c r="AZ31" s="371">
        <v>7</v>
      </c>
      <c r="BA31" s="371">
        <v>7</v>
      </c>
      <c r="BB31" s="371">
        <v>7</v>
      </c>
    </row>
    <row r="32" spans="32:54">
      <c r="AF32" s="371">
        <v>41610</v>
      </c>
      <c r="AG32" s="371" t="s">
        <v>285</v>
      </c>
      <c r="AH32" s="371">
        <v>18</v>
      </c>
      <c r="AI32" s="371">
        <f t="shared" si="1"/>
        <v>16</v>
      </c>
      <c r="AJ32" s="371" t="s">
        <v>299</v>
      </c>
      <c r="AK32" s="371">
        <v>6</v>
      </c>
      <c r="AL32" s="371">
        <v>6</v>
      </c>
      <c r="AM32" s="371">
        <v>6</v>
      </c>
      <c r="AN32" s="371">
        <v>6</v>
      </c>
      <c r="AO32" s="371">
        <v>6</v>
      </c>
      <c r="AP32" s="371">
        <v>6</v>
      </c>
      <c r="AQ32" s="371">
        <v>6</v>
      </c>
      <c r="AR32" s="371">
        <v>6</v>
      </c>
      <c r="AS32" s="371">
        <v>6</v>
      </c>
      <c r="AT32" s="371">
        <v>6</v>
      </c>
      <c r="AU32" s="371">
        <v>6</v>
      </c>
      <c r="AV32" s="371">
        <v>6</v>
      </c>
      <c r="AW32" s="371">
        <v>6</v>
      </c>
      <c r="AX32" s="371">
        <v>6</v>
      </c>
      <c r="AY32" s="371">
        <v>6</v>
      </c>
      <c r="AZ32" s="371">
        <v>6</v>
      </c>
      <c r="BA32" s="371">
        <v>6</v>
      </c>
      <c r="BB32" s="371">
        <v>6</v>
      </c>
    </row>
    <row r="33" spans="32:54">
      <c r="AF33" s="371" t="s">
        <v>300</v>
      </c>
      <c r="AG33" s="371" t="s">
        <v>285</v>
      </c>
      <c r="AH33" s="371">
        <v>17</v>
      </c>
      <c r="AI33" s="371">
        <f t="shared" si="1"/>
        <v>15</v>
      </c>
      <c r="AJ33" s="371" t="s">
        <v>299</v>
      </c>
      <c r="AK33" s="371">
        <v>5</v>
      </c>
      <c r="AL33" s="371">
        <v>5</v>
      </c>
      <c r="AM33" s="371">
        <v>5</v>
      </c>
      <c r="AN33" s="371">
        <v>5</v>
      </c>
      <c r="AO33" s="371">
        <v>5</v>
      </c>
      <c r="AP33" s="371">
        <v>5</v>
      </c>
      <c r="AQ33" s="371">
        <v>5</v>
      </c>
      <c r="AR33" s="371">
        <v>5</v>
      </c>
      <c r="AS33" s="371">
        <v>5</v>
      </c>
      <c r="AT33" s="371">
        <v>5</v>
      </c>
      <c r="AU33" s="371">
        <v>5</v>
      </c>
      <c r="AV33" s="371">
        <v>5</v>
      </c>
      <c r="AW33" s="371">
        <v>5</v>
      </c>
      <c r="AX33" s="371">
        <v>5</v>
      </c>
      <c r="AY33" s="371">
        <v>5</v>
      </c>
      <c r="AZ33" s="371">
        <v>5</v>
      </c>
      <c r="BA33" s="371">
        <v>5</v>
      </c>
      <c r="BB33" s="371">
        <v>5</v>
      </c>
    </row>
    <row r="34" spans="32:54">
      <c r="AF34" s="371" t="s">
        <v>301</v>
      </c>
      <c r="AG34" s="371" t="s">
        <v>285</v>
      </c>
      <c r="AH34" s="371">
        <v>20</v>
      </c>
      <c r="AI34" s="371">
        <f t="shared" si="1"/>
        <v>18</v>
      </c>
      <c r="AJ34" s="371" t="s">
        <v>299</v>
      </c>
      <c r="AK34" s="371">
        <v>6</v>
      </c>
      <c r="AL34" s="371">
        <v>6</v>
      </c>
      <c r="AM34" s="371">
        <v>6</v>
      </c>
      <c r="AN34" s="371">
        <v>6</v>
      </c>
      <c r="AO34" s="371">
        <v>6</v>
      </c>
      <c r="AP34" s="371">
        <v>6</v>
      </c>
      <c r="AQ34" s="371">
        <v>6</v>
      </c>
      <c r="AR34" s="371">
        <v>6</v>
      </c>
      <c r="AS34" s="371">
        <v>6</v>
      </c>
      <c r="AT34" s="371">
        <v>6</v>
      </c>
      <c r="AU34" s="371">
        <v>6</v>
      </c>
      <c r="AV34" s="371">
        <v>6</v>
      </c>
      <c r="AW34" s="371">
        <v>6</v>
      </c>
      <c r="AX34" s="371">
        <v>6</v>
      </c>
      <c r="AY34" s="371">
        <v>6</v>
      </c>
      <c r="AZ34" s="371">
        <v>6</v>
      </c>
      <c r="BA34" s="371">
        <v>6</v>
      </c>
      <c r="BB34" s="371">
        <v>6</v>
      </c>
    </row>
    <row r="35" spans="32:54">
      <c r="AF35" s="371">
        <v>41339</v>
      </c>
      <c r="AG35" s="371" t="s">
        <v>285</v>
      </c>
      <c r="AH35" s="371">
        <v>21</v>
      </c>
      <c r="AI35" s="371">
        <f t="shared" si="1"/>
        <v>19</v>
      </c>
      <c r="AJ35" s="371" t="s">
        <v>299</v>
      </c>
      <c r="AK35" s="371">
        <v>4</v>
      </c>
      <c r="AL35" s="371">
        <v>4</v>
      </c>
      <c r="AM35" s="371">
        <v>4</v>
      </c>
      <c r="AN35" s="371">
        <v>4</v>
      </c>
      <c r="AO35" s="371">
        <v>4</v>
      </c>
      <c r="AP35" s="371">
        <v>4</v>
      </c>
      <c r="AQ35" s="371">
        <v>4</v>
      </c>
      <c r="AR35" s="371">
        <v>4</v>
      </c>
      <c r="AS35" s="371">
        <v>4</v>
      </c>
      <c r="AT35" s="371">
        <v>4</v>
      </c>
      <c r="AU35" s="371">
        <v>4</v>
      </c>
      <c r="AV35" s="371">
        <v>4</v>
      </c>
      <c r="AW35" s="371">
        <v>4</v>
      </c>
      <c r="AX35" s="371">
        <v>4</v>
      </c>
      <c r="AY35" s="371">
        <v>4</v>
      </c>
      <c r="AZ35" s="371">
        <v>4</v>
      </c>
      <c r="BA35" s="371">
        <v>4</v>
      </c>
      <c r="BB35" s="371">
        <v>4</v>
      </c>
    </row>
    <row r="36" spans="32:54">
      <c r="AF36" s="371" t="s">
        <v>302</v>
      </c>
      <c r="AG36" s="371" t="s">
        <v>285</v>
      </c>
      <c r="AH36" s="371">
        <v>21</v>
      </c>
      <c r="AI36" s="371">
        <f t="shared" si="1"/>
        <v>19</v>
      </c>
      <c r="AJ36" s="371" t="s">
        <v>299</v>
      </c>
      <c r="AK36" s="371">
        <v>5</v>
      </c>
      <c r="AL36" s="371">
        <v>5</v>
      </c>
      <c r="AM36" s="371">
        <v>5</v>
      </c>
      <c r="AN36" s="371">
        <v>5</v>
      </c>
      <c r="AO36" s="371">
        <v>5</v>
      </c>
      <c r="AP36" s="371">
        <v>5</v>
      </c>
      <c r="AQ36" s="371">
        <v>5</v>
      </c>
      <c r="AR36" s="371">
        <v>5</v>
      </c>
      <c r="AS36" s="371">
        <v>5</v>
      </c>
      <c r="AT36" s="371">
        <v>5</v>
      </c>
      <c r="AU36" s="371">
        <v>5</v>
      </c>
      <c r="AV36" s="371">
        <v>5</v>
      </c>
      <c r="AW36" s="371">
        <v>5</v>
      </c>
      <c r="AX36" s="371">
        <v>5</v>
      </c>
      <c r="AY36" s="371">
        <v>5</v>
      </c>
      <c r="AZ36" s="371">
        <v>5</v>
      </c>
      <c r="BA36" s="371">
        <v>5</v>
      </c>
      <c r="BB36" s="371">
        <v>5</v>
      </c>
    </row>
    <row r="37" spans="32:54">
      <c r="AF37" s="371" t="s">
        <v>303</v>
      </c>
      <c r="AG37" s="371" t="s">
        <v>285</v>
      </c>
      <c r="AH37" s="371">
        <v>23</v>
      </c>
      <c r="AI37" s="371">
        <f t="shared" si="1"/>
        <v>21</v>
      </c>
      <c r="AJ37" s="371" t="s">
        <v>299</v>
      </c>
      <c r="AK37" s="371">
        <v>6</v>
      </c>
      <c r="AL37" s="371">
        <v>6</v>
      </c>
      <c r="AM37" s="371">
        <v>6</v>
      </c>
      <c r="AN37" s="371">
        <v>6</v>
      </c>
      <c r="AO37" s="371">
        <v>6</v>
      </c>
      <c r="AP37" s="371">
        <v>6</v>
      </c>
      <c r="AQ37" s="371">
        <v>6</v>
      </c>
      <c r="AR37" s="371">
        <v>6</v>
      </c>
      <c r="AS37" s="371">
        <v>6</v>
      </c>
      <c r="AT37" s="371">
        <v>6</v>
      </c>
      <c r="AU37" s="371">
        <v>6</v>
      </c>
      <c r="AV37" s="371">
        <v>6</v>
      </c>
      <c r="AW37" s="371">
        <v>6</v>
      </c>
      <c r="AX37" s="371">
        <v>6</v>
      </c>
      <c r="AY37" s="371">
        <v>6</v>
      </c>
      <c r="AZ37" s="371">
        <v>6</v>
      </c>
      <c r="BA37" s="371">
        <v>6</v>
      </c>
      <c r="BB37" s="371">
        <v>6</v>
      </c>
    </row>
    <row r="38" spans="32:54">
      <c r="AF38" s="371" t="s">
        <v>304</v>
      </c>
      <c r="AG38" s="371" t="s">
        <v>285</v>
      </c>
      <c r="AH38" s="371">
        <v>28</v>
      </c>
      <c r="AI38" s="371">
        <f t="shared" si="1"/>
        <v>26</v>
      </c>
      <c r="AJ38" s="371" t="s">
        <v>299</v>
      </c>
      <c r="AK38" s="371">
        <v>6</v>
      </c>
      <c r="AL38" s="371">
        <v>6</v>
      </c>
      <c r="AM38" s="371">
        <v>6</v>
      </c>
      <c r="AN38" s="371">
        <v>6</v>
      </c>
      <c r="AO38" s="371">
        <v>6</v>
      </c>
      <c r="AP38" s="371">
        <v>6</v>
      </c>
      <c r="AQ38" s="371">
        <v>6</v>
      </c>
      <c r="AR38" s="371">
        <v>6</v>
      </c>
      <c r="AS38" s="371">
        <v>6</v>
      </c>
      <c r="AT38" s="371">
        <v>6</v>
      </c>
      <c r="AU38" s="371">
        <v>6</v>
      </c>
      <c r="AV38" s="371">
        <v>6</v>
      </c>
      <c r="AW38" s="371">
        <v>6</v>
      </c>
      <c r="AX38" s="371">
        <v>6</v>
      </c>
      <c r="AY38" s="371">
        <v>6</v>
      </c>
      <c r="AZ38" s="371">
        <v>6</v>
      </c>
      <c r="BA38" s="371">
        <v>6</v>
      </c>
      <c r="BB38" s="371">
        <v>6</v>
      </c>
    </row>
    <row r="39" spans="32:54">
      <c r="AF39" s="371">
        <v>41732</v>
      </c>
      <c r="AG39" s="371" t="s">
        <v>285</v>
      </c>
      <c r="AH39" s="371">
        <v>19</v>
      </c>
      <c r="AI39" s="371">
        <f t="shared" si="1"/>
        <v>17</v>
      </c>
      <c r="AJ39" s="371" t="s">
        <v>299</v>
      </c>
      <c r="AK39" s="371">
        <v>5</v>
      </c>
      <c r="AL39" s="371">
        <v>5</v>
      </c>
      <c r="AM39" s="371">
        <v>5</v>
      </c>
      <c r="AN39" s="371">
        <v>5</v>
      </c>
      <c r="AO39" s="371">
        <v>5</v>
      </c>
      <c r="AP39" s="371">
        <v>5</v>
      </c>
      <c r="AQ39" s="371">
        <v>5</v>
      </c>
      <c r="AR39" s="371">
        <v>5</v>
      </c>
      <c r="AS39" s="371">
        <v>5</v>
      </c>
      <c r="AT39" s="371">
        <v>5</v>
      </c>
      <c r="AU39" s="371">
        <v>5</v>
      </c>
      <c r="AV39" s="371">
        <v>5</v>
      </c>
      <c r="AW39" s="371">
        <v>5</v>
      </c>
      <c r="AX39" s="371">
        <v>5</v>
      </c>
      <c r="AY39" s="371">
        <v>5</v>
      </c>
      <c r="AZ39" s="371">
        <v>5</v>
      </c>
      <c r="BA39" s="371">
        <v>5</v>
      </c>
      <c r="BB39" s="371">
        <v>5</v>
      </c>
    </row>
    <row r="40" spans="32:54">
      <c r="AF40" s="371">
        <v>42039</v>
      </c>
      <c r="AG40" s="371" t="s">
        <v>285</v>
      </c>
      <c r="AH40" s="371">
        <v>18</v>
      </c>
      <c r="AI40" s="371">
        <f t="shared" si="1"/>
        <v>16</v>
      </c>
      <c r="AJ40" s="371" t="s">
        <v>299</v>
      </c>
      <c r="AK40" s="371">
        <v>5</v>
      </c>
      <c r="AL40" s="371">
        <v>5</v>
      </c>
      <c r="AM40" s="371">
        <v>5</v>
      </c>
      <c r="AN40" s="371">
        <v>5</v>
      </c>
      <c r="AO40" s="371">
        <v>5</v>
      </c>
      <c r="AP40" s="371">
        <v>5</v>
      </c>
      <c r="AQ40" s="371">
        <v>5</v>
      </c>
      <c r="AR40" s="371">
        <v>5</v>
      </c>
      <c r="AS40" s="371">
        <v>5</v>
      </c>
      <c r="AT40" s="371">
        <v>5</v>
      </c>
      <c r="AU40" s="371">
        <v>5</v>
      </c>
      <c r="AV40" s="371">
        <v>5</v>
      </c>
      <c r="AW40" s="371">
        <v>5</v>
      </c>
      <c r="AX40" s="371">
        <v>5</v>
      </c>
      <c r="AY40" s="371">
        <v>5</v>
      </c>
      <c r="AZ40" s="371">
        <v>5</v>
      </c>
      <c r="BA40" s="371">
        <v>5</v>
      </c>
      <c r="BB40" s="371">
        <v>5</v>
      </c>
    </row>
    <row r="41" spans="32:54">
      <c r="AF41" s="371" t="s">
        <v>305</v>
      </c>
      <c r="AG41" s="371" t="s">
        <v>285</v>
      </c>
      <c r="AH41" s="371">
        <v>32</v>
      </c>
      <c r="AI41" s="371">
        <f t="shared" si="1"/>
        <v>30</v>
      </c>
      <c r="AJ41" s="371" t="s">
        <v>299</v>
      </c>
      <c r="AK41" s="371">
        <v>4</v>
      </c>
      <c r="AL41" s="371">
        <v>4</v>
      </c>
      <c r="AM41" s="371">
        <v>4</v>
      </c>
      <c r="AN41" s="371">
        <v>4</v>
      </c>
      <c r="AO41" s="371">
        <v>4</v>
      </c>
      <c r="AP41" s="371">
        <v>4</v>
      </c>
      <c r="AQ41" s="371">
        <v>4</v>
      </c>
      <c r="AR41" s="371">
        <v>4</v>
      </c>
      <c r="AS41" s="371">
        <v>4</v>
      </c>
      <c r="AT41" s="371">
        <v>4</v>
      </c>
      <c r="AU41" s="371">
        <v>4</v>
      </c>
      <c r="AV41" s="371">
        <v>4</v>
      </c>
      <c r="AW41" s="371">
        <v>4</v>
      </c>
      <c r="AX41" s="371">
        <v>4</v>
      </c>
      <c r="AY41" s="371">
        <v>4</v>
      </c>
      <c r="AZ41" s="371">
        <v>4</v>
      </c>
      <c r="BA41" s="371">
        <v>4</v>
      </c>
      <c r="BB41" s="371">
        <v>4</v>
      </c>
    </row>
    <row r="42" spans="32:54">
      <c r="AF42" s="371" t="s">
        <v>306</v>
      </c>
      <c r="AG42" s="371" t="s">
        <v>285</v>
      </c>
      <c r="AH42" s="371">
        <v>30</v>
      </c>
      <c r="AI42" s="371">
        <f t="shared" si="1"/>
        <v>28</v>
      </c>
      <c r="AJ42" s="371" t="s">
        <v>299</v>
      </c>
      <c r="AK42" s="371">
        <v>4</v>
      </c>
      <c r="AL42" s="371">
        <v>4</v>
      </c>
      <c r="AM42" s="371">
        <v>4</v>
      </c>
      <c r="AN42" s="371">
        <v>4</v>
      </c>
      <c r="AO42" s="371">
        <v>4</v>
      </c>
      <c r="AP42" s="371">
        <v>4</v>
      </c>
      <c r="AQ42" s="371">
        <v>4</v>
      </c>
      <c r="AR42" s="371">
        <v>4</v>
      </c>
      <c r="AS42" s="371">
        <v>4</v>
      </c>
      <c r="AT42" s="371">
        <v>4</v>
      </c>
      <c r="AU42" s="371">
        <v>4</v>
      </c>
      <c r="AV42" s="371">
        <v>4</v>
      </c>
      <c r="AW42" s="371">
        <v>4</v>
      </c>
      <c r="AX42" s="371">
        <v>4</v>
      </c>
      <c r="AY42" s="371">
        <v>4</v>
      </c>
      <c r="AZ42" s="371">
        <v>4</v>
      </c>
      <c r="BA42" s="371">
        <v>4</v>
      </c>
      <c r="BB42" s="371">
        <v>4</v>
      </c>
    </row>
    <row r="43" spans="32:54">
      <c r="AF43" s="371" t="s">
        <v>307</v>
      </c>
      <c r="AG43" s="371" t="s">
        <v>285</v>
      </c>
      <c r="AH43" s="371">
        <v>23</v>
      </c>
      <c r="AI43" s="371">
        <f t="shared" si="1"/>
        <v>21</v>
      </c>
      <c r="AJ43" s="371" t="s">
        <v>299</v>
      </c>
      <c r="AK43" s="371">
        <v>3</v>
      </c>
      <c r="AL43" s="371">
        <v>3</v>
      </c>
      <c r="AM43" s="371">
        <v>3</v>
      </c>
      <c r="AN43" s="371">
        <v>3</v>
      </c>
      <c r="AO43" s="371">
        <v>3</v>
      </c>
      <c r="AP43" s="371">
        <v>3</v>
      </c>
      <c r="AQ43" s="371">
        <v>3</v>
      </c>
      <c r="AR43" s="371">
        <v>3</v>
      </c>
      <c r="AS43" s="371">
        <v>3</v>
      </c>
      <c r="AT43" s="371">
        <v>3</v>
      </c>
      <c r="AU43" s="371">
        <v>3</v>
      </c>
      <c r="AV43" s="371">
        <v>3</v>
      </c>
      <c r="AW43" s="371">
        <v>3</v>
      </c>
      <c r="AX43" s="371">
        <v>3</v>
      </c>
      <c r="AY43" s="371">
        <v>3</v>
      </c>
      <c r="AZ43" s="371">
        <v>3</v>
      </c>
      <c r="BA43" s="371">
        <v>3</v>
      </c>
      <c r="BB43" s="371">
        <v>3</v>
      </c>
    </row>
    <row r="44" spans="32:54">
      <c r="AF44" s="371" t="s">
        <v>308</v>
      </c>
      <c r="AG44" s="371" t="s">
        <v>285</v>
      </c>
      <c r="AH44" s="371">
        <v>21</v>
      </c>
      <c r="AI44" s="371">
        <f t="shared" si="1"/>
        <v>19</v>
      </c>
      <c r="AJ44" s="371" t="s">
        <v>299</v>
      </c>
      <c r="AK44" s="371">
        <v>8</v>
      </c>
      <c r="AL44" s="371">
        <v>8</v>
      </c>
      <c r="AM44" s="371">
        <v>8</v>
      </c>
      <c r="AN44" s="371">
        <v>8</v>
      </c>
      <c r="AO44" s="371">
        <v>8</v>
      </c>
      <c r="AP44" s="371">
        <v>8</v>
      </c>
      <c r="AQ44" s="371">
        <v>8</v>
      </c>
      <c r="AR44" s="371">
        <v>8</v>
      </c>
      <c r="AS44" s="371">
        <v>8</v>
      </c>
      <c r="AT44" s="371">
        <v>8</v>
      </c>
      <c r="AU44" s="371">
        <v>8</v>
      </c>
      <c r="AV44" s="371">
        <v>8</v>
      </c>
      <c r="AW44" s="371">
        <v>8</v>
      </c>
      <c r="AX44" s="371">
        <v>8</v>
      </c>
      <c r="AY44" s="371">
        <v>8</v>
      </c>
      <c r="AZ44" s="371">
        <v>8</v>
      </c>
      <c r="BA44" s="371">
        <v>8</v>
      </c>
      <c r="BB44" s="371">
        <v>8</v>
      </c>
    </row>
    <row r="45" spans="32:54">
      <c r="AF45" s="371" t="s">
        <v>309</v>
      </c>
      <c r="AG45" s="371" t="s">
        <v>285</v>
      </c>
      <c r="AH45" s="371">
        <v>22</v>
      </c>
      <c r="AI45" s="371">
        <f t="shared" si="1"/>
        <v>20</v>
      </c>
      <c r="AJ45" s="371" t="s">
        <v>299</v>
      </c>
      <c r="AK45" s="371">
        <v>6</v>
      </c>
      <c r="AL45" s="371">
        <v>6</v>
      </c>
      <c r="AM45" s="371">
        <v>6</v>
      </c>
      <c r="AN45" s="371">
        <v>6</v>
      </c>
      <c r="AO45" s="371">
        <v>6</v>
      </c>
      <c r="AP45" s="371">
        <v>6</v>
      </c>
      <c r="AQ45" s="371">
        <v>6</v>
      </c>
      <c r="AR45" s="371">
        <v>6</v>
      </c>
      <c r="AS45" s="371">
        <v>6</v>
      </c>
      <c r="AT45" s="371">
        <v>6</v>
      </c>
      <c r="AU45" s="371">
        <v>6</v>
      </c>
      <c r="AV45" s="371">
        <v>6</v>
      </c>
      <c r="AW45" s="371">
        <v>6</v>
      </c>
      <c r="AX45" s="371">
        <v>6</v>
      </c>
      <c r="AY45" s="371">
        <v>6</v>
      </c>
      <c r="AZ45" s="371">
        <v>6</v>
      </c>
      <c r="BA45" s="371">
        <v>6</v>
      </c>
      <c r="BB45" s="371">
        <v>6</v>
      </c>
    </row>
    <row r="46" spans="32:54">
      <c r="AF46" s="371" t="s">
        <v>292</v>
      </c>
      <c r="AG46" s="371" t="s">
        <v>285</v>
      </c>
      <c r="AH46" s="371">
        <v>31</v>
      </c>
      <c r="AI46" s="371">
        <f t="shared" si="1"/>
        <v>29</v>
      </c>
      <c r="AJ46" s="371" t="str">
        <f t="shared" ref="AJ46:AJ53" si="2">IF(AND(AC46&gt;=100,AC46&lt;=128),"EXCELLENT",IF(AND(AC46&gt;=64,AC46&lt;100),"GOOD","POOR"))</f>
        <v>POOR</v>
      </c>
      <c r="AK46" s="371">
        <v>5</v>
      </c>
      <c r="AL46" s="371">
        <v>5</v>
      </c>
      <c r="AM46" s="371">
        <v>5</v>
      </c>
      <c r="AN46" s="371">
        <v>5</v>
      </c>
      <c r="AO46" s="371">
        <v>5</v>
      </c>
      <c r="AP46" s="371">
        <v>5</v>
      </c>
      <c r="AQ46" s="371">
        <v>5</v>
      </c>
      <c r="AR46" s="371">
        <v>5</v>
      </c>
      <c r="AS46" s="371">
        <v>5</v>
      </c>
      <c r="AT46" s="371">
        <v>5</v>
      </c>
      <c r="AU46" s="371">
        <v>5</v>
      </c>
      <c r="AV46" s="371">
        <v>5</v>
      </c>
      <c r="AW46" s="371">
        <v>5</v>
      </c>
      <c r="AX46" s="371">
        <v>5</v>
      </c>
      <c r="AY46" s="371">
        <v>5</v>
      </c>
      <c r="AZ46" s="371">
        <v>5</v>
      </c>
      <c r="BA46" s="371">
        <v>5</v>
      </c>
      <c r="BB46" s="371">
        <v>5</v>
      </c>
    </row>
    <row r="47" spans="32:54">
      <c r="AF47" s="371" t="s">
        <v>310</v>
      </c>
      <c r="AG47" s="371" t="s">
        <v>285</v>
      </c>
      <c r="AH47" s="371">
        <v>20</v>
      </c>
      <c r="AI47" s="371">
        <f t="shared" si="1"/>
        <v>18</v>
      </c>
      <c r="AJ47" s="371" t="str">
        <f t="shared" si="2"/>
        <v>POOR</v>
      </c>
      <c r="AK47" s="371">
        <v>5</v>
      </c>
      <c r="AL47" s="371">
        <v>5</v>
      </c>
      <c r="AM47" s="371">
        <v>5</v>
      </c>
      <c r="AN47" s="371">
        <v>5</v>
      </c>
      <c r="AO47" s="371">
        <v>5</v>
      </c>
      <c r="AP47" s="371">
        <v>5</v>
      </c>
      <c r="AQ47" s="371">
        <v>5</v>
      </c>
      <c r="AR47" s="371">
        <v>5</v>
      </c>
      <c r="AS47" s="371">
        <v>5</v>
      </c>
      <c r="AT47" s="371">
        <v>5</v>
      </c>
      <c r="AU47" s="371">
        <v>5</v>
      </c>
      <c r="AV47" s="371">
        <v>5</v>
      </c>
      <c r="AW47" s="371">
        <v>5</v>
      </c>
      <c r="AX47" s="371">
        <v>5</v>
      </c>
      <c r="AY47" s="371">
        <v>5</v>
      </c>
      <c r="AZ47" s="371">
        <v>5</v>
      </c>
      <c r="BA47" s="371">
        <v>5</v>
      </c>
      <c r="BB47" s="371">
        <v>5</v>
      </c>
    </row>
    <row r="48" spans="32:54">
      <c r="AF48" s="371" t="s">
        <v>311</v>
      </c>
      <c r="AG48" s="371" t="s">
        <v>285</v>
      </c>
      <c r="AH48" s="371">
        <v>19</v>
      </c>
      <c r="AI48" s="371">
        <f t="shared" si="1"/>
        <v>17</v>
      </c>
      <c r="AJ48" s="371" t="str">
        <f t="shared" si="2"/>
        <v>POOR</v>
      </c>
      <c r="AK48" s="371">
        <v>7</v>
      </c>
      <c r="AL48" s="371">
        <v>7</v>
      </c>
      <c r="AM48" s="371">
        <v>7</v>
      </c>
      <c r="AN48" s="371">
        <v>7</v>
      </c>
      <c r="AO48" s="371">
        <v>7</v>
      </c>
      <c r="AP48" s="371">
        <v>7</v>
      </c>
      <c r="AQ48" s="371">
        <v>7</v>
      </c>
      <c r="AR48" s="371">
        <v>7</v>
      </c>
      <c r="AS48" s="371">
        <v>7</v>
      </c>
      <c r="AT48" s="371">
        <v>7</v>
      </c>
      <c r="AU48" s="371">
        <v>7</v>
      </c>
      <c r="AV48" s="371">
        <v>7</v>
      </c>
      <c r="AW48" s="371">
        <v>7</v>
      </c>
      <c r="AX48" s="371">
        <v>7</v>
      </c>
      <c r="AY48" s="371">
        <v>7</v>
      </c>
      <c r="AZ48" s="371">
        <v>7</v>
      </c>
      <c r="BA48" s="371">
        <v>7</v>
      </c>
      <c r="BB48" s="371">
        <v>7</v>
      </c>
    </row>
    <row r="49" spans="32:54">
      <c r="AF49" s="371">
        <v>41284</v>
      </c>
      <c r="AG49" s="371" t="s">
        <v>285</v>
      </c>
      <c r="AH49" s="371">
        <v>30</v>
      </c>
      <c r="AI49" s="371">
        <f t="shared" si="1"/>
        <v>28</v>
      </c>
      <c r="AJ49" s="371" t="str">
        <f t="shared" si="2"/>
        <v>POOR</v>
      </c>
      <c r="AK49" s="371">
        <v>6</v>
      </c>
      <c r="AL49" s="371">
        <v>6</v>
      </c>
      <c r="AM49" s="371">
        <v>6</v>
      </c>
      <c r="AN49" s="371">
        <v>6</v>
      </c>
      <c r="AO49" s="371">
        <v>6</v>
      </c>
      <c r="AP49" s="371">
        <v>6</v>
      </c>
      <c r="AQ49" s="371">
        <v>6</v>
      </c>
      <c r="AR49" s="371">
        <v>6</v>
      </c>
      <c r="AS49" s="371">
        <v>6</v>
      </c>
      <c r="AT49" s="371">
        <v>6</v>
      </c>
      <c r="AU49" s="371">
        <v>6</v>
      </c>
      <c r="AV49" s="371">
        <v>6</v>
      </c>
      <c r="AW49" s="371">
        <v>6</v>
      </c>
      <c r="AX49" s="371">
        <v>6</v>
      </c>
      <c r="AY49" s="371">
        <v>6</v>
      </c>
      <c r="AZ49" s="371">
        <v>6</v>
      </c>
      <c r="BA49" s="371">
        <v>6</v>
      </c>
      <c r="BB49" s="371">
        <v>6</v>
      </c>
    </row>
    <row r="50" spans="32:54">
      <c r="AF50" s="371" t="s">
        <v>312</v>
      </c>
      <c r="AG50" s="371" t="s">
        <v>285</v>
      </c>
      <c r="AH50" s="371">
        <v>24</v>
      </c>
      <c r="AI50" s="371">
        <f t="shared" si="1"/>
        <v>22</v>
      </c>
      <c r="AJ50" s="371" t="str">
        <f t="shared" si="2"/>
        <v>POOR</v>
      </c>
      <c r="AK50" s="371">
        <v>5</v>
      </c>
      <c r="AL50" s="371">
        <v>5</v>
      </c>
      <c r="AM50" s="371">
        <v>5</v>
      </c>
      <c r="AN50" s="371">
        <v>5</v>
      </c>
      <c r="AO50" s="371">
        <v>5</v>
      </c>
      <c r="AP50" s="371">
        <v>5</v>
      </c>
      <c r="AQ50" s="371">
        <v>5</v>
      </c>
      <c r="AR50" s="371">
        <v>5</v>
      </c>
      <c r="AS50" s="371">
        <v>5</v>
      </c>
      <c r="AT50" s="371">
        <v>5</v>
      </c>
      <c r="AU50" s="371">
        <v>5</v>
      </c>
      <c r="AV50" s="371">
        <v>5</v>
      </c>
      <c r="AW50" s="371">
        <v>5</v>
      </c>
      <c r="AX50" s="371">
        <v>5</v>
      </c>
      <c r="AY50" s="371">
        <v>5</v>
      </c>
      <c r="AZ50" s="371">
        <v>5</v>
      </c>
      <c r="BA50" s="371">
        <v>5</v>
      </c>
      <c r="BB50" s="371">
        <v>5</v>
      </c>
    </row>
    <row r="51" spans="32:54">
      <c r="AF51" s="371">
        <v>41796</v>
      </c>
      <c r="AG51" s="371" t="s">
        <v>285</v>
      </c>
      <c r="AH51" s="371">
        <v>18</v>
      </c>
      <c r="AI51" s="371">
        <f t="shared" si="1"/>
        <v>16</v>
      </c>
      <c r="AJ51" s="371" t="str">
        <f t="shared" si="2"/>
        <v>POOR</v>
      </c>
      <c r="AK51" s="371">
        <v>5</v>
      </c>
      <c r="AL51" s="371">
        <v>5</v>
      </c>
      <c r="AM51" s="371">
        <v>5</v>
      </c>
      <c r="AN51" s="371">
        <v>5</v>
      </c>
      <c r="AO51" s="371">
        <v>5</v>
      </c>
      <c r="AP51" s="371">
        <v>5</v>
      </c>
      <c r="AQ51" s="371">
        <v>5</v>
      </c>
      <c r="AR51" s="371">
        <v>5</v>
      </c>
      <c r="AS51" s="371">
        <v>5</v>
      </c>
      <c r="AT51" s="371">
        <v>5</v>
      </c>
      <c r="AU51" s="371">
        <v>5</v>
      </c>
      <c r="AV51" s="371">
        <v>5</v>
      </c>
      <c r="AW51" s="371">
        <v>5</v>
      </c>
      <c r="AX51" s="371">
        <v>5</v>
      </c>
      <c r="AY51" s="371">
        <v>5</v>
      </c>
      <c r="AZ51" s="371">
        <v>5</v>
      </c>
      <c r="BA51" s="371">
        <v>5</v>
      </c>
      <c r="BB51" s="371">
        <v>5</v>
      </c>
    </row>
    <row r="52" spans="32:54">
      <c r="AF52" s="371" t="s">
        <v>313</v>
      </c>
      <c r="AG52" s="371" t="s">
        <v>285</v>
      </c>
      <c r="AH52" s="371">
        <v>24</v>
      </c>
      <c r="AI52" s="371">
        <f t="shared" si="1"/>
        <v>22</v>
      </c>
      <c r="AJ52" s="371" t="str">
        <f t="shared" si="2"/>
        <v>POOR</v>
      </c>
      <c r="AK52" s="371">
        <v>6</v>
      </c>
      <c r="AL52" s="371">
        <v>6</v>
      </c>
      <c r="AM52" s="371">
        <v>6</v>
      </c>
      <c r="AN52" s="371">
        <v>6</v>
      </c>
      <c r="AO52" s="371">
        <v>6</v>
      </c>
      <c r="AP52" s="371">
        <v>6</v>
      </c>
      <c r="AQ52" s="371">
        <v>6</v>
      </c>
      <c r="AR52" s="371">
        <v>6</v>
      </c>
      <c r="AS52" s="371">
        <v>6</v>
      </c>
      <c r="AT52" s="371">
        <v>6</v>
      </c>
      <c r="AU52" s="371">
        <v>6</v>
      </c>
      <c r="AV52" s="371">
        <v>6</v>
      </c>
      <c r="AW52" s="371">
        <v>6</v>
      </c>
      <c r="AX52" s="371">
        <v>6</v>
      </c>
      <c r="AY52" s="371">
        <v>6</v>
      </c>
      <c r="AZ52" s="371">
        <v>6</v>
      </c>
      <c r="BA52" s="371">
        <v>6</v>
      </c>
      <c r="BB52" s="371">
        <v>6</v>
      </c>
    </row>
    <row r="53" spans="32:54">
      <c r="AF53" s="371">
        <v>40765</v>
      </c>
      <c r="AG53" s="371" t="s">
        <v>285</v>
      </c>
      <c r="AH53" s="371">
        <v>33</v>
      </c>
      <c r="AI53" s="371">
        <f t="shared" si="1"/>
        <v>31</v>
      </c>
      <c r="AJ53" s="371" t="str">
        <f t="shared" si="2"/>
        <v>POOR</v>
      </c>
      <c r="AK53" s="371">
        <v>5</v>
      </c>
      <c r="AL53" s="371">
        <v>5</v>
      </c>
      <c r="AM53" s="371">
        <v>5</v>
      </c>
      <c r="AN53" s="371">
        <v>5</v>
      </c>
      <c r="AO53" s="371">
        <v>5</v>
      </c>
      <c r="AP53" s="371">
        <v>5</v>
      </c>
      <c r="AQ53" s="371">
        <v>5</v>
      </c>
      <c r="AR53" s="371">
        <v>5</v>
      </c>
      <c r="AS53" s="371">
        <v>5</v>
      </c>
      <c r="AT53" s="371">
        <v>5</v>
      </c>
      <c r="AU53" s="371">
        <v>5</v>
      </c>
      <c r="AV53" s="371">
        <v>5</v>
      </c>
      <c r="AW53" s="371">
        <v>5</v>
      </c>
      <c r="AX53" s="371">
        <v>5</v>
      </c>
      <c r="AY53" s="371">
        <v>5</v>
      </c>
      <c r="AZ53" s="371">
        <v>5</v>
      </c>
      <c r="BA53" s="371">
        <v>5</v>
      </c>
      <c r="BB53" s="371">
        <v>5</v>
      </c>
    </row>
    <row r="54" spans="32:54">
      <c r="AG54" s="371" t="s">
        <v>285</v>
      </c>
    </row>
    <row r="79" spans="36:36">
      <c r="AJ79" s="37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SSS1 ATTENDANCE </vt:lpstr>
      <vt:lpstr>SSS2 ATTENDANCE</vt:lpstr>
      <vt:lpstr>SSS3 ATTENDANCE</vt:lpstr>
      <vt:lpstr>REPORT CARD</vt:lpstr>
      <vt:lpstr>Sheet1</vt:lpstr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USER</cp:lastModifiedBy>
  <dcterms:created xsi:type="dcterms:W3CDTF">2025-10-02T18:52:00Z</dcterms:created>
  <dcterms:modified xsi:type="dcterms:W3CDTF">2026-01-03T15:56:20Z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E207502E6C574371B3A7331910D49A42_12</vt:lpwstr>
  </property>
</Properties>
</file>